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jemplares" state="visible" r:id="rId5"/>
    <sheet sheetId="3" name="Movimientos" state="visible" r:id="rId6"/>
    <sheet sheetId="4" name="Resumen" state="visible" r:id="rId7"/>
  </sheets>
  <calcPr calcId="171027" fullCalcOnLoad="1"/>
</workbook>
</file>

<file path=xl/sharedStrings.xml><?xml version="1.0" encoding="utf-8"?>
<sst xmlns="http://schemas.openxmlformats.org/spreadsheetml/2006/main" count="155" uniqueCount="103">
  <si>
    <t>Registro de ingresos, bajas y traslados de ejemplares</t>
  </si>
  <si>
    <t>Zoorigen · Club VIP · Versión 1.0 · 22 de octubre de 2026 · Material original de Zoorigen</t>
  </si>
  <si>
    <t>Para qué sirve</t>
  </si>
  <si>
    <t/>
  </si>
  <si>
    <t>Lleva el movimiento de los ejemplares de tu UMA, PIMVS, zoológico o centro: quién ingresa, quién causa baja y quién se traslada, con su documento de respaldo. La hoja «Resumen» te da por especie la existencia al inicio del año, los ingresos, las bajas, los traslados y la existencia al cierre. Es un registro interno de apoyo: NO sustituye los informes, bitácoras ni formatos que la autoridad te solicite.</t>
  </si>
  <si>
    <t>Qué hay en cada hoja</t>
  </si>
  <si>
    <t>Ejemplares</t>
  </si>
  <si>
    <t>La lista de ejemplares con su especie, sexo y marca o identificación.</t>
  </si>
  <si>
    <t>Movimientos</t>
  </si>
  <si>
    <t>Un renglón por cada ingreso, baja o traslado, con el documento que lo respalda.</t>
  </si>
  <si>
    <t>Resumen</t>
  </si>
  <si>
    <t>Cuenta por especie para el año que elijas.</t>
  </si>
  <si>
    <t>Cómo usarlo, paso a paso</t>
  </si>
  <si>
    <t>Paso 1</t>
  </si>
  <si>
    <t>En «Ejemplares» borra los EJEMPLOS y escribe tus ejemplares con un identificador único. Escribe la especie de forma consistente: el resumen agrupa por el nombre común tal como lo escribas.</t>
  </si>
  <si>
    <t>Paso 2</t>
  </si>
  <si>
    <t>En «Movimientos» elige el ejemplar, la fecha, el tipo (Ingreso, Baja, Traslado saliente o Traslado entrante) y el motivo. Anota el documento que respalda el movimiento (por ejemplo, el número o la descripción del oficio, factura o nota de remisión) y el origen o destino.</t>
  </si>
  <si>
    <t>Paso 3</t>
  </si>
  <si>
    <t>La columna «Efecto» suma 1 cuando entra un ejemplar y resta 1 cuando sale. La especie y el año se calculan solos.</t>
  </si>
  <si>
    <t>Paso 4</t>
  </si>
  <si>
    <t>En «Resumen» escribe el año y, en la columna A, cada especie como aparece en «Ejemplares». Se calcula la existencia al inicio, los movimientos del año y la existencia al cierre.</t>
  </si>
  <si>
    <t>Paso 5</t>
  </si>
  <si>
    <t>Revisa la columna «Revisión»: te avisa si el cierre calculado no coincide con la suma de todos los movimientos.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</si>
  <si>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</si>
  <si>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</si>
  <si>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</si>
  <si>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</si>
  <si>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</si>
  <si>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</si>
  <si>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</si>
  <si>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</si>
  <si>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Los documentos que deben acompañar cada movimiento (por ejemplo los de legal procedencia o de traslado) los define la normatividad vigente: consulta la norma y a tu asesor legal. Aquí solo hay un campo de texto para anotarlos.</t>
  </si>
  <si>
    <t>Si un ejemplar nace en la unidad, regístralo como Ingreso con el motivo «Nacimiento».</t>
  </si>
  <si>
    <t>Aviso</t>
  </si>
  <si>
    <t>Material de apoyo de Zoorigen: no sustituye el criterio profesional ni la asesoría legal. Consulta siempre la normatividad vigente.</t>
  </si>
  <si>
    <t>Zoorigen · Material de apoyo (registro interno, no oficial)</t>
  </si>
  <si>
    <t>Identificador</t>
  </si>
  <si>
    <t>Nombre común (especie)</t>
  </si>
  <si>
    <t>Nombre científico</t>
  </si>
  <si>
    <t>Sexo</t>
  </si>
  <si>
    <t>Marca o identificación</t>
  </si>
  <si>
    <t>Observaciones</t>
  </si>
  <si>
    <t>Nota</t>
  </si>
  <si>
    <t>EJ-001</t>
  </si>
  <si>
    <t>Especie de ejemplo A</t>
  </si>
  <si>
    <t>(nombre científico)</t>
  </si>
  <si>
    <t>Hembra</t>
  </si>
  <si>
    <t>Marca 0001</t>
  </si>
  <si>
    <t>EJEMPLO</t>
  </si>
  <si>
    <t>EJ-002</t>
  </si>
  <si>
    <t>Macho</t>
  </si>
  <si>
    <t>Marca 0002</t>
  </si>
  <si>
    <t>EJ-003</t>
  </si>
  <si>
    <t>Especie de ejemplo B</t>
  </si>
  <si>
    <t>Indeterminado</t>
  </si>
  <si>
    <t>Marca 0003</t>
  </si>
  <si>
    <t>EJ-004</t>
  </si>
  <si>
    <t>Marca 0004</t>
  </si>
  <si>
    <t>EJ-005</t>
  </si>
  <si>
    <t>Especie de ejemplo C</t>
  </si>
  <si>
    <t>Marca 0005</t>
  </si>
  <si>
    <t>Movimientos de ejemplares</t>
  </si>
  <si>
    <t>Zoorigen · Material de apoyo. Anota el documento que respalda cada movimiento.</t>
  </si>
  <si>
    <t>Fecha</t>
  </si>
  <si>
    <t>Ejemplar</t>
  </si>
  <si>
    <t>Especie</t>
  </si>
  <si>
    <t>Tipo</t>
  </si>
  <si>
    <t>Motivo</t>
  </si>
  <si>
    <t>Documento que lo respalda</t>
  </si>
  <si>
    <t>Origen o destino</t>
  </si>
  <si>
    <t>Responsable</t>
  </si>
  <si>
    <t>Efecto</t>
  </si>
  <si>
    <t>Año</t>
  </si>
  <si>
    <t>Ingreso</t>
  </si>
  <si>
    <t>Adquisición</t>
  </si>
  <si>
    <t>Descripción del documento (ejemplo)</t>
  </si>
  <si>
    <t>Origen de ejemplo</t>
  </si>
  <si>
    <t>Nombre</t>
  </si>
  <si>
    <t>Nacimiento</t>
  </si>
  <si>
    <t>Acta interna de nacimiento (ejemplo)</t>
  </si>
  <si>
    <t>Nacido en la unidad</t>
  </si>
  <si>
    <t>Traslado entrante</t>
  </si>
  <si>
    <t>Intercambio o préstamo</t>
  </si>
  <si>
    <t>Otra unidad (ejemplo)</t>
  </si>
  <si>
    <t>Rescate o entrega</t>
  </si>
  <si>
    <t>Entrega voluntaria (ejemplo)</t>
  </si>
  <si>
    <t>Baja</t>
  </si>
  <si>
    <t>Muerte</t>
  </si>
  <si>
    <t>Registro de mortalidad (ejemplo)</t>
  </si>
  <si>
    <t>Traslado saliente</t>
  </si>
  <si>
    <t>Liberación</t>
  </si>
  <si>
    <t>Destino de ejemplo</t>
  </si>
  <si>
    <t>Resumen anual por especie</t>
  </si>
  <si>
    <t>Escribe el año y las especies (como aparecen en Ejemplares).</t>
  </si>
  <si>
    <t>Año del resumen</t>
  </si>
  <si>
    <t>Existencia al 1 de enero</t>
  </si>
  <si>
    <t>Ingresos</t>
  </si>
  <si>
    <t>Bajas</t>
  </si>
  <si>
    <t>Traslados salientes</t>
  </si>
  <si>
    <t>Existencia al 31 de dic.</t>
  </si>
  <si>
    <t>Existencia actual</t>
  </si>
  <si>
    <t>Revisión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</si>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</sst>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+0;-0;0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  <color rgb="FFFFFFFF"/>
    </font>
    <font>
      <i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7" fillId="4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0" fontId="9" fillId="5" borderId="2" xfId="0" applyFont="1" applyFill="1" applyBorder="1" applyAlignment="1" applyProtection="1">
      <alignment vertical="center"/>
    </xf>
    <xf numFmtId="165" fontId="9" fillId="5" borderId="2" xfId="0" applyNumberFormat="1" applyFont="1" applyFill="1" applyBorder="1" applyAlignment="1" applyProtection="1">
      <alignment vertical="center"/>
    </xf>
    <xf numFmtId="1" fontId="9" fillId="5" borderId="2" xfId="0" applyNumberFormat="1" applyFont="1" applyFill="1" applyBorder="1" applyAlignment="1" applyProtection="1">
      <alignment vertical="center"/>
    </xf>
    <xf numFmtId="164" fontId="5" fillId="0" borderId="2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" fontId="3" fillId="6" borderId="2" xfId="0" applyNumberFormat="1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 applyProtection="1">
      <alignment vertical="center"/>
      <protection locked="0"/>
    </xf>
    <xf numFmtId="0" fontId="12" fillId="0" borderId="0" xfId="0" applyFont="1"/>
    <xf numFmtId="1" fontId="12" fillId="5" borderId="2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4">
    <dxf>
      <font>
        <b/>
        <color rgb="FFC75402"/>
      </font>
    </dxf>
    <dxf>
      <font>
        <b/>
        <color rgb="FF1F5F3A"/>
      </font>
    </dxf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1F5F3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Movimientos del año por especie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spPr>
            <a:solidFill>
              <a:srgbClr val="1F5F3A"/>
            </a:solidFill>
          </c:spPr>
          <c:invertIfNegative val="0"/>
          <c:cat>
            <c:strRef>
              <c:f>Resumen!$A$6:$A$15</c:f>
            </c:strRef>
          </c:cat>
          <c:val>
            <c:numRef>
              <c:f>Resumen!$C$6:$C$15</c:f>
            </c:numRef>
          </c:val>
        </c:ser>
        <c:ser>
          <c:idx val="1"/>
          <c:order val="1"/>
          <c:tx>
            <c:v>Bajas</c:v>
          </c:tx>
          <c:spPr>
            <a:solidFill>
              <a:srgbClr val="C75402"/>
            </a:solidFill>
          </c:spPr>
          <c:invertIfNegative val="0"/>
          <c:cat>
            <c:strRef>
              <c:f>Resumen!$A$6:$A$15</c:f>
            </c:strRef>
          </c:cat>
          <c:val>
            <c:numRef>
              <c:f>Resumen!$D$6:$D$15</c:f>
            </c:numRef>
          </c:val>
        </c:ser>
        <c:ser>
          <c:idx val="2"/>
          <c:order val="2"/>
          <c:tx>
            <c:v>Traslados salientes</c:v>
          </c:tx>
          <c:spPr>
            <a:solidFill>
              <a:srgbClr val="E8A317"/>
            </a:solidFill>
          </c:spPr>
          <c:invertIfNegative val="0"/>
          <c:cat>
            <c:strRef>
              <c:f>Resumen!$A$6:$A$15</c:f>
            </c:strRef>
          </c:cat>
          <c:val>
            <c:numRef>
              <c:f>Resumen!$E$6:$E$15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Ejemplares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2" name="Gráfico 1" descr="Movimientos del año por especi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84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2" spans="2:3" x14ac:dyDescent="0.25">
      <c r="B12" s="3" t="s">
        <v>12</v>
      </c>
      <c r="C12" s="3"/>
    </row>
    <row r="13" ht="36" customHeight="1" spans="2:3" x14ac:dyDescent="0.25">
      <c r="B13" s="4" t="s">
        <v>13</v>
      </c>
      <c r="C13" s="5" t="s">
        <v>14</v>
      </c>
    </row>
    <row r="14" ht="52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7" ht="36" customHeight="1" spans="2:3" x14ac:dyDescent="0.25">
      <c r="B17" s="4" t="s">
        <v>21</v>
      </c>
      <c r="C17" s="5" t="s">
        <v>22</v>
      </c>
    </row>
    <row r="19" spans="2:3" x14ac:dyDescent="0.25">
      <c r="B19" s="3" t="s">
        <v>23</v>
      </c>
      <c r="C19" s="3"/>
    </row>
    <row r="20" ht="20" customHeight="1" spans="2:3" x14ac:dyDescent="0.25">
      <c r="B20" s="4" t="s">
        <v>24</v>
      </c>
      <c r="C20" s="5" t="s">
        <v>25</v>
      </c>
    </row>
    <row r="21" ht="20" customHeight="1" spans="2:3" x14ac:dyDescent="0.25">
      <c r="B21" s="4" t="s">
        <v>26</v>
      </c>
      <c r="C21" s="5" t="s">
        <v>27</v>
      </c>
    </row>
    <row r="22" ht="52" customHeight="1" spans="2:3" x14ac:dyDescent="0.25">
      <c r="B22" s="4" t="s">
        <v>28</v>
      </c>
      <c r="C22" s="5" t="s">
        <v>29</v>
      </c>
    </row>
    <row r="24" spans="2:3" x14ac:dyDescent="0.25">
      <c r="B24" s="3" t="s">
        <v>30</v>
      </c>
      <c r="C24" s="3"/>
    </row>
    <row r="25" ht="52" customHeight="1" spans="2:3" x14ac:dyDescent="0.25">
      <c r="B25" s="4" t="s">
        <v>3</v>
      </c>
      <c r="C25" s="5" t="s">
        <v>31</v>
      </c>
    </row>
    <row r="26" ht="20" customHeight="1" spans="2:3" x14ac:dyDescent="0.25">
      <c r="B26" s="4" t="s">
        <v>3</v>
      </c>
      <c r="C26" s="5" t="s">
        <v>32</v>
      </c>
    </row>
    <row r="28" spans="2:3" x14ac:dyDescent="0.25">
      <c r="B28" s="3" t="s">
        <v>33</v>
      </c>
      <c r="C28" s="3"/>
    </row>
    <row r="29" ht="36" customHeight="1" spans="2:3" x14ac:dyDescent="0.25">
      <c r="B29" s="4" t="s">
        <v>3</v>
      </c>
      <c r="C29" s="5" t="s">
        <v>34</v>
      </c>
    </row>
  </sheetData>
  <sheetProtection sheet="1"/>
  <mergeCells count="8">
    <mergeCell ref="A1:C1"/>
    <mergeCell ref="A2:C2"/>
    <mergeCell ref="B4:C4"/>
    <mergeCell ref="B7:C7"/>
    <mergeCell ref="B12:C12"/>
    <mergeCell ref="B19:C19"/>
    <mergeCell ref="B24:C24"/>
    <mergeCell ref="B28:C28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G30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14" customWidth="1"/>
    <col min="5" max="5" width="22" customWidth="1"/>
    <col min="6" max="6" width="26" customWidth="1"/>
    <col min="7" max="7" width="11" customWidth="1"/>
  </cols>
  <sheetData>
    <row r="1" ht="30" customHeight="1" spans="1:7" x14ac:dyDescent="0.25">
      <c r="A1" s="6" t="s">
        <v>6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35</v>
      </c>
      <c r="B2" s="7"/>
      <c r="C2" s="7"/>
      <c r="D2" s="7"/>
      <c r="E2" s="7"/>
      <c r="F2" s="7"/>
      <c r="G2" s="7"/>
    </row>
    <row r="4" ht="34" customHeight="1" spans="1:7" x14ac:dyDescent="0.25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</row>
    <row r="5" spans="1:7" x14ac:dyDescent="0.25">
      <c r="A5" s="9" t="s">
        <v>43</v>
      </c>
      <c r="B5" s="9" t="s">
        <v>44</v>
      </c>
      <c r="C5" s="9" t="s">
        <v>45</v>
      </c>
      <c r="D5" s="9" t="s">
        <v>46</v>
      </c>
      <c r="E5" s="9" t="s">
        <v>47</v>
      </c>
      <c r="F5" s="9"/>
      <c r="G5" s="9" t="s">
        <v>48</v>
      </c>
    </row>
    <row r="6" spans="1:7" x14ac:dyDescent="0.25">
      <c r="A6" s="9" t="s">
        <v>49</v>
      </c>
      <c r="B6" s="9" t="s">
        <v>44</v>
      </c>
      <c r="C6" s="9" t="s">
        <v>45</v>
      </c>
      <c r="D6" s="9" t="s">
        <v>50</v>
      </c>
      <c r="E6" s="9" t="s">
        <v>51</v>
      </c>
      <c r="F6" s="9"/>
      <c r="G6" s="9" t="s">
        <v>48</v>
      </c>
    </row>
    <row r="7" spans="1:7" x14ac:dyDescent="0.25">
      <c r="A7" s="9" t="s">
        <v>52</v>
      </c>
      <c r="B7" s="9" t="s">
        <v>53</v>
      </c>
      <c r="C7" s="9" t="s">
        <v>45</v>
      </c>
      <c r="D7" s="9" t="s">
        <v>54</v>
      </c>
      <c r="E7" s="9" t="s">
        <v>55</v>
      </c>
      <c r="F7" s="9"/>
      <c r="G7" s="9" t="s">
        <v>48</v>
      </c>
    </row>
    <row r="8" spans="1:7" x14ac:dyDescent="0.25">
      <c r="A8" s="9" t="s">
        <v>56</v>
      </c>
      <c r="B8" s="9" t="s">
        <v>53</v>
      </c>
      <c r="C8" s="9" t="s">
        <v>45</v>
      </c>
      <c r="D8" s="9" t="s">
        <v>46</v>
      </c>
      <c r="E8" s="9" t="s">
        <v>57</v>
      </c>
      <c r="F8" s="9"/>
      <c r="G8" s="9" t="s">
        <v>48</v>
      </c>
    </row>
    <row r="9" spans="1:7" x14ac:dyDescent="0.25">
      <c r="A9" s="9" t="s">
        <v>58</v>
      </c>
      <c r="B9" s="9" t="s">
        <v>59</v>
      </c>
      <c r="C9" s="9" t="s">
        <v>45</v>
      </c>
      <c r="D9" s="9" t="s">
        <v>50</v>
      </c>
      <c r="E9" s="9" t="s">
        <v>60</v>
      </c>
      <c r="F9" s="9"/>
      <c r="G9" s="9" t="s">
        <v>48</v>
      </c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  <row r="14" spans="1:7" x14ac:dyDescent="0.25">
      <c r="A14" s="10"/>
      <c r="B14" s="10"/>
      <c r="C14" s="10"/>
      <c r="D14" s="10"/>
      <c r="E14" s="10"/>
      <c r="F14" s="10"/>
      <c r="G14" s="10"/>
    </row>
    <row r="15" spans="1:7" x14ac:dyDescent="0.25">
      <c r="A15" s="10"/>
      <c r="B15" s="10"/>
      <c r="C15" s="10"/>
      <c r="D15" s="10"/>
      <c r="E15" s="10"/>
      <c r="F15" s="10"/>
      <c r="G15" s="10"/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/>
      <c r="B18" s="10"/>
      <c r="C18" s="10"/>
      <c r="D18" s="10"/>
      <c r="E18" s="10"/>
      <c r="F18" s="10"/>
      <c r="G18" s="10"/>
    </row>
    <row r="19" spans="1:7" x14ac:dyDescent="0.25">
      <c r="A19" s="10"/>
      <c r="B19" s="10"/>
      <c r="C19" s="10"/>
      <c r="D19" s="10"/>
      <c r="E19" s="10"/>
      <c r="F19" s="10"/>
      <c r="G19" s="10"/>
    </row>
    <row r="20" spans="1:7" x14ac:dyDescent="0.25">
      <c r="A20" s="10"/>
      <c r="B20" s="10"/>
      <c r="C20" s="10"/>
      <c r="D20" s="10"/>
      <c r="E20" s="10"/>
      <c r="F20" s="10"/>
      <c r="G20" s="10"/>
    </row>
    <row r="21" spans="1:7" x14ac:dyDescent="0.25">
      <c r="A21" s="10"/>
      <c r="B21" s="10"/>
      <c r="C21" s="10"/>
      <c r="D21" s="10"/>
      <c r="E21" s="10"/>
      <c r="F21" s="10"/>
      <c r="G21" s="10"/>
    </row>
    <row r="22" spans="1:7" x14ac:dyDescent="0.25">
      <c r="A22" s="10"/>
      <c r="B22" s="10"/>
      <c r="C22" s="10"/>
      <c r="D22" s="10"/>
      <c r="E22" s="10"/>
      <c r="F22" s="10"/>
      <c r="G22" s="10"/>
    </row>
    <row r="23" spans="1:7" x14ac:dyDescent="0.25">
      <c r="A23" s="10"/>
      <c r="B23" s="10"/>
      <c r="C23" s="10"/>
      <c r="D23" s="10"/>
      <c r="E23" s="10"/>
      <c r="F23" s="10"/>
      <c r="G23" s="10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10"/>
      <c r="B25" s="10"/>
      <c r="C25" s="10"/>
      <c r="D25" s="10"/>
      <c r="E25" s="10"/>
      <c r="F25" s="10"/>
      <c r="G25" s="10"/>
    </row>
    <row r="26" spans="1:7" x14ac:dyDescent="0.25">
      <c r="A26" s="10"/>
      <c r="B26" s="10"/>
      <c r="C26" s="10"/>
      <c r="D26" s="10"/>
      <c r="E26" s="10"/>
      <c r="F26" s="10"/>
      <c r="G26" s="10"/>
    </row>
    <row r="27" spans="1:7" x14ac:dyDescent="0.25">
      <c r="A27" s="10"/>
      <c r="B27" s="10"/>
      <c r="C27" s="10"/>
      <c r="D27" s="10"/>
      <c r="E27" s="10"/>
      <c r="F27" s="10"/>
      <c r="G27" s="10"/>
    </row>
    <row r="28" spans="1:7" x14ac:dyDescent="0.25">
      <c r="A28" s="10"/>
      <c r="B28" s="10"/>
      <c r="C28" s="10"/>
      <c r="D28" s="10"/>
      <c r="E28" s="10"/>
      <c r="F28" s="10"/>
      <c r="G28" s="10"/>
    </row>
    <row r="29" spans="1:7" x14ac:dyDescent="0.25">
      <c r="A29" s="10"/>
      <c r="B29" s="10"/>
      <c r="C29" s="10"/>
      <c r="D29" s="10"/>
      <c r="E29" s="10"/>
      <c r="F29" s="10"/>
      <c r="G29" s="10"/>
    </row>
    <row r="30" spans="1:7" x14ac:dyDescent="0.25">
      <c r="A30" s="10"/>
      <c r="B30" s="10"/>
      <c r="C30" s="10"/>
      <c r="D30" s="10"/>
      <c r="E30" s="10"/>
      <c r="F30" s="10"/>
      <c r="G30" s="10"/>
    </row>
    <row r="31" spans="1:7" x14ac:dyDescent="0.25">
      <c r="A31" s="10"/>
      <c r="B31" s="10"/>
      <c r="C31" s="10"/>
      <c r="D31" s="10"/>
      <c r="E31" s="10"/>
      <c r="F31" s="10"/>
      <c r="G31" s="10"/>
    </row>
    <row r="32" spans="1:7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x14ac:dyDescent="0.25">
      <c r="A57" s="10"/>
      <c r="B57" s="10"/>
      <c r="C57" s="10"/>
      <c r="D57" s="10"/>
      <c r="E57" s="10"/>
      <c r="F57" s="10"/>
      <c r="G57" s="10"/>
    </row>
    <row r="58" spans="1:7" x14ac:dyDescent="0.25">
      <c r="A58" s="10"/>
      <c r="B58" s="10"/>
      <c r="C58" s="10"/>
      <c r="D58" s="10"/>
      <c r="E58" s="10"/>
      <c r="F58" s="10"/>
      <c r="G58" s="10"/>
    </row>
    <row r="59" spans="1:7" x14ac:dyDescent="0.25">
      <c r="A59" s="10"/>
      <c r="B59" s="10"/>
      <c r="C59" s="10"/>
      <c r="D59" s="10"/>
      <c r="E59" s="10"/>
      <c r="F59" s="10"/>
      <c r="G59" s="10"/>
    </row>
    <row r="60" spans="1:7" x14ac:dyDescent="0.25">
      <c r="A60" s="10"/>
      <c r="B60" s="10"/>
      <c r="C60" s="10"/>
      <c r="D60" s="10"/>
      <c r="E60" s="10"/>
      <c r="F60" s="10"/>
      <c r="G60" s="10"/>
    </row>
    <row r="61" spans="1:7" x14ac:dyDescent="0.25">
      <c r="A61" s="10"/>
      <c r="B61" s="10"/>
      <c r="C61" s="10"/>
      <c r="D61" s="10"/>
      <c r="E61" s="10"/>
      <c r="F61" s="10"/>
      <c r="G61" s="10"/>
    </row>
    <row r="62" spans="1:7" x14ac:dyDescent="0.25">
      <c r="A62" s="10"/>
      <c r="B62" s="10"/>
      <c r="C62" s="10"/>
      <c r="D62" s="10"/>
      <c r="E62" s="10"/>
      <c r="F62" s="10"/>
      <c r="G62" s="10"/>
    </row>
    <row r="63" spans="1:7" x14ac:dyDescent="0.25">
      <c r="A63" s="10"/>
      <c r="B63" s="10"/>
      <c r="C63" s="10"/>
      <c r="D63" s="10"/>
      <c r="E63" s="10"/>
      <c r="F63" s="10"/>
      <c r="G63" s="10"/>
    </row>
    <row r="64" spans="1:7" x14ac:dyDescent="0.25">
      <c r="A64" s="10"/>
      <c r="B64" s="10"/>
      <c r="C64" s="10"/>
      <c r="D64" s="10"/>
      <c r="E64" s="10"/>
      <c r="F64" s="10"/>
      <c r="G64" s="10"/>
    </row>
    <row r="65" spans="1:7" x14ac:dyDescent="0.25">
      <c r="A65" s="10"/>
      <c r="B65" s="10"/>
      <c r="C65" s="10"/>
      <c r="D65" s="10"/>
      <c r="E65" s="10"/>
      <c r="F65" s="10"/>
      <c r="G65" s="10"/>
    </row>
    <row r="66" spans="1:7" x14ac:dyDescent="0.25">
      <c r="A66" s="10"/>
      <c r="B66" s="10"/>
      <c r="C66" s="10"/>
      <c r="D66" s="10"/>
      <c r="E66" s="10"/>
      <c r="F66" s="10"/>
      <c r="G66" s="10"/>
    </row>
    <row r="67" spans="1:7" x14ac:dyDescent="0.25">
      <c r="A67" s="10"/>
      <c r="B67" s="10"/>
      <c r="C67" s="10"/>
      <c r="D67" s="10"/>
      <c r="E67" s="10"/>
      <c r="F67" s="10"/>
      <c r="G67" s="10"/>
    </row>
    <row r="68" spans="1:7" x14ac:dyDescent="0.25">
      <c r="A68" s="10"/>
      <c r="B68" s="10"/>
      <c r="C68" s="10"/>
      <c r="D68" s="10"/>
      <c r="E68" s="10"/>
      <c r="F68" s="10"/>
      <c r="G68" s="10"/>
    </row>
    <row r="69" spans="1:7" x14ac:dyDescent="0.25">
      <c r="A69" s="10"/>
      <c r="B69" s="10"/>
      <c r="C69" s="10"/>
      <c r="D69" s="10"/>
      <c r="E69" s="10"/>
      <c r="F69" s="10"/>
      <c r="G69" s="10"/>
    </row>
    <row r="70" spans="1:7" x14ac:dyDescent="0.25">
      <c r="A70" s="10"/>
      <c r="B70" s="10"/>
      <c r="C70" s="10"/>
      <c r="D70" s="10"/>
      <c r="E70" s="10"/>
      <c r="F70" s="10"/>
      <c r="G70" s="10"/>
    </row>
    <row r="71" spans="1:7" x14ac:dyDescent="0.25">
      <c r="A71" s="10"/>
      <c r="B71" s="10"/>
      <c r="C71" s="10"/>
      <c r="D71" s="10"/>
      <c r="E71" s="10"/>
      <c r="F71" s="10"/>
      <c r="G71" s="10"/>
    </row>
    <row r="72" spans="1:7" x14ac:dyDescent="0.25">
      <c r="A72" s="10"/>
      <c r="B72" s="10"/>
      <c r="C72" s="10"/>
      <c r="D72" s="10"/>
      <c r="E72" s="10"/>
      <c r="F72" s="10"/>
      <c r="G72" s="10"/>
    </row>
    <row r="73" spans="1:7" x14ac:dyDescent="0.25">
      <c r="A73" s="10"/>
      <c r="B73" s="10"/>
      <c r="C73" s="10"/>
      <c r="D73" s="10"/>
      <c r="E73" s="10"/>
      <c r="F73" s="10"/>
      <c r="G73" s="10"/>
    </row>
    <row r="74" spans="1:7" x14ac:dyDescent="0.25">
      <c r="A74" s="10"/>
      <c r="B74" s="10"/>
      <c r="C74" s="10"/>
      <c r="D74" s="10"/>
      <c r="E74" s="10"/>
      <c r="F74" s="10"/>
      <c r="G74" s="10"/>
    </row>
    <row r="75" spans="1:7" x14ac:dyDescent="0.25">
      <c r="A75" s="10"/>
      <c r="B75" s="10"/>
      <c r="C75" s="10"/>
      <c r="D75" s="10"/>
      <c r="E75" s="10"/>
      <c r="F75" s="10"/>
      <c r="G75" s="10"/>
    </row>
    <row r="76" spans="1:7" x14ac:dyDescent="0.25">
      <c r="A76" s="10"/>
      <c r="B76" s="10"/>
      <c r="C76" s="10"/>
      <c r="D76" s="10"/>
      <c r="E76" s="10"/>
      <c r="F76" s="10"/>
      <c r="G76" s="10"/>
    </row>
    <row r="77" spans="1:7" x14ac:dyDescent="0.25">
      <c r="A77" s="10"/>
      <c r="B77" s="10"/>
      <c r="C77" s="10"/>
      <c r="D77" s="10"/>
      <c r="E77" s="10"/>
      <c r="F77" s="10"/>
      <c r="G77" s="10"/>
    </row>
    <row r="78" spans="1:7" x14ac:dyDescent="0.25">
      <c r="A78" s="10"/>
      <c r="B78" s="10"/>
      <c r="C78" s="10"/>
      <c r="D78" s="10"/>
      <c r="E78" s="10"/>
      <c r="F78" s="10"/>
      <c r="G78" s="10"/>
    </row>
    <row r="79" spans="1:7" x14ac:dyDescent="0.25">
      <c r="A79" s="10"/>
      <c r="B79" s="10"/>
      <c r="C79" s="10"/>
      <c r="D79" s="10"/>
      <c r="E79" s="10"/>
      <c r="F79" s="10"/>
      <c r="G79" s="10"/>
    </row>
    <row r="80" spans="1:7" x14ac:dyDescent="0.25">
      <c r="A80" s="10"/>
      <c r="B80" s="10"/>
      <c r="C80" s="10"/>
      <c r="D80" s="10"/>
      <c r="E80" s="10"/>
      <c r="F80" s="10"/>
      <c r="G80" s="10"/>
    </row>
    <row r="81" spans="1:7" x14ac:dyDescent="0.25">
      <c r="A81" s="10"/>
      <c r="B81" s="10"/>
      <c r="C81" s="10"/>
      <c r="D81" s="10"/>
      <c r="E81" s="10"/>
      <c r="F81" s="10"/>
      <c r="G81" s="10"/>
    </row>
    <row r="82" spans="1:7" x14ac:dyDescent="0.25">
      <c r="A82" s="10"/>
      <c r="B82" s="10"/>
      <c r="C82" s="10"/>
      <c r="D82" s="10"/>
      <c r="E82" s="10"/>
      <c r="F82" s="10"/>
      <c r="G82" s="10"/>
    </row>
    <row r="83" spans="1:7" x14ac:dyDescent="0.25">
      <c r="A83" s="10"/>
      <c r="B83" s="10"/>
      <c r="C83" s="10"/>
      <c r="D83" s="10"/>
      <c r="E83" s="10"/>
      <c r="F83" s="10"/>
      <c r="G83" s="10"/>
    </row>
    <row r="84" spans="1:7" x14ac:dyDescent="0.25">
      <c r="A84" s="10"/>
      <c r="B84" s="10"/>
      <c r="C84" s="10"/>
      <c r="D84" s="10"/>
      <c r="E84" s="10"/>
      <c r="F84" s="10"/>
      <c r="G84" s="10"/>
    </row>
    <row r="85" spans="1:7" x14ac:dyDescent="0.25">
      <c r="A85" s="10"/>
      <c r="B85" s="10"/>
      <c r="C85" s="10"/>
      <c r="D85" s="10"/>
      <c r="E85" s="10"/>
      <c r="F85" s="10"/>
      <c r="G85" s="10"/>
    </row>
    <row r="86" spans="1:7" x14ac:dyDescent="0.25">
      <c r="A86" s="10"/>
      <c r="B86" s="10"/>
      <c r="C86" s="10"/>
      <c r="D86" s="10"/>
      <c r="E86" s="10"/>
      <c r="F86" s="10"/>
      <c r="G86" s="10"/>
    </row>
    <row r="87" spans="1:7" x14ac:dyDescent="0.25">
      <c r="A87" s="10"/>
      <c r="B87" s="10"/>
      <c r="C87" s="10"/>
      <c r="D87" s="10"/>
      <c r="E87" s="10"/>
      <c r="F87" s="10"/>
      <c r="G87" s="10"/>
    </row>
    <row r="88" spans="1:7" x14ac:dyDescent="0.25">
      <c r="A88" s="10"/>
      <c r="B88" s="10"/>
      <c r="C88" s="10"/>
      <c r="D88" s="10"/>
      <c r="E88" s="10"/>
      <c r="F88" s="10"/>
      <c r="G88" s="10"/>
    </row>
    <row r="89" spans="1:7" x14ac:dyDescent="0.25">
      <c r="A89" s="10"/>
      <c r="B89" s="10"/>
      <c r="C89" s="10"/>
      <c r="D89" s="10"/>
      <c r="E89" s="10"/>
      <c r="F89" s="10"/>
      <c r="G89" s="10"/>
    </row>
    <row r="90" spans="1:7" x14ac:dyDescent="0.25">
      <c r="A90" s="10"/>
      <c r="B90" s="10"/>
      <c r="C90" s="10"/>
      <c r="D90" s="10"/>
      <c r="E90" s="10"/>
      <c r="F90" s="10"/>
      <c r="G90" s="10"/>
    </row>
    <row r="91" spans="1:7" x14ac:dyDescent="0.25">
      <c r="A91" s="10"/>
      <c r="B91" s="10"/>
      <c r="C91" s="10"/>
      <c r="D91" s="10"/>
      <c r="E91" s="10"/>
      <c r="F91" s="10"/>
      <c r="G91" s="10"/>
    </row>
    <row r="92" spans="1:7" x14ac:dyDescent="0.25">
      <c r="A92" s="10"/>
      <c r="B92" s="10"/>
      <c r="C92" s="10"/>
      <c r="D92" s="10"/>
      <c r="E92" s="10"/>
      <c r="F92" s="10"/>
      <c r="G92" s="10"/>
    </row>
    <row r="93" spans="1:7" x14ac:dyDescent="0.25">
      <c r="A93" s="10"/>
      <c r="B93" s="10"/>
      <c r="C93" s="10"/>
      <c r="D93" s="10"/>
      <c r="E93" s="10"/>
      <c r="F93" s="10"/>
      <c r="G93" s="10"/>
    </row>
    <row r="94" spans="1:7" x14ac:dyDescent="0.25">
      <c r="A94" s="10"/>
      <c r="B94" s="10"/>
      <c r="C94" s="10"/>
      <c r="D94" s="10"/>
      <c r="E94" s="10"/>
      <c r="F94" s="10"/>
      <c r="G94" s="10"/>
    </row>
    <row r="95" spans="1:7" x14ac:dyDescent="0.25">
      <c r="A95" s="10"/>
      <c r="B95" s="10"/>
      <c r="C95" s="10"/>
      <c r="D95" s="10"/>
      <c r="E95" s="10"/>
      <c r="F95" s="10"/>
      <c r="G95" s="10"/>
    </row>
    <row r="96" spans="1:7" x14ac:dyDescent="0.25">
      <c r="A96" s="10"/>
      <c r="B96" s="10"/>
      <c r="C96" s="10"/>
      <c r="D96" s="10"/>
      <c r="E96" s="10"/>
      <c r="F96" s="10"/>
      <c r="G96" s="10"/>
    </row>
    <row r="97" spans="1:7" x14ac:dyDescent="0.25">
      <c r="A97" s="10"/>
      <c r="B97" s="10"/>
      <c r="C97" s="10"/>
      <c r="D97" s="10"/>
      <c r="E97" s="10"/>
      <c r="F97" s="10"/>
      <c r="G97" s="10"/>
    </row>
    <row r="98" spans="1:7" x14ac:dyDescent="0.25">
      <c r="A98" s="10"/>
      <c r="B98" s="10"/>
      <c r="C98" s="10"/>
      <c r="D98" s="10"/>
      <c r="E98" s="10"/>
      <c r="F98" s="10"/>
      <c r="G98" s="10"/>
    </row>
    <row r="99" spans="1:7" x14ac:dyDescent="0.25">
      <c r="A99" s="10"/>
      <c r="B99" s="10"/>
      <c r="C99" s="10"/>
      <c r="D99" s="10"/>
      <c r="E99" s="10"/>
      <c r="F99" s="10"/>
      <c r="G99" s="10"/>
    </row>
    <row r="100" spans="1:7" x14ac:dyDescent="0.25">
      <c r="A100" s="10"/>
      <c r="B100" s="10"/>
      <c r="C100" s="10"/>
      <c r="D100" s="10"/>
      <c r="E100" s="10"/>
      <c r="F100" s="10"/>
      <c r="G100" s="10"/>
    </row>
    <row r="101" spans="1:7" x14ac:dyDescent="0.25">
      <c r="A101" s="10"/>
      <c r="B101" s="10"/>
      <c r="C101" s="10"/>
      <c r="D101" s="10"/>
      <c r="E101" s="10"/>
      <c r="F101" s="10"/>
      <c r="G101" s="10"/>
    </row>
    <row r="102" spans="1:7" x14ac:dyDescent="0.25">
      <c r="A102" s="10"/>
      <c r="B102" s="10"/>
      <c r="C102" s="10"/>
      <c r="D102" s="10"/>
      <c r="E102" s="10"/>
      <c r="F102" s="10"/>
      <c r="G102" s="10"/>
    </row>
    <row r="103" spans="1:7" x14ac:dyDescent="0.25">
      <c r="A103" s="10"/>
      <c r="B103" s="10"/>
      <c r="C103" s="10"/>
      <c r="D103" s="10"/>
      <c r="E103" s="10"/>
      <c r="F103" s="10"/>
      <c r="G103" s="10"/>
    </row>
    <row r="104" spans="1:7" x14ac:dyDescent="0.25">
      <c r="A104" s="10"/>
      <c r="B104" s="10"/>
      <c r="C104" s="10"/>
      <c r="D104" s="10"/>
      <c r="E104" s="10"/>
      <c r="F104" s="10"/>
      <c r="G104" s="10"/>
    </row>
    <row r="105" spans="1:7" x14ac:dyDescent="0.25">
      <c r="A105" s="10"/>
      <c r="B105" s="10"/>
      <c r="C105" s="10"/>
      <c r="D105" s="10"/>
      <c r="E105" s="10"/>
      <c r="F105" s="10"/>
      <c r="G105" s="10"/>
    </row>
    <row r="106" spans="1:7" x14ac:dyDescent="0.25">
      <c r="A106" s="10"/>
      <c r="B106" s="10"/>
      <c r="C106" s="10"/>
      <c r="D106" s="10"/>
      <c r="E106" s="10"/>
      <c r="F106" s="10"/>
      <c r="G106" s="10"/>
    </row>
    <row r="107" spans="1:7" x14ac:dyDescent="0.25">
      <c r="A107" s="10"/>
      <c r="B107" s="10"/>
      <c r="C107" s="10"/>
      <c r="D107" s="10"/>
      <c r="E107" s="10"/>
      <c r="F107" s="10"/>
      <c r="G107" s="10"/>
    </row>
    <row r="108" spans="1:7" x14ac:dyDescent="0.25">
      <c r="A108" s="10"/>
      <c r="B108" s="10"/>
      <c r="C108" s="10"/>
      <c r="D108" s="10"/>
      <c r="E108" s="10"/>
      <c r="F108" s="10"/>
      <c r="G108" s="10"/>
    </row>
    <row r="109" spans="1:7" x14ac:dyDescent="0.25">
      <c r="A109" s="10"/>
      <c r="B109" s="10"/>
      <c r="C109" s="10"/>
      <c r="D109" s="10"/>
      <c r="E109" s="10"/>
      <c r="F109" s="10"/>
      <c r="G109" s="10"/>
    </row>
    <row r="110" spans="1:7" x14ac:dyDescent="0.25">
      <c r="A110" s="10"/>
      <c r="B110" s="10"/>
      <c r="C110" s="10"/>
      <c r="D110" s="10"/>
      <c r="E110" s="10"/>
      <c r="F110" s="10"/>
      <c r="G110" s="10"/>
    </row>
    <row r="111" spans="1:7" x14ac:dyDescent="0.25">
      <c r="A111" s="10"/>
      <c r="B111" s="10"/>
      <c r="C111" s="10"/>
      <c r="D111" s="10"/>
      <c r="E111" s="10"/>
      <c r="F111" s="10"/>
      <c r="G111" s="10"/>
    </row>
    <row r="112" spans="1:7" x14ac:dyDescent="0.25">
      <c r="A112" s="10"/>
      <c r="B112" s="10"/>
      <c r="C112" s="10"/>
      <c r="D112" s="10"/>
      <c r="E112" s="10"/>
      <c r="F112" s="10"/>
      <c r="G112" s="10"/>
    </row>
    <row r="113" spans="1:7" x14ac:dyDescent="0.25">
      <c r="A113" s="10"/>
      <c r="B113" s="10"/>
      <c r="C113" s="10"/>
      <c r="D113" s="10"/>
      <c r="E113" s="10"/>
      <c r="F113" s="10"/>
      <c r="G113" s="10"/>
    </row>
    <row r="114" spans="1:7" x14ac:dyDescent="0.25">
      <c r="A114" s="10"/>
      <c r="B114" s="10"/>
      <c r="C114" s="10"/>
      <c r="D114" s="10"/>
      <c r="E114" s="10"/>
      <c r="F114" s="10"/>
      <c r="G114" s="10"/>
    </row>
    <row r="115" spans="1:7" x14ac:dyDescent="0.25">
      <c r="A115" s="10"/>
      <c r="B115" s="10"/>
      <c r="C115" s="10"/>
      <c r="D115" s="10"/>
      <c r="E115" s="10"/>
      <c r="F115" s="10"/>
      <c r="G115" s="10"/>
    </row>
    <row r="116" spans="1:7" x14ac:dyDescent="0.25">
      <c r="A116" s="10"/>
      <c r="B116" s="10"/>
      <c r="C116" s="10"/>
      <c r="D116" s="10"/>
      <c r="E116" s="10"/>
      <c r="F116" s="10"/>
      <c r="G116" s="10"/>
    </row>
    <row r="117" spans="1:7" x14ac:dyDescent="0.25">
      <c r="A117" s="10"/>
      <c r="B117" s="10"/>
      <c r="C117" s="10"/>
      <c r="D117" s="10"/>
      <c r="E117" s="10"/>
      <c r="F117" s="10"/>
      <c r="G117" s="10"/>
    </row>
    <row r="118" spans="1:7" x14ac:dyDescent="0.25">
      <c r="A118" s="10"/>
      <c r="B118" s="10"/>
      <c r="C118" s="10"/>
      <c r="D118" s="10"/>
      <c r="E118" s="10"/>
      <c r="F118" s="10"/>
      <c r="G118" s="10"/>
    </row>
    <row r="119" spans="1:7" x14ac:dyDescent="0.25">
      <c r="A119" s="10"/>
      <c r="B119" s="10"/>
      <c r="C119" s="10"/>
      <c r="D119" s="10"/>
      <c r="E119" s="10"/>
      <c r="F119" s="10"/>
      <c r="G119" s="10"/>
    </row>
    <row r="120" spans="1:7" x14ac:dyDescent="0.25">
      <c r="A120" s="10"/>
      <c r="B120" s="10"/>
      <c r="C120" s="10"/>
      <c r="D120" s="10"/>
      <c r="E120" s="10"/>
      <c r="F120" s="10"/>
      <c r="G120" s="10"/>
    </row>
    <row r="121" spans="1:7" x14ac:dyDescent="0.25">
      <c r="A121" s="10"/>
      <c r="B121" s="10"/>
      <c r="C121" s="10"/>
      <c r="D121" s="10"/>
      <c r="E121" s="10"/>
      <c r="F121" s="10"/>
      <c r="G121" s="10"/>
    </row>
    <row r="122" spans="1:7" x14ac:dyDescent="0.25">
      <c r="A122" s="10"/>
      <c r="B122" s="10"/>
      <c r="C122" s="10"/>
      <c r="D122" s="10"/>
      <c r="E122" s="10"/>
      <c r="F122" s="10"/>
      <c r="G122" s="10"/>
    </row>
    <row r="123" spans="1:7" x14ac:dyDescent="0.25">
      <c r="A123" s="10"/>
      <c r="B123" s="10"/>
      <c r="C123" s="10"/>
      <c r="D123" s="10"/>
      <c r="E123" s="10"/>
      <c r="F123" s="10"/>
      <c r="G123" s="10"/>
    </row>
    <row r="124" spans="1:7" x14ac:dyDescent="0.25">
      <c r="A124" s="10"/>
      <c r="B124" s="10"/>
      <c r="C124" s="10"/>
      <c r="D124" s="10"/>
      <c r="E124" s="10"/>
      <c r="F124" s="10"/>
      <c r="G124" s="10"/>
    </row>
    <row r="125" spans="1:7" x14ac:dyDescent="0.25">
      <c r="A125" s="10"/>
      <c r="B125" s="10"/>
      <c r="C125" s="10"/>
      <c r="D125" s="10"/>
      <c r="E125" s="10"/>
      <c r="F125" s="10"/>
      <c r="G125" s="10"/>
    </row>
    <row r="126" spans="1:7" x14ac:dyDescent="0.25">
      <c r="A126" s="10"/>
      <c r="B126" s="10"/>
      <c r="C126" s="10"/>
      <c r="D126" s="10"/>
      <c r="E126" s="10"/>
      <c r="F126" s="10"/>
      <c r="G126" s="10"/>
    </row>
    <row r="127" spans="1:7" x14ac:dyDescent="0.25">
      <c r="A127" s="10"/>
      <c r="B127" s="10"/>
      <c r="C127" s="10"/>
      <c r="D127" s="10"/>
      <c r="E127" s="10"/>
      <c r="F127" s="10"/>
      <c r="G127" s="10"/>
    </row>
    <row r="128" spans="1:7" x14ac:dyDescent="0.25">
      <c r="A128" s="10"/>
      <c r="B128" s="10"/>
      <c r="C128" s="10"/>
      <c r="D128" s="10"/>
      <c r="E128" s="10"/>
      <c r="F128" s="10"/>
      <c r="G128" s="10"/>
    </row>
    <row r="129" spans="1:7" x14ac:dyDescent="0.25">
      <c r="A129" s="10"/>
      <c r="B129" s="10"/>
      <c r="C129" s="10"/>
      <c r="D129" s="10"/>
      <c r="E129" s="10"/>
      <c r="F129" s="10"/>
      <c r="G129" s="10"/>
    </row>
    <row r="130" spans="1:7" x14ac:dyDescent="0.25">
      <c r="A130" s="10"/>
      <c r="B130" s="10"/>
      <c r="C130" s="10"/>
      <c r="D130" s="10"/>
      <c r="E130" s="10"/>
      <c r="F130" s="10"/>
      <c r="G130" s="10"/>
    </row>
    <row r="131" spans="1:7" x14ac:dyDescent="0.25">
      <c r="A131" s="10"/>
      <c r="B131" s="10"/>
      <c r="C131" s="10"/>
      <c r="D131" s="10"/>
      <c r="E131" s="10"/>
      <c r="F131" s="10"/>
      <c r="G131" s="10"/>
    </row>
    <row r="132" spans="1:7" x14ac:dyDescent="0.25">
      <c r="A132" s="10"/>
      <c r="B132" s="10"/>
      <c r="C132" s="10"/>
      <c r="D132" s="10"/>
      <c r="E132" s="10"/>
      <c r="F132" s="10"/>
      <c r="G132" s="10"/>
    </row>
    <row r="133" spans="1:7" x14ac:dyDescent="0.25">
      <c r="A133" s="10"/>
      <c r="B133" s="10"/>
      <c r="C133" s="10"/>
      <c r="D133" s="10"/>
      <c r="E133" s="10"/>
      <c r="F133" s="10"/>
      <c r="G133" s="10"/>
    </row>
    <row r="134" spans="1:7" x14ac:dyDescent="0.25">
      <c r="A134" s="10"/>
      <c r="B134" s="10"/>
      <c r="C134" s="10"/>
      <c r="D134" s="10"/>
      <c r="E134" s="10"/>
      <c r="F134" s="10"/>
      <c r="G134" s="10"/>
    </row>
    <row r="135" spans="1:7" x14ac:dyDescent="0.25">
      <c r="A135" s="10"/>
      <c r="B135" s="10"/>
      <c r="C135" s="10"/>
      <c r="D135" s="10"/>
      <c r="E135" s="10"/>
      <c r="F135" s="10"/>
      <c r="G135" s="10"/>
    </row>
    <row r="136" spans="1:7" x14ac:dyDescent="0.25">
      <c r="A136" s="10"/>
      <c r="B136" s="10"/>
      <c r="C136" s="10"/>
      <c r="D136" s="10"/>
      <c r="E136" s="10"/>
      <c r="F136" s="10"/>
      <c r="G136" s="10"/>
    </row>
    <row r="137" spans="1:7" x14ac:dyDescent="0.25">
      <c r="A137" s="10"/>
      <c r="B137" s="10"/>
      <c r="C137" s="10"/>
      <c r="D137" s="10"/>
      <c r="E137" s="10"/>
      <c r="F137" s="10"/>
      <c r="G137" s="10"/>
    </row>
    <row r="138" spans="1:7" x14ac:dyDescent="0.25">
      <c r="A138" s="10"/>
      <c r="B138" s="10"/>
      <c r="C138" s="10"/>
      <c r="D138" s="10"/>
      <c r="E138" s="10"/>
      <c r="F138" s="10"/>
      <c r="G138" s="10"/>
    </row>
    <row r="139" spans="1:7" x14ac:dyDescent="0.25">
      <c r="A139" s="10"/>
      <c r="B139" s="10"/>
      <c r="C139" s="10"/>
      <c r="D139" s="10"/>
      <c r="E139" s="10"/>
      <c r="F139" s="10"/>
      <c r="G139" s="10"/>
    </row>
    <row r="140" spans="1:7" x14ac:dyDescent="0.25">
      <c r="A140" s="10"/>
      <c r="B140" s="10"/>
      <c r="C140" s="10"/>
      <c r="D140" s="10"/>
      <c r="E140" s="10"/>
      <c r="F140" s="10"/>
      <c r="G140" s="10"/>
    </row>
    <row r="141" spans="1:7" x14ac:dyDescent="0.25">
      <c r="A141" s="10"/>
      <c r="B141" s="10"/>
      <c r="C141" s="10"/>
      <c r="D141" s="10"/>
      <c r="E141" s="10"/>
      <c r="F141" s="10"/>
      <c r="G141" s="10"/>
    </row>
    <row r="142" spans="1:7" x14ac:dyDescent="0.25">
      <c r="A142" s="10"/>
      <c r="B142" s="10"/>
      <c r="C142" s="10"/>
      <c r="D142" s="10"/>
      <c r="E142" s="10"/>
      <c r="F142" s="10"/>
      <c r="G142" s="10"/>
    </row>
    <row r="143" spans="1:7" x14ac:dyDescent="0.25">
      <c r="A143" s="10"/>
      <c r="B143" s="10"/>
      <c r="C143" s="10"/>
      <c r="D143" s="10"/>
      <c r="E143" s="10"/>
      <c r="F143" s="10"/>
      <c r="G143" s="10"/>
    </row>
    <row r="144" spans="1:7" x14ac:dyDescent="0.25">
      <c r="A144" s="10"/>
      <c r="B144" s="10"/>
      <c r="C144" s="10"/>
      <c r="D144" s="10"/>
      <c r="E144" s="10"/>
      <c r="F144" s="10"/>
      <c r="G144" s="10"/>
    </row>
    <row r="145" spans="1:7" x14ac:dyDescent="0.25">
      <c r="A145" s="10"/>
      <c r="B145" s="10"/>
      <c r="C145" s="10"/>
      <c r="D145" s="10"/>
      <c r="E145" s="10"/>
      <c r="F145" s="10"/>
      <c r="G145" s="10"/>
    </row>
    <row r="146" spans="1:7" x14ac:dyDescent="0.25">
      <c r="A146" s="10"/>
      <c r="B146" s="10"/>
      <c r="C146" s="10"/>
      <c r="D146" s="10"/>
      <c r="E146" s="10"/>
      <c r="F146" s="10"/>
      <c r="G146" s="10"/>
    </row>
    <row r="147" spans="1:7" x14ac:dyDescent="0.25">
      <c r="A147" s="10"/>
      <c r="B147" s="10"/>
      <c r="C147" s="10"/>
      <c r="D147" s="10"/>
      <c r="E147" s="10"/>
      <c r="F147" s="10"/>
      <c r="G147" s="10"/>
    </row>
    <row r="148" spans="1:7" x14ac:dyDescent="0.25">
      <c r="A148" s="10"/>
      <c r="B148" s="10"/>
      <c r="C148" s="10"/>
      <c r="D148" s="10"/>
      <c r="E148" s="10"/>
      <c r="F148" s="10"/>
      <c r="G148" s="10"/>
    </row>
    <row r="149" spans="1:7" x14ac:dyDescent="0.25">
      <c r="A149" s="10"/>
      <c r="B149" s="10"/>
      <c r="C149" s="10"/>
      <c r="D149" s="10"/>
      <c r="E149" s="10"/>
      <c r="F149" s="10"/>
      <c r="G149" s="10"/>
    </row>
    <row r="150" spans="1:7" x14ac:dyDescent="0.25">
      <c r="A150" s="10"/>
      <c r="B150" s="10"/>
      <c r="C150" s="10"/>
      <c r="D150" s="10"/>
      <c r="E150" s="10"/>
      <c r="F150" s="10"/>
      <c r="G150" s="10"/>
    </row>
    <row r="151" spans="1:7" x14ac:dyDescent="0.25">
      <c r="A151" s="10"/>
      <c r="B151" s="10"/>
      <c r="C151" s="10"/>
      <c r="D151" s="10"/>
      <c r="E151" s="10"/>
      <c r="F151" s="10"/>
      <c r="G151" s="10"/>
    </row>
    <row r="152" spans="1:7" x14ac:dyDescent="0.25">
      <c r="A152" s="10"/>
      <c r="B152" s="10"/>
      <c r="C152" s="10"/>
      <c r="D152" s="10"/>
      <c r="E152" s="10"/>
      <c r="F152" s="10"/>
      <c r="G152" s="10"/>
    </row>
    <row r="153" spans="1:7" x14ac:dyDescent="0.25">
      <c r="A153" s="10"/>
      <c r="B153" s="10"/>
      <c r="C153" s="10"/>
      <c r="D153" s="10"/>
      <c r="E153" s="10"/>
      <c r="F153" s="10"/>
      <c r="G153" s="10"/>
    </row>
    <row r="154" spans="1:7" x14ac:dyDescent="0.25">
      <c r="A154" s="10"/>
      <c r="B154" s="10"/>
      <c r="C154" s="10"/>
      <c r="D154" s="10"/>
      <c r="E154" s="10"/>
      <c r="F154" s="10"/>
      <c r="G154" s="10"/>
    </row>
    <row r="155" spans="1:7" x14ac:dyDescent="0.25">
      <c r="A155" s="10"/>
      <c r="B155" s="10"/>
      <c r="C155" s="10"/>
      <c r="D155" s="10"/>
      <c r="E155" s="10"/>
      <c r="F155" s="10"/>
      <c r="G155" s="10"/>
    </row>
    <row r="156" spans="1:7" x14ac:dyDescent="0.25">
      <c r="A156" s="10"/>
      <c r="B156" s="10"/>
      <c r="C156" s="10"/>
      <c r="D156" s="10"/>
      <c r="E156" s="10"/>
      <c r="F156" s="10"/>
      <c r="G156" s="10"/>
    </row>
    <row r="157" spans="1:7" x14ac:dyDescent="0.25">
      <c r="A157" s="10"/>
      <c r="B157" s="10"/>
      <c r="C157" s="10"/>
      <c r="D157" s="10"/>
      <c r="E157" s="10"/>
      <c r="F157" s="10"/>
      <c r="G157" s="10"/>
    </row>
    <row r="158" spans="1:7" x14ac:dyDescent="0.25">
      <c r="A158" s="10"/>
      <c r="B158" s="10"/>
      <c r="C158" s="10"/>
      <c r="D158" s="10"/>
      <c r="E158" s="10"/>
      <c r="F158" s="10"/>
      <c r="G158" s="10"/>
    </row>
    <row r="159" spans="1:7" x14ac:dyDescent="0.25">
      <c r="A159" s="10"/>
      <c r="B159" s="10"/>
      <c r="C159" s="10"/>
      <c r="D159" s="10"/>
      <c r="E159" s="10"/>
      <c r="F159" s="10"/>
      <c r="G159" s="10"/>
    </row>
    <row r="160" spans="1:7" x14ac:dyDescent="0.25">
      <c r="A160" s="10"/>
      <c r="B160" s="10"/>
      <c r="C160" s="10"/>
      <c r="D160" s="10"/>
      <c r="E160" s="10"/>
      <c r="F160" s="10"/>
      <c r="G160" s="10"/>
    </row>
    <row r="161" spans="1:7" x14ac:dyDescent="0.25">
      <c r="A161" s="10"/>
      <c r="B161" s="10"/>
      <c r="C161" s="10"/>
      <c r="D161" s="10"/>
      <c r="E161" s="10"/>
      <c r="F161" s="10"/>
      <c r="G161" s="10"/>
    </row>
    <row r="162" spans="1:7" x14ac:dyDescent="0.25">
      <c r="A162" s="10"/>
      <c r="B162" s="10"/>
      <c r="C162" s="10"/>
      <c r="D162" s="10"/>
      <c r="E162" s="10"/>
      <c r="F162" s="10"/>
      <c r="G162" s="10"/>
    </row>
    <row r="163" spans="1:7" x14ac:dyDescent="0.25">
      <c r="A163" s="10"/>
      <c r="B163" s="10"/>
      <c r="C163" s="10"/>
      <c r="D163" s="10"/>
      <c r="E163" s="10"/>
      <c r="F163" s="10"/>
      <c r="G163" s="10"/>
    </row>
    <row r="164" spans="1:7" x14ac:dyDescent="0.25">
      <c r="A164" s="10"/>
      <c r="B164" s="10"/>
      <c r="C164" s="10"/>
      <c r="D164" s="10"/>
      <c r="E164" s="10"/>
      <c r="F164" s="10"/>
      <c r="G164" s="10"/>
    </row>
    <row r="165" spans="1:7" x14ac:dyDescent="0.25">
      <c r="A165" s="10"/>
      <c r="B165" s="10"/>
      <c r="C165" s="10"/>
      <c r="D165" s="10"/>
      <c r="E165" s="10"/>
      <c r="F165" s="10"/>
      <c r="G165" s="10"/>
    </row>
    <row r="166" spans="1:7" x14ac:dyDescent="0.25">
      <c r="A166" s="10"/>
      <c r="B166" s="10"/>
      <c r="C166" s="10"/>
      <c r="D166" s="10"/>
      <c r="E166" s="10"/>
      <c r="F166" s="10"/>
      <c r="G166" s="10"/>
    </row>
    <row r="167" spans="1:7" x14ac:dyDescent="0.25">
      <c r="A167" s="10"/>
      <c r="B167" s="10"/>
      <c r="C167" s="10"/>
      <c r="D167" s="10"/>
      <c r="E167" s="10"/>
      <c r="F167" s="10"/>
      <c r="G167" s="10"/>
    </row>
    <row r="168" spans="1:7" x14ac:dyDescent="0.25">
      <c r="A168" s="10"/>
      <c r="B168" s="10"/>
      <c r="C168" s="10"/>
      <c r="D168" s="10"/>
      <c r="E168" s="10"/>
      <c r="F168" s="10"/>
      <c r="G168" s="10"/>
    </row>
    <row r="169" spans="1:7" x14ac:dyDescent="0.25">
      <c r="A169" s="10"/>
      <c r="B169" s="10"/>
      <c r="C169" s="10"/>
      <c r="D169" s="10"/>
      <c r="E169" s="10"/>
      <c r="F169" s="10"/>
      <c r="G169" s="10"/>
    </row>
    <row r="170" spans="1:7" x14ac:dyDescent="0.25">
      <c r="A170" s="10"/>
      <c r="B170" s="10"/>
      <c r="C170" s="10"/>
      <c r="D170" s="10"/>
      <c r="E170" s="10"/>
      <c r="F170" s="10"/>
      <c r="G170" s="10"/>
    </row>
    <row r="171" spans="1:7" x14ac:dyDescent="0.25">
      <c r="A171" s="10"/>
      <c r="B171" s="10"/>
      <c r="C171" s="10"/>
      <c r="D171" s="10"/>
      <c r="E171" s="10"/>
      <c r="F171" s="10"/>
      <c r="G171" s="10"/>
    </row>
    <row r="172" spans="1:7" x14ac:dyDescent="0.25">
      <c r="A172" s="10"/>
      <c r="B172" s="10"/>
      <c r="C172" s="10"/>
      <c r="D172" s="10"/>
      <c r="E172" s="10"/>
      <c r="F172" s="10"/>
      <c r="G172" s="10"/>
    </row>
    <row r="173" spans="1:7" x14ac:dyDescent="0.25">
      <c r="A173" s="10"/>
      <c r="B173" s="10"/>
      <c r="C173" s="10"/>
      <c r="D173" s="10"/>
      <c r="E173" s="10"/>
      <c r="F173" s="10"/>
      <c r="G173" s="10"/>
    </row>
    <row r="174" spans="1:7" x14ac:dyDescent="0.25">
      <c r="A174" s="10"/>
      <c r="B174" s="10"/>
      <c r="C174" s="10"/>
      <c r="D174" s="10"/>
      <c r="E174" s="10"/>
      <c r="F174" s="10"/>
      <c r="G174" s="10"/>
    </row>
    <row r="175" spans="1:7" x14ac:dyDescent="0.25">
      <c r="A175" s="10"/>
      <c r="B175" s="10"/>
      <c r="C175" s="10"/>
      <c r="D175" s="10"/>
      <c r="E175" s="10"/>
      <c r="F175" s="10"/>
      <c r="G175" s="10"/>
    </row>
    <row r="176" spans="1:7" x14ac:dyDescent="0.25">
      <c r="A176" s="10"/>
      <c r="B176" s="10"/>
      <c r="C176" s="10"/>
      <c r="D176" s="10"/>
      <c r="E176" s="10"/>
      <c r="F176" s="10"/>
      <c r="G176" s="10"/>
    </row>
    <row r="177" spans="1:7" x14ac:dyDescent="0.25">
      <c r="A177" s="10"/>
      <c r="B177" s="10"/>
      <c r="C177" s="10"/>
      <c r="D177" s="10"/>
      <c r="E177" s="10"/>
      <c r="F177" s="10"/>
      <c r="G177" s="10"/>
    </row>
    <row r="178" spans="1:7" x14ac:dyDescent="0.25">
      <c r="A178" s="10"/>
      <c r="B178" s="10"/>
      <c r="C178" s="10"/>
      <c r="D178" s="10"/>
      <c r="E178" s="10"/>
      <c r="F178" s="10"/>
      <c r="G178" s="10"/>
    </row>
    <row r="179" spans="1:7" x14ac:dyDescent="0.25">
      <c r="A179" s="10"/>
      <c r="B179" s="10"/>
      <c r="C179" s="10"/>
      <c r="D179" s="10"/>
      <c r="E179" s="10"/>
      <c r="F179" s="10"/>
      <c r="G179" s="10"/>
    </row>
    <row r="180" spans="1:7" x14ac:dyDescent="0.25">
      <c r="A180" s="10"/>
      <c r="B180" s="10"/>
      <c r="C180" s="10"/>
      <c r="D180" s="10"/>
      <c r="E180" s="10"/>
      <c r="F180" s="10"/>
      <c r="G180" s="10"/>
    </row>
    <row r="181" spans="1:7" x14ac:dyDescent="0.25">
      <c r="A181" s="10"/>
      <c r="B181" s="10"/>
      <c r="C181" s="10"/>
      <c r="D181" s="10"/>
      <c r="E181" s="10"/>
      <c r="F181" s="10"/>
      <c r="G181" s="10"/>
    </row>
    <row r="182" spans="1:7" x14ac:dyDescent="0.25">
      <c r="A182" s="10"/>
      <c r="B182" s="10"/>
      <c r="C182" s="10"/>
      <c r="D182" s="10"/>
      <c r="E182" s="10"/>
      <c r="F182" s="10"/>
      <c r="G182" s="10"/>
    </row>
    <row r="183" spans="1:7" x14ac:dyDescent="0.25">
      <c r="A183" s="10"/>
      <c r="B183" s="10"/>
      <c r="C183" s="10"/>
      <c r="D183" s="10"/>
      <c r="E183" s="10"/>
      <c r="F183" s="10"/>
      <c r="G183" s="10"/>
    </row>
    <row r="184" spans="1:7" x14ac:dyDescent="0.25">
      <c r="A184" s="10"/>
      <c r="B184" s="10"/>
      <c r="C184" s="10"/>
      <c r="D184" s="10"/>
      <c r="E184" s="10"/>
      <c r="F184" s="10"/>
      <c r="G184" s="10"/>
    </row>
    <row r="185" spans="1:7" x14ac:dyDescent="0.25">
      <c r="A185" s="10"/>
      <c r="B185" s="10"/>
      <c r="C185" s="10"/>
      <c r="D185" s="10"/>
      <c r="E185" s="10"/>
      <c r="F185" s="10"/>
      <c r="G185" s="10"/>
    </row>
    <row r="186" spans="1:7" x14ac:dyDescent="0.25">
      <c r="A186" s="10"/>
      <c r="B186" s="10"/>
      <c r="C186" s="10"/>
      <c r="D186" s="10"/>
      <c r="E186" s="10"/>
      <c r="F186" s="10"/>
      <c r="G186" s="10"/>
    </row>
    <row r="187" spans="1:7" x14ac:dyDescent="0.25">
      <c r="A187" s="10"/>
      <c r="B187" s="10"/>
      <c r="C187" s="10"/>
      <c r="D187" s="10"/>
      <c r="E187" s="10"/>
      <c r="F187" s="10"/>
      <c r="G187" s="10"/>
    </row>
    <row r="188" spans="1:7" x14ac:dyDescent="0.25">
      <c r="A188" s="10"/>
      <c r="B188" s="10"/>
      <c r="C188" s="10"/>
      <c r="D188" s="10"/>
      <c r="E188" s="10"/>
      <c r="F188" s="10"/>
      <c r="G188" s="10"/>
    </row>
    <row r="189" spans="1:7" x14ac:dyDescent="0.25">
      <c r="A189" s="10"/>
      <c r="B189" s="10"/>
      <c r="C189" s="10"/>
      <c r="D189" s="10"/>
      <c r="E189" s="10"/>
      <c r="F189" s="10"/>
      <c r="G189" s="10"/>
    </row>
    <row r="190" spans="1:7" x14ac:dyDescent="0.25">
      <c r="A190" s="10"/>
      <c r="B190" s="10"/>
      <c r="C190" s="10"/>
      <c r="D190" s="10"/>
      <c r="E190" s="10"/>
      <c r="F190" s="10"/>
      <c r="G190" s="10"/>
    </row>
    <row r="191" spans="1:7" x14ac:dyDescent="0.25">
      <c r="A191" s="10"/>
      <c r="B191" s="10"/>
      <c r="C191" s="10"/>
      <c r="D191" s="10"/>
      <c r="E191" s="10"/>
      <c r="F191" s="10"/>
      <c r="G191" s="10"/>
    </row>
    <row r="192" spans="1:7" x14ac:dyDescent="0.25">
      <c r="A192" s="10"/>
      <c r="B192" s="10"/>
      <c r="C192" s="10"/>
      <c r="D192" s="10"/>
      <c r="E192" s="10"/>
      <c r="F192" s="10"/>
      <c r="G192" s="10"/>
    </row>
    <row r="193" spans="1:7" x14ac:dyDescent="0.25">
      <c r="A193" s="10"/>
      <c r="B193" s="10"/>
      <c r="C193" s="10"/>
      <c r="D193" s="10"/>
      <c r="E193" s="10"/>
      <c r="F193" s="10"/>
      <c r="G193" s="10"/>
    </row>
    <row r="194" spans="1:7" x14ac:dyDescent="0.25">
      <c r="A194" s="10"/>
      <c r="B194" s="10"/>
      <c r="C194" s="10"/>
      <c r="D194" s="10"/>
      <c r="E194" s="10"/>
      <c r="F194" s="10"/>
      <c r="G194" s="10"/>
    </row>
    <row r="195" spans="1:7" x14ac:dyDescent="0.25">
      <c r="A195" s="10"/>
      <c r="B195" s="10"/>
      <c r="C195" s="10"/>
      <c r="D195" s="10"/>
      <c r="E195" s="10"/>
      <c r="F195" s="10"/>
      <c r="G195" s="10"/>
    </row>
    <row r="196" spans="1:7" x14ac:dyDescent="0.25">
      <c r="A196" s="10"/>
      <c r="B196" s="10"/>
      <c r="C196" s="10"/>
      <c r="D196" s="10"/>
      <c r="E196" s="10"/>
      <c r="F196" s="10"/>
      <c r="G196" s="10"/>
    </row>
    <row r="197" spans="1:7" x14ac:dyDescent="0.25">
      <c r="A197" s="10"/>
      <c r="B197" s="10"/>
      <c r="C197" s="10"/>
      <c r="D197" s="10"/>
      <c r="E197" s="10"/>
      <c r="F197" s="10"/>
      <c r="G197" s="10"/>
    </row>
    <row r="198" spans="1:7" x14ac:dyDescent="0.25">
      <c r="A198" s="10"/>
      <c r="B198" s="10"/>
      <c r="C198" s="10"/>
      <c r="D198" s="10"/>
      <c r="E198" s="10"/>
      <c r="F198" s="10"/>
      <c r="G198" s="10"/>
    </row>
    <row r="199" spans="1:7" x14ac:dyDescent="0.25">
      <c r="A199" s="10"/>
      <c r="B199" s="10"/>
      <c r="C199" s="10"/>
      <c r="D199" s="10"/>
      <c r="E199" s="10"/>
      <c r="F199" s="10"/>
      <c r="G199" s="10"/>
    </row>
    <row r="200" spans="1:7" x14ac:dyDescent="0.25">
      <c r="A200" s="10"/>
      <c r="B200" s="10"/>
      <c r="C200" s="10"/>
      <c r="D200" s="10"/>
      <c r="E200" s="10"/>
      <c r="F200" s="10"/>
      <c r="G200" s="10"/>
    </row>
    <row r="201" spans="1:7" x14ac:dyDescent="0.25">
      <c r="A201" s="10"/>
      <c r="B201" s="10"/>
      <c r="C201" s="10"/>
      <c r="D201" s="10"/>
      <c r="E201" s="10"/>
      <c r="F201" s="10"/>
      <c r="G201" s="10"/>
    </row>
    <row r="202" spans="1:7" x14ac:dyDescent="0.25">
      <c r="A202" s="10"/>
      <c r="B202" s="10"/>
      <c r="C202" s="10"/>
      <c r="D202" s="10"/>
      <c r="E202" s="10"/>
      <c r="F202" s="10"/>
      <c r="G202" s="10"/>
    </row>
    <row r="203" spans="1:7" x14ac:dyDescent="0.25">
      <c r="A203" s="10"/>
      <c r="B203" s="10"/>
      <c r="C203" s="10"/>
      <c r="D203" s="10"/>
      <c r="E203" s="10"/>
      <c r="F203" s="10"/>
      <c r="G203" s="10"/>
    </row>
    <row r="204" spans="1:7" x14ac:dyDescent="0.25">
      <c r="A204" s="10"/>
      <c r="B204" s="10"/>
      <c r="C204" s="10"/>
      <c r="D204" s="10"/>
      <c r="E204" s="10"/>
      <c r="F204" s="10"/>
      <c r="G204" s="10"/>
    </row>
    <row r="205" spans="1:7" x14ac:dyDescent="0.25">
      <c r="A205" s="10"/>
      <c r="B205" s="10"/>
      <c r="C205" s="10"/>
      <c r="D205" s="10"/>
      <c r="E205" s="10"/>
      <c r="F205" s="10"/>
      <c r="G205" s="10"/>
    </row>
    <row r="206" spans="1:7" x14ac:dyDescent="0.25">
      <c r="A206" s="10"/>
      <c r="B206" s="10"/>
      <c r="C206" s="10"/>
      <c r="D206" s="10"/>
      <c r="E206" s="10"/>
      <c r="F206" s="10"/>
      <c r="G206" s="10"/>
    </row>
    <row r="207" spans="1:7" x14ac:dyDescent="0.25">
      <c r="A207" s="10"/>
      <c r="B207" s="10"/>
      <c r="C207" s="10"/>
      <c r="D207" s="10"/>
      <c r="E207" s="10"/>
      <c r="F207" s="10"/>
      <c r="G207" s="10"/>
    </row>
    <row r="208" spans="1:7" x14ac:dyDescent="0.25">
      <c r="A208" s="10"/>
      <c r="B208" s="10"/>
      <c r="C208" s="10"/>
      <c r="D208" s="10"/>
      <c r="E208" s="10"/>
      <c r="F208" s="10"/>
      <c r="G208" s="10"/>
    </row>
    <row r="209" spans="1:7" x14ac:dyDescent="0.25">
      <c r="A209" s="10"/>
      <c r="B209" s="10"/>
      <c r="C209" s="10"/>
      <c r="D209" s="10"/>
      <c r="E209" s="10"/>
      <c r="F209" s="10"/>
      <c r="G209" s="10"/>
    </row>
    <row r="210" spans="1:7" x14ac:dyDescent="0.25">
      <c r="A210" s="10"/>
      <c r="B210" s="10"/>
      <c r="C210" s="10"/>
      <c r="D210" s="10"/>
      <c r="E210" s="10"/>
      <c r="F210" s="10"/>
      <c r="G210" s="10"/>
    </row>
    <row r="211" spans="1:7" x14ac:dyDescent="0.25">
      <c r="A211" s="10"/>
      <c r="B211" s="10"/>
      <c r="C211" s="10"/>
      <c r="D211" s="10"/>
      <c r="E211" s="10"/>
      <c r="F211" s="10"/>
      <c r="G211" s="10"/>
    </row>
    <row r="212" spans="1:7" x14ac:dyDescent="0.25">
      <c r="A212" s="10"/>
      <c r="B212" s="10"/>
      <c r="C212" s="10"/>
      <c r="D212" s="10"/>
      <c r="E212" s="10"/>
      <c r="F212" s="10"/>
      <c r="G212" s="10"/>
    </row>
    <row r="213" spans="1:7" x14ac:dyDescent="0.25">
      <c r="A213" s="10"/>
      <c r="B213" s="10"/>
      <c r="C213" s="10"/>
      <c r="D213" s="10"/>
      <c r="E213" s="10"/>
      <c r="F213" s="10"/>
      <c r="G213" s="10"/>
    </row>
    <row r="214" spans="1:7" x14ac:dyDescent="0.25">
      <c r="A214" s="10"/>
      <c r="B214" s="10"/>
      <c r="C214" s="10"/>
      <c r="D214" s="10"/>
      <c r="E214" s="10"/>
      <c r="F214" s="10"/>
      <c r="G214" s="10"/>
    </row>
    <row r="215" spans="1:7" x14ac:dyDescent="0.25">
      <c r="A215" s="10"/>
      <c r="B215" s="10"/>
      <c r="C215" s="10"/>
      <c r="D215" s="10"/>
      <c r="E215" s="10"/>
      <c r="F215" s="10"/>
      <c r="G215" s="10"/>
    </row>
    <row r="216" spans="1:7" x14ac:dyDescent="0.25">
      <c r="A216" s="10"/>
      <c r="B216" s="10"/>
      <c r="C216" s="10"/>
      <c r="D216" s="10"/>
      <c r="E216" s="10"/>
      <c r="F216" s="10"/>
      <c r="G216" s="10"/>
    </row>
    <row r="217" spans="1:7" x14ac:dyDescent="0.25">
      <c r="A217" s="10"/>
      <c r="B217" s="10"/>
      <c r="C217" s="10"/>
      <c r="D217" s="10"/>
      <c r="E217" s="10"/>
      <c r="F217" s="10"/>
      <c r="G217" s="10"/>
    </row>
    <row r="218" spans="1:7" x14ac:dyDescent="0.25">
      <c r="A218" s="10"/>
      <c r="B218" s="10"/>
      <c r="C218" s="10"/>
      <c r="D218" s="10"/>
      <c r="E218" s="10"/>
      <c r="F218" s="10"/>
      <c r="G218" s="10"/>
    </row>
    <row r="219" spans="1:7" x14ac:dyDescent="0.25">
      <c r="A219" s="10"/>
      <c r="B219" s="10"/>
      <c r="C219" s="10"/>
      <c r="D219" s="10"/>
      <c r="E219" s="10"/>
      <c r="F219" s="10"/>
      <c r="G219" s="10"/>
    </row>
    <row r="220" spans="1:7" x14ac:dyDescent="0.25">
      <c r="A220" s="10"/>
      <c r="B220" s="10"/>
      <c r="C220" s="10"/>
      <c r="D220" s="10"/>
      <c r="E220" s="10"/>
      <c r="F220" s="10"/>
      <c r="G220" s="10"/>
    </row>
    <row r="221" spans="1:7" x14ac:dyDescent="0.25">
      <c r="A221" s="10"/>
      <c r="B221" s="10"/>
      <c r="C221" s="10"/>
      <c r="D221" s="10"/>
      <c r="E221" s="10"/>
      <c r="F221" s="10"/>
      <c r="G221" s="10"/>
    </row>
    <row r="222" spans="1:7" x14ac:dyDescent="0.25">
      <c r="A222" s="10"/>
      <c r="B222" s="10"/>
      <c r="C222" s="10"/>
      <c r="D222" s="10"/>
      <c r="E222" s="10"/>
      <c r="F222" s="10"/>
      <c r="G222" s="10"/>
    </row>
    <row r="223" spans="1:7" x14ac:dyDescent="0.25">
      <c r="A223" s="10"/>
      <c r="B223" s="10"/>
      <c r="C223" s="10"/>
      <c r="D223" s="10"/>
      <c r="E223" s="10"/>
      <c r="F223" s="10"/>
      <c r="G223" s="10"/>
    </row>
    <row r="224" spans="1:7" x14ac:dyDescent="0.25">
      <c r="A224" s="10"/>
      <c r="B224" s="10"/>
      <c r="C224" s="10"/>
      <c r="D224" s="10"/>
      <c r="E224" s="10"/>
      <c r="F224" s="10"/>
      <c r="G224" s="10"/>
    </row>
    <row r="225" spans="1:7" x14ac:dyDescent="0.25">
      <c r="A225" s="10"/>
      <c r="B225" s="10"/>
      <c r="C225" s="10"/>
      <c r="D225" s="10"/>
      <c r="E225" s="10"/>
      <c r="F225" s="10"/>
      <c r="G225" s="10"/>
    </row>
    <row r="226" spans="1:7" x14ac:dyDescent="0.25">
      <c r="A226" s="10"/>
      <c r="B226" s="10"/>
      <c r="C226" s="10"/>
      <c r="D226" s="10"/>
      <c r="E226" s="10"/>
      <c r="F226" s="10"/>
      <c r="G226" s="10"/>
    </row>
    <row r="227" spans="1:7" x14ac:dyDescent="0.25">
      <c r="A227" s="10"/>
      <c r="B227" s="10"/>
      <c r="C227" s="10"/>
      <c r="D227" s="10"/>
      <c r="E227" s="10"/>
      <c r="F227" s="10"/>
      <c r="G227" s="10"/>
    </row>
    <row r="228" spans="1:7" x14ac:dyDescent="0.25">
      <c r="A228" s="10"/>
      <c r="B228" s="10"/>
      <c r="C228" s="10"/>
      <c r="D228" s="10"/>
      <c r="E228" s="10"/>
      <c r="F228" s="10"/>
      <c r="G228" s="10"/>
    </row>
    <row r="229" spans="1:7" x14ac:dyDescent="0.25">
      <c r="A229" s="10"/>
      <c r="B229" s="10"/>
      <c r="C229" s="10"/>
      <c r="D229" s="10"/>
      <c r="E229" s="10"/>
      <c r="F229" s="10"/>
      <c r="G229" s="10"/>
    </row>
    <row r="230" spans="1:7" x14ac:dyDescent="0.25">
      <c r="A230" s="10"/>
      <c r="B230" s="10"/>
      <c r="C230" s="10"/>
      <c r="D230" s="10"/>
      <c r="E230" s="10"/>
      <c r="F230" s="10"/>
      <c r="G230" s="10"/>
    </row>
    <row r="231" spans="1:7" x14ac:dyDescent="0.25">
      <c r="A231" s="10"/>
      <c r="B231" s="10"/>
      <c r="C231" s="10"/>
      <c r="D231" s="10"/>
      <c r="E231" s="10"/>
      <c r="F231" s="10"/>
      <c r="G231" s="10"/>
    </row>
    <row r="232" spans="1:7" x14ac:dyDescent="0.25">
      <c r="A232" s="10"/>
      <c r="B232" s="10"/>
      <c r="C232" s="10"/>
      <c r="D232" s="10"/>
      <c r="E232" s="10"/>
      <c r="F232" s="10"/>
      <c r="G232" s="10"/>
    </row>
    <row r="233" spans="1:7" x14ac:dyDescent="0.25">
      <c r="A233" s="10"/>
      <c r="B233" s="10"/>
      <c r="C233" s="10"/>
      <c r="D233" s="10"/>
      <c r="E233" s="10"/>
      <c r="F233" s="10"/>
      <c r="G233" s="10"/>
    </row>
    <row r="234" spans="1:7" x14ac:dyDescent="0.25">
      <c r="A234" s="10"/>
      <c r="B234" s="10"/>
      <c r="C234" s="10"/>
      <c r="D234" s="10"/>
      <c r="E234" s="10"/>
      <c r="F234" s="10"/>
      <c r="G234" s="10"/>
    </row>
    <row r="235" spans="1:7" x14ac:dyDescent="0.25">
      <c r="A235" s="10"/>
      <c r="B235" s="10"/>
      <c r="C235" s="10"/>
      <c r="D235" s="10"/>
      <c r="E235" s="10"/>
      <c r="F235" s="10"/>
      <c r="G235" s="10"/>
    </row>
    <row r="236" spans="1:7" x14ac:dyDescent="0.25">
      <c r="A236" s="10"/>
      <c r="B236" s="10"/>
      <c r="C236" s="10"/>
      <c r="D236" s="10"/>
      <c r="E236" s="10"/>
      <c r="F236" s="10"/>
      <c r="G236" s="10"/>
    </row>
    <row r="237" spans="1:7" x14ac:dyDescent="0.25">
      <c r="A237" s="10"/>
      <c r="B237" s="10"/>
      <c r="C237" s="10"/>
      <c r="D237" s="10"/>
      <c r="E237" s="10"/>
      <c r="F237" s="10"/>
      <c r="G237" s="10"/>
    </row>
    <row r="238" spans="1:7" x14ac:dyDescent="0.25">
      <c r="A238" s="10"/>
      <c r="B238" s="10"/>
      <c r="C238" s="10"/>
      <c r="D238" s="10"/>
      <c r="E238" s="10"/>
      <c r="F238" s="10"/>
      <c r="G238" s="10"/>
    </row>
    <row r="239" spans="1:7" x14ac:dyDescent="0.25">
      <c r="A239" s="10"/>
      <c r="B239" s="10"/>
      <c r="C239" s="10"/>
      <c r="D239" s="10"/>
      <c r="E239" s="10"/>
      <c r="F239" s="10"/>
      <c r="G239" s="10"/>
    </row>
    <row r="240" spans="1:7" x14ac:dyDescent="0.25">
      <c r="A240" s="10"/>
      <c r="B240" s="10"/>
      <c r="C240" s="10"/>
      <c r="D240" s="10"/>
      <c r="E240" s="10"/>
      <c r="F240" s="10"/>
      <c r="G240" s="10"/>
    </row>
    <row r="241" spans="1:7" x14ac:dyDescent="0.25">
      <c r="A241" s="10"/>
      <c r="B241" s="10"/>
      <c r="C241" s="10"/>
      <c r="D241" s="10"/>
      <c r="E241" s="10"/>
      <c r="F241" s="10"/>
      <c r="G241" s="10"/>
    </row>
    <row r="242" spans="1:7" x14ac:dyDescent="0.25">
      <c r="A242" s="10"/>
      <c r="B242" s="10"/>
      <c r="C242" s="10"/>
      <c r="D242" s="10"/>
      <c r="E242" s="10"/>
      <c r="F242" s="10"/>
      <c r="G242" s="10"/>
    </row>
    <row r="243" spans="1:7" x14ac:dyDescent="0.25">
      <c r="A243" s="10"/>
      <c r="B243" s="10"/>
      <c r="C243" s="10"/>
      <c r="D243" s="10"/>
      <c r="E243" s="10"/>
      <c r="F243" s="10"/>
      <c r="G243" s="10"/>
    </row>
    <row r="244" spans="1:7" x14ac:dyDescent="0.25">
      <c r="A244" s="10"/>
      <c r="B244" s="10"/>
      <c r="C244" s="10"/>
      <c r="D244" s="10"/>
      <c r="E244" s="10"/>
      <c r="F244" s="10"/>
      <c r="G244" s="10"/>
    </row>
    <row r="245" spans="1:7" x14ac:dyDescent="0.25">
      <c r="A245" s="10"/>
      <c r="B245" s="10"/>
      <c r="C245" s="10"/>
      <c r="D245" s="10"/>
      <c r="E245" s="10"/>
      <c r="F245" s="10"/>
      <c r="G245" s="10"/>
    </row>
    <row r="246" spans="1:7" x14ac:dyDescent="0.25">
      <c r="A246" s="10"/>
      <c r="B246" s="10"/>
      <c r="C246" s="10"/>
      <c r="D246" s="10"/>
      <c r="E246" s="10"/>
      <c r="F246" s="10"/>
      <c r="G246" s="10"/>
    </row>
    <row r="247" spans="1:7" x14ac:dyDescent="0.25">
      <c r="A247" s="10"/>
      <c r="B247" s="10"/>
      <c r="C247" s="10"/>
      <c r="D247" s="10"/>
      <c r="E247" s="10"/>
      <c r="F247" s="10"/>
      <c r="G247" s="10"/>
    </row>
    <row r="248" spans="1:7" x14ac:dyDescent="0.25">
      <c r="A248" s="10"/>
      <c r="B248" s="10"/>
      <c r="C248" s="10"/>
      <c r="D248" s="10"/>
      <c r="E248" s="10"/>
      <c r="F248" s="10"/>
      <c r="G248" s="10"/>
    </row>
    <row r="249" spans="1:7" x14ac:dyDescent="0.25">
      <c r="A249" s="10"/>
      <c r="B249" s="10"/>
      <c r="C249" s="10"/>
      <c r="D249" s="10"/>
      <c r="E249" s="10"/>
      <c r="F249" s="10"/>
      <c r="G249" s="10"/>
    </row>
    <row r="250" spans="1:7" x14ac:dyDescent="0.25">
      <c r="A250" s="10"/>
      <c r="B250" s="10"/>
      <c r="C250" s="10"/>
      <c r="D250" s="10"/>
      <c r="E250" s="10"/>
      <c r="F250" s="10"/>
      <c r="G250" s="10"/>
    </row>
    <row r="251" spans="1:7" x14ac:dyDescent="0.25">
      <c r="A251" s="10"/>
      <c r="B251" s="10"/>
      <c r="C251" s="10"/>
      <c r="D251" s="10"/>
      <c r="E251" s="10"/>
      <c r="F251" s="10"/>
      <c r="G251" s="10"/>
    </row>
    <row r="252" spans="1:7" x14ac:dyDescent="0.25">
      <c r="A252" s="10"/>
      <c r="B252" s="10"/>
      <c r="C252" s="10"/>
      <c r="D252" s="10"/>
      <c r="E252" s="10"/>
      <c r="F252" s="10"/>
      <c r="G252" s="10"/>
    </row>
    <row r="253" spans="1:7" x14ac:dyDescent="0.25">
      <c r="A253" s="10"/>
      <c r="B253" s="10"/>
      <c r="C253" s="10"/>
      <c r="D253" s="10"/>
      <c r="E253" s="10"/>
      <c r="F253" s="10"/>
      <c r="G253" s="10"/>
    </row>
    <row r="254" spans="1:7" x14ac:dyDescent="0.25">
      <c r="A254" s="10"/>
      <c r="B254" s="10"/>
      <c r="C254" s="10"/>
      <c r="D254" s="10"/>
      <c r="E254" s="10"/>
      <c r="F254" s="10"/>
      <c r="G254" s="10"/>
    </row>
    <row r="255" spans="1:7" x14ac:dyDescent="0.25">
      <c r="A255" s="10"/>
      <c r="B255" s="10"/>
      <c r="C255" s="10"/>
      <c r="D255" s="10"/>
      <c r="E255" s="10"/>
      <c r="F255" s="10"/>
      <c r="G255" s="10"/>
    </row>
    <row r="256" spans="1:7" x14ac:dyDescent="0.25">
      <c r="A256" s="10"/>
      <c r="B256" s="10"/>
      <c r="C256" s="10"/>
      <c r="D256" s="10"/>
      <c r="E256" s="10"/>
      <c r="F256" s="10"/>
      <c r="G256" s="10"/>
    </row>
    <row r="257" spans="1:7" x14ac:dyDescent="0.25">
      <c r="A257" s="10"/>
      <c r="B257" s="10"/>
      <c r="C257" s="10"/>
      <c r="D257" s="10"/>
      <c r="E257" s="10"/>
      <c r="F257" s="10"/>
      <c r="G257" s="10"/>
    </row>
    <row r="258" spans="1:7" x14ac:dyDescent="0.25">
      <c r="A258" s="10"/>
      <c r="B258" s="10"/>
      <c r="C258" s="10"/>
      <c r="D258" s="10"/>
      <c r="E258" s="10"/>
      <c r="F258" s="10"/>
      <c r="G258" s="10"/>
    </row>
    <row r="259" spans="1:7" x14ac:dyDescent="0.25">
      <c r="A259" s="10"/>
      <c r="B259" s="10"/>
      <c r="C259" s="10"/>
      <c r="D259" s="10"/>
      <c r="E259" s="10"/>
      <c r="F259" s="10"/>
      <c r="G259" s="10"/>
    </row>
    <row r="260" spans="1:7" x14ac:dyDescent="0.25">
      <c r="A260" s="10"/>
      <c r="B260" s="10"/>
      <c r="C260" s="10"/>
      <c r="D260" s="10"/>
      <c r="E260" s="10"/>
      <c r="F260" s="10"/>
      <c r="G260" s="10"/>
    </row>
    <row r="261" spans="1:7" x14ac:dyDescent="0.25">
      <c r="A261" s="10"/>
      <c r="B261" s="10"/>
      <c r="C261" s="10"/>
      <c r="D261" s="10"/>
      <c r="E261" s="10"/>
      <c r="F261" s="10"/>
      <c r="G261" s="10"/>
    </row>
    <row r="262" spans="1:7" x14ac:dyDescent="0.25">
      <c r="A262" s="10"/>
      <c r="B262" s="10"/>
      <c r="C262" s="10"/>
      <c r="D262" s="10"/>
      <c r="E262" s="10"/>
      <c r="F262" s="10"/>
      <c r="G262" s="10"/>
    </row>
    <row r="263" spans="1:7" x14ac:dyDescent="0.25">
      <c r="A263" s="10"/>
      <c r="B263" s="10"/>
      <c r="C263" s="10"/>
      <c r="D263" s="10"/>
      <c r="E263" s="10"/>
      <c r="F263" s="10"/>
      <c r="G263" s="10"/>
    </row>
    <row r="264" spans="1:7" x14ac:dyDescent="0.25">
      <c r="A264" s="10"/>
      <c r="B264" s="10"/>
      <c r="C264" s="10"/>
      <c r="D264" s="10"/>
      <c r="E264" s="10"/>
      <c r="F264" s="10"/>
      <c r="G264" s="10"/>
    </row>
    <row r="265" spans="1:7" x14ac:dyDescent="0.25">
      <c r="A265" s="10"/>
      <c r="B265" s="10"/>
      <c r="C265" s="10"/>
      <c r="D265" s="10"/>
      <c r="E265" s="10"/>
      <c r="F265" s="10"/>
      <c r="G265" s="10"/>
    </row>
    <row r="266" spans="1:7" x14ac:dyDescent="0.25">
      <c r="A266" s="10"/>
      <c r="B266" s="10"/>
      <c r="C266" s="10"/>
      <c r="D266" s="10"/>
      <c r="E266" s="10"/>
      <c r="F266" s="10"/>
      <c r="G266" s="10"/>
    </row>
    <row r="267" spans="1:7" x14ac:dyDescent="0.25">
      <c r="A267" s="10"/>
      <c r="B267" s="10"/>
      <c r="C267" s="10"/>
      <c r="D267" s="10"/>
      <c r="E267" s="10"/>
      <c r="F267" s="10"/>
      <c r="G267" s="10"/>
    </row>
    <row r="268" spans="1:7" x14ac:dyDescent="0.25">
      <c r="A268" s="10"/>
      <c r="B268" s="10"/>
      <c r="C268" s="10"/>
      <c r="D268" s="10"/>
      <c r="E268" s="10"/>
      <c r="F268" s="10"/>
      <c r="G268" s="10"/>
    </row>
    <row r="269" spans="1:7" x14ac:dyDescent="0.25">
      <c r="A269" s="10"/>
      <c r="B269" s="10"/>
      <c r="C269" s="10"/>
      <c r="D269" s="10"/>
      <c r="E269" s="10"/>
      <c r="F269" s="10"/>
      <c r="G269" s="10"/>
    </row>
    <row r="270" spans="1:7" x14ac:dyDescent="0.25">
      <c r="A270" s="10"/>
      <c r="B270" s="10"/>
      <c r="C270" s="10"/>
      <c r="D270" s="10"/>
      <c r="E270" s="10"/>
      <c r="F270" s="10"/>
      <c r="G270" s="10"/>
    </row>
    <row r="271" spans="1:7" x14ac:dyDescent="0.25">
      <c r="A271" s="10"/>
      <c r="B271" s="10"/>
      <c r="C271" s="10"/>
      <c r="D271" s="10"/>
      <c r="E271" s="10"/>
      <c r="F271" s="10"/>
      <c r="G271" s="10"/>
    </row>
    <row r="272" spans="1:7" x14ac:dyDescent="0.25">
      <c r="A272" s="10"/>
      <c r="B272" s="10"/>
      <c r="C272" s="10"/>
      <c r="D272" s="10"/>
      <c r="E272" s="10"/>
      <c r="F272" s="10"/>
      <c r="G272" s="10"/>
    </row>
    <row r="273" spans="1:7" x14ac:dyDescent="0.25">
      <c r="A273" s="10"/>
      <c r="B273" s="10"/>
      <c r="C273" s="10"/>
      <c r="D273" s="10"/>
      <c r="E273" s="10"/>
      <c r="F273" s="10"/>
      <c r="G273" s="10"/>
    </row>
    <row r="274" spans="1:7" x14ac:dyDescent="0.25">
      <c r="A274" s="10"/>
      <c r="B274" s="10"/>
      <c r="C274" s="10"/>
      <c r="D274" s="10"/>
      <c r="E274" s="10"/>
      <c r="F274" s="10"/>
      <c r="G274" s="10"/>
    </row>
    <row r="275" spans="1:7" x14ac:dyDescent="0.25">
      <c r="A275" s="10"/>
      <c r="B275" s="10"/>
      <c r="C275" s="10"/>
      <c r="D275" s="10"/>
      <c r="E275" s="10"/>
      <c r="F275" s="10"/>
      <c r="G275" s="10"/>
    </row>
    <row r="276" spans="1:7" x14ac:dyDescent="0.25">
      <c r="A276" s="10"/>
      <c r="B276" s="10"/>
      <c r="C276" s="10"/>
      <c r="D276" s="10"/>
      <c r="E276" s="10"/>
      <c r="F276" s="10"/>
      <c r="G276" s="10"/>
    </row>
    <row r="277" spans="1:7" x14ac:dyDescent="0.25">
      <c r="A277" s="10"/>
      <c r="B277" s="10"/>
      <c r="C277" s="10"/>
      <c r="D277" s="10"/>
      <c r="E277" s="10"/>
      <c r="F277" s="10"/>
      <c r="G277" s="10"/>
    </row>
    <row r="278" spans="1:7" x14ac:dyDescent="0.25">
      <c r="A278" s="10"/>
      <c r="B278" s="10"/>
      <c r="C278" s="10"/>
      <c r="D278" s="10"/>
      <c r="E278" s="10"/>
      <c r="F278" s="10"/>
      <c r="G278" s="10"/>
    </row>
    <row r="279" spans="1:7" x14ac:dyDescent="0.25">
      <c r="A279" s="10"/>
      <c r="B279" s="10"/>
      <c r="C279" s="10"/>
      <c r="D279" s="10"/>
      <c r="E279" s="10"/>
      <c r="F279" s="10"/>
      <c r="G279" s="10"/>
    </row>
    <row r="280" spans="1:7" x14ac:dyDescent="0.25">
      <c r="A280" s="10"/>
      <c r="B280" s="10"/>
      <c r="C280" s="10"/>
      <c r="D280" s="10"/>
      <c r="E280" s="10"/>
      <c r="F280" s="10"/>
      <c r="G280" s="10"/>
    </row>
    <row r="281" spans="1:7" x14ac:dyDescent="0.25">
      <c r="A281" s="10"/>
      <c r="B281" s="10"/>
      <c r="C281" s="10"/>
      <c r="D281" s="10"/>
      <c r="E281" s="10"/>
      <c r="F281" s="10"/>
      <c r="G281" s="10"/>
    </row>
    <row r="282" spans="1:7" x14ac:dyDescent="0.25">
      <c r="A282" s="10"/>
      <c r="B282" s="10"/>
      <c r="C282" s="10"/>
      <c r="D282" s="10"/>
      <c r="E282" s="10"/>
      <c r="F282" s="10"/>
      <c r="G282" s="10"/>
    </row>
    <row r="283" spans="1:7" x14ac:dyDescent="0.25">
      <c r="A283" s="10"/>
      <c r="B283" s="10"/>
      <c r="C283" s="10"/>
      <c r="D283" s="10"/>
      <c r="E283" s="10"/>
      <c r="F283" s="10"/>
      <c r="G283" s="10"/>
    </row>
    <row r="284" spans="1:7" x14ac:dyDescent="0.25">
      <c r="A284" s="10"/>
      <c r="B284" s="10"/>
      <c r="C284" s="10"/>
      <c r="D284" s="10"/>
      <c r="E284" s="10"/>
      <c r="F284" s="10"/>
      <c r="G284" s="10"/>
    </row>
    <row r="285" spans="1:7" x14ac:dyDescent="0.25">
      <c r="A285" s="10"/>
      <c r="B285" s="10"/>
      <c r="C285" s="10"/>
      <c r="D285" s="10"/>
      <c r="E285" s="10"/>
      <c r="F285" s="10"/>
      <c r="G285" s="10"/>
    </row>
    <row r="286" spans="1:7" x14ac:dyDescent="0.25">
      <c r="A286" s="10"/>
      <c r="B286" s="10"/>
      <c r="C286" s="10"/>
      <c r="D286" s="10"/>
      <c r="E286" s="10"/>
      <c r="F286" s="10"/>
      <c r="G286" s="10"/>
    </row>
    <row r="287" spans="1:7" x14ac:dyDescent="0.25">
      <c r="A287" s="10"/>
      <c r="B287" s="10"/>
      <c r="C287" s="10"/>
      <c r="D287" s="10"/>
      <c r="E287" s="10"/>
      <c r="F287" s="10"/>
      <c r="G287" s="10"/>
    </row>
    <row r="288" spans="1:7" x14ac:dyDescent="0.25">
      <c r="A288" s="10"/>
      <c r="B288" s="10"/>
      <c r="C288" s="10"/>
      <c r="D288" s="10"/>
      <c r="E288" s="10"/>
      <c r="F288" s="10"/>
      <c r="G288" s="10"/>
    </row>
    <row r="289" spans="1:7" x14ac:dyDescent="0.25">
      <c r="A289" s="10"/>
      <c r="B289" s="10"/>
      <c r="C289" s="10"/>
      <c r="D289" s="10"/>
      <c r="E289" s="10"/>
      <c r="F289" s="10"/>
      <c r="G289" s="10"/>
    </row>
    <row r="290" spans="1:7" x14ac:dyDescent="0.25">
      <c r="A290" s="10"/>
      <c r="B290" s="10"/>
      <c r="C290" s="10"/>
      <c r="D290" s="10"/>
      <c r="E290" s="10"/>
      <c r="F290" s="10"/>
      <c r="G290" s="10"/>
    </row>
    <row r="291" spans="1:7" x14ac:dyDescent="0.25">
      <c r="A291" s="10"/>
      <c r="B291" s="10"/>
      <c r="C291" s="10"/>
      <c r="D291" s="10"/>
      <c r="E291" s="10"/>
      <c r="F291" s="10"/>
      <c r="G291" s="10"/>
    </row>
    <row r="292" spans="1:7" x14ac:dyDescent="0.25">
      <c r="A292" s="10"/>
      <c r="B292" s="10"/>
      <c r="C292" s="10"/>
      <c r="D292" s="10"/>
      <c r="E292" s="10"/>
      <c r="F292" s="10"/>
      <c r="G292" s="10"/>
    </row>
    <row r="293" spans="1:7" x14ac:dyDescent="0.25">
      <c r="A293" s="10"/>
      <c r="B293" s="10"/>
      <c r="C293" s="10"/>
      <c r="D293" s="10"/>
      <c r="E293" s="10"/>
      <c r="F293" s="10"/>
      <c r="G293" s="10"/>
    </row>
    <row r="294" spans="1:7" x14ac:dyDescent="0.25">
      <c r="A294" s="10"/>
      <c r="B294" s="10"/>
      <c r="C294" s="10"/>
      <c r="D294" s="10"/>
      <c r="E294" s="10"/>
      <c r="F294" s="10"/>
      <c r="G294" s="10"/>
    </row>
    <row r="295" spans="1:7" x14ac:dyDescent="0.25">
      <c r="A295" s="10"/>
      <c r="B295" s="10"/>
      <c r="C295" s="10"/>
      <c r="D295" s="10"/>
      <c r="E295" s="10"/>
      <c r="F295" s="10"/>
      <c r="G295" s="10"/>
    </row>
    <row r="296" spans="1:7" x14ac:dyDescent="0.25">
      <c r="A296" s="10"/>
      <c r="B296" s="10"/>
      <c r="C296" s="10"/>
      <c r="D296" s="10"/>
      <c r="E296" s="10"/>
      <c r="F296" s="10"/>
      <c r="G296" s="10"/>
    </row>
    <row r="297" spans="1:7" x14ac:dyDescent="0.25">
      <c r="A297" s="10"/>
      <c r="B297" s="10"/>
      <c r="C297" s="10"/>
      <c r="D297" s="10"/>
      <c r="E297" s="10"/>
      <c r="F297" s="10"/>
      <c r="G297" s="10"/>
    </row>
    <row r="298" spans="1:7" x14ac:dyDescent="0.25">
      <c r="A298" s="10"/>
      <c r="B298" s="10"/>
      <c r="C298" s="10"/>
      <c r="D298" s="10"/>
      <c r="E298" s="10"/>
      <c r="F298" s="10"/>
      <c r="G298" s="10"/>
    </row>
    <row r="299" spans="1:7" x14ac:dyDescent="0.25">
      <c r="A299" s="10"/>
      <c r="B299" s="10"/>
      <c r="C299" s="10"/>
      <c r="D299" s="10"/>
      <c r="E299" s="10"/>
      <c r="F299" s="10"/>
      <c r="G299" s="10"/>
    </row>
    <row r="300" spans="1:7" x14ac:dyDescent="0.25">
      <c r="A300" s="10"/>
      <c r="B300" s="10"/>
      <c r="C300" s="10"/>
      <c r="D300" s="10"/>
      <c r="E300" s="10"/>
      <c r="F300" s="10"/>
      <c r="G300" s="10"/>
    </row>
    <row r="301" spans="1:7" x14ac:dyDescent="0.25">
      <c r="A301" s="10"/>
      <c r="B301" s="10"/>
      <c r="C301" s="10"/>
      <c r="D301" s="10"/>
      <c r="E301" s="10"/>
      <c r="F301" s="10"/>
      <c r="G301" s="10"/>
    </row>
    <row r="302" spans="1:7" x14ac:dyDescent="0.25">
      <c r="A302" s="10"/>
      <c r="B302" s="10"/>
      <c r="C302" s="10"/>
      <c r="D302" s="10"/>
      <c r="E302" s="10"/>
      <c r="F302" s="10"/>
      <c r="G302" s="10"/>
    </row>
    <row r="303" spans="1:7" x14ac:dyDescent="0.25">
      <c r="A303" s="10"/>
      <c r="B303" s="10"/>
      <c r="C303" s="10"/>
      <c r="D303" s="10"/>
      <c r="E303" s="10"/>
      <c r="F303" s="10"/>
      <c r="G303" s="10"/>
    </row>
    <row r="304" spans="1:7" x14ac:dyDescent="0.25">
      <c r="A304" s="10"/>
      <c r="B304" s="10"/>
      <c r="C304" s="10"/>
      <c r="D304" s="10"/>
      <c r="E304" s="10"/>
      <c r="F304" s="10"/>
      <c r="G304" s="10"/>
    </row>
  </sheetData>
  <mergeCells count="2">
    <mergeCell ref="A1:G1"/>
    <mergeCell ref="A2:G2"/>
  </mergeCells>
  <dataValidations count="1">
    <dataValidation type="list" allowBlank="1" promptTitle="Sexo" showErrorMessage="1" errorStyle="warning" errorTitle="Elige de la lista" error="Elige una opción de la lista desplegable." sqref="D5:D304">
      <formula1>"Macho,Hembra,Indeterminado"</formula1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L60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4" customWidth="1"/>
    <col min="4" max="4" width="17" customWidth="1"/>
    <col min="5" max="5" width="20" customWidth="1"/>
    <col min="6" max="6" width="30" customWidth="1"/>
    <col min="7" max="7" width="24" customWidth="1"/>
    <col min="8" max="8" width="16" customWidth="1"/>
    <col min="9" max="10" width="8" customWidth="1"/>
    <col min="11" max="11" width="22" customWidth="1"/>
    <col min="12" max="12" width="11" customWidth="1"/>
  </cols>
  <sheetData>
    <row r="1" ht="30" customHeight="1" spans="1:12" x14ac:dyDescent="0.25">
      <c r="A1" s="6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2" customHeight="1" spans="1:12" x14ac:dyDescent="0.25">
      <c r="A2" s="7" t="s">
        <v>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ht="34" customHeight="1" spans="1:12" x14ac:dyDescent="0.25">
      <c r="A4" s="8" t="s">
        <v>63</v>
      </c>
      <c r="B4" s="8" t="s">
        <v>64</v>
      </c>
      <c r="C4" s="11" t="s">
        <v>65</v>
      </c>
      <c r="D4" s="8" t="s">
        <v>66</v>
      </c>
      <c r="E4" s="8" t="s">
        <v>67</v>
      </c>
      <c r="F4" s="8" t="s">
        <v>68</v>
      </c>
      <c r="G4" s="8" t="s">
        <v>69</v>
      </c>
      <c r="H4" s="8" t="s">
        <v>70</v>
      </c>
      <c r="I4" s="11" t="s">
        <v>71</v>
      </c>
      <c r="J4" s="11" t="s">
        <v>72</v>
      </c>
      <c r="K4" s="8" t="s">
        <v>41</v>
      </c>
      <c r="L4" s="8" t="s">
        <v>42</v>
      </c>
    </row>
    <row r="5" spans="1:12" x14ac:dyDescent="0.25">
      <c r="A5" s="12">
        <v>45726</v>
      </c>
      <c r="B5" s="9" t="s">
        <v>43</v>
      </c>
      <c r="C5" s="13">
        <f>IF(B5="","",IFERROR(INDEX(Ejemplares!$B$5:$B$304,MATCH(B5,Ejemplares!$A$5:$A$304,0)),"Ejemplar no encontrado"))</f>
      </c>
      <c r="D5" s="9" t="s">
        <v>73</v>
      </c>
      <c r="E5" s="9" t="s">
        <v>74</v>
      </c>
      <c r="F5" s="9" t="s">
        <v>75</v>
      </c>
      <c r="G5" s="9" t="s">
        <v>76</v>
      </c>
      <c r="H5" s="9" t="s">
        <v>77</v>
      </c>
      <c r="I5" s="14">
        <f>IF(D5="","",IF(OR(D5="Ingreso",D5="Traslado entrante"),1,-1))</f>
      </c>
      <c r="J5" s="15">
        <f>IF(A5="","",YEAR(A5))</f>
      </c>
      <c r="K5" s="9"/>
      <c r="L5" s="9" t="s">
        <v>48</v>
      </c>
    </row>
    <row r="6" spans="1:12" x14ac:dyDescent="0.25">
      <c r="A6" s="12">
        <v>45726</v>
      </c>
      <c r="B6" s="9" t="s">
        <v>49</v>
      </c>
      <c r="C6" s="13">
        <f>IF(B6="","",IFERROR(INDEX(Ejemplares!$B$5:$B$304,MATCH(B6,Ejemplares!$A$5:$A$304,0)),"Ejemplar no encontrado"))</f>
      </c>
      <c r="D6" s="9" t="s">
        <v>73</v>
      </c>
      <c r="E6" s="9" t="s">
        <v>74</v>
      </c>
      <c r="F6" s="9" t="s">
        <v>75</v>
      </c>
      <c r="G6" s="9" t="s">
        <v>76</v>
      </c>
      <c r="H6" s="9" t="s">
        <v>77</v>
      </c>
      <c r="I6" s="14">
        <f>IF(D6="","",IF(OR(D6="Ingreso",D6="Traslado entrante"),1,-1))</f>
      </c>
      <c r="J6" s="15">
        <f>IF(A6="","",YEAR(A6))</f>
      </c>
      <c r="K6" s="9"/>
      <c r="L6" s="9" t="s">
        <v>48</v>
      </c>
    </row>
    <row r="7" spans="1:12" x14ac:dyDescent="0.25">
      <c r="A7" s="12">
        <v>46071</v>
      </c>
      <c r="B7" s="9" t="s">
        <v>52</v>
      </c>
      <c r="C7" s="13">
        <f>IF(B7="","",IFERROR(INDEX(Ejemplares!$B$5:$B$304,MATCH(B7,Ejemplares!$A$5:$A$304,0)),"Ejemplar no encontrado"))</f>
      </c>
      <c r="D7" s="9" t="s">
        <v>73</v>
      </c>
      <c r="E7" s="9" t="s">
        <v>78</v>
      </c>
      <c r="F7" s="9" t="s">
        <v>79</v>
      </c>
      <c r="G7" s="9" t="s">
        <v>80</v>
      </c>
      <c r="H7" s="9" t="s">
        <v>77</v>
      </c>
      <c r="I7" s="14">
        <f>IF(D7="","",IF(OR(D7="Ingreso",D7="Traslado entrante"),1,-1))</f>
      </c>
      <c r="J7" s="15">
        <f>IF(A7="","",YEAR(A7))</f>
      </c>
      <c r="K7" s="9"/>
      <c r="L7" s="9" t="s">
        <v>48</v>
      </c>
    </row>
    <row r="8" spans="1:12" x14ac:dyDescent="0.25">
      <c r="A8" s="12">
        <v>46114</v>
      </c>
      <c r="B8" s="9" t="s">
        <v>56</v>
      </c>
      <c r="C8" s="13">
        <f>IF(B8="","",IFERROR(INDEX(Ejemplares!$B$5:$B$304,MATCH(B8,Ejemplares!$A$5:$A$304,0)),"Ejemplar no encontrado"))</f>
      </c>
      <c r="D8" s="9" t="s">
        <v>81</v>
      </c>
      <c r="E8" s="9" t="s">
        <v>82</v>
      </c>
      <c r="F8" s="9" t="s">
        <v>75</v>
      </c>
      <c r="G8" s="9" t="s">
        <v>83</v>
      </c>
      <c r="H8" s="9" t="s">
        <v>77</v>
      </c>
      <c r="I8" s="14">
        <f>IF(D8="","",IF(OR(D8="Ingreso",D8="Traslado entrante"),1,-1))</f>
      </c>
      <c r="J8" s="15">
        <f>IF(A8="","",YEAR(A8))</f>
      </c>
      <c r="K8" s="9"/>
      <c r="L8" s="9" t="s">
        <v>48</v>
      </c>
    </row>
    <row r="9" spans="1:12" x14ac:dyDescent="0.25">
      <c r="A9" s="12">
        <v>46193</v>
      </c>
      <c r="B9" s="9" t="s">
        <v>58</v>
      </c>
      <c r="C9" s="13">
        <f>IF(B9="","",IFERROR(INDEX(Ejemplares!$B$5:$B$304,MATCH(B9,Ejemplares!$A$5:$A$304,0)),"Ejemplar no encontrado"))</f>
      </c>
      <c r="D9" s="9" t="s">
        <v>73</v>
      </c>
      <c r="E9" s="9" t="s">
        <v>84</v>
      </c>
      <c r="F9" s="9" t="s">
        <v>75</v>
      </c>
      <c r="G9" s="9" t="s">
        <v>85</v>
      </c>
      <c r="H9" s="9" t="s">
        <v>77</v>
      </c>
      <c r="I9" s="14">
        <f>IF(D9="","",IF(OR(D9="Ingreso",D9="Traslado entrante"),1,-1))</f>
      </c>
      <c r="J9" s="15">
        <f>IF(A9="","",YEAR(A9))</f>
      </c>
      <c r="K9" s="9"/>
      <c r="L9" s="9" t="s">
        <v>48</v>
      </c>
    </row>
    <row r="10" spans="1:12" x14ac:dyDescent="0.25">
      <c r="A10" s="12">
        <v>46242</v>
      </c>
      <c r="B10" s="9" t="s">
        <v>49</v>
      </c>
      <c r="C10" s="13">
        <f>IF(B10="","",IFERROR(INDEX(Ejemplares!$B$5:$B$304,MATCH(B10,Ejemplares!$A$5:$A$304,0)),"Ejemplar no encontrado"))</f>
      </c>
      <c r="D10" s="9" t="s">
        <v>86</v>
      </c>
      <c r="E10" s="9" t="s">
        <v>87</v>
      </c>
      <c r="F10" s="9" t="s">
        <v>88</v>
      </c>
      <c r="G10" s="9" t="s">
        <v>3</v>
      </c>
      <c r="H10" s="9" t="s">
        <v>77</v>
      </c>
      <c r="I10" s="14">
        <f>IF(D10="","",IF(OR(D10="Ingreso",D10="Traslado entrante"),1,-1))</f>
      </c>
      <c r="J10" s="15">
        <f>IF(A10="","",YEAR(A10))</f>
      </c>
      <c r="K10" s="9"/>
      <c r="L10" s="9" t="s">
        <v>48</v>
      </c>
    </row>
    <row r="11" spans="1:12" x14ac:dyDescent="0.25">
      <c r="A11" s="12">
        <v>46280</v>
      </c>
      <c r="B11" s="9" t="s">
        <v>58</v>
      </c>
      <c r="C11" s="13">
        <f>IF(B11="","",IFERROR(INDEX(Ejemplares!$B$5:$B$304,MATCH(B11,Ejemplares!$A$5:$A$304,0)),"Ejemplar no encontrado"))</f>
      </c>
      <c r="D11" s="9" t="s">
        <v>89</v>
      </c>
      <c r="E11" s="9" t="s">
        <v>90</v>
      </c>
      <c r="F11" s="9" t="s">
        <v>75</v>
      </c>
      <c r="G11" s="9" t="s">
        <v>91</v>
      </c>
      <c r="H11" s="9" t="s">
        <v>77</v>
      </c>
      <c r="I11" s="14">
        <f>IF(D11="","",IF(OR(D11="Ingreso",D11="Traslado entrante"),1,-1))</f>
      </c>
      <c r="J11" s="15">
        <f>IF(A11="","",YEAR(A11))</f>
      </c>
      <c r="K11" s="9"/>
      <c r="L11" s="9" t="s">
        <v>48</v>
      </c>
    </row>
    <row r="12" spans="1:12" x14ac:dyDescent="0.25">
      <c r="A12" s="16"/>
      <c r="B12" s="10"/>
      <c r="C12" s="13">
        <f>IF(B12="","",IFERROR(INDEX(Ejemplares!$B$5:$B$304,MATCH(B12,Ejemplares!$A$5:$A$304,0)),"Ejemplar no encontrado"))</f>
      </c>
      <c r="D12" s="10"/>
      <c r="E12" s="10"/>
      <c r="F12" s="10"/>
      <c r="G12" s="10"/>
      <c r="H12" s="10"/>
      <c r="I12" s="14">
        <f>IF(D12="","",IF(OR(D12="Ingreso",D12="Traslado entrante"),1,-1))</f>
      </c>
      <c r="J12" s="15">
        <f>IF(A12="","",YEAR(A12))</f>
      </c>
      <c r="K12" s="10"/>
      <c r="L12" s="10"/>
    </row>
    <row r="13" spans="1:12" x14ac:dyDescent="0.25">
      <c r="A13" s="16"/>
      <c r="B13" s="10"/>
      <c r="C13" s="13">
        <f>IF(B13="","",IFERROR(INDEX(Ejemplares!$B$5:$B$304,MATCH(B13,Ejemplares!$A$5:$A$304,0)),"Ejemplar no encontrado"))</f>
      </c>
      <c r="D13" s="10"/>
      <c r="E13" s="10"/>
      <c r="F13" s="10"/>
      <c r="G13" s="10"/>
      <c r="H13" s="10"/>
      <c r="I13" s="14">
        <f>IF(D13="","",IF(OR(D13="Ingreso",D13="Traslado entrante"),1,-1))</f>
      </c>
      <c r="J13" s="15">
        <f>IF(A13="","",YEAR(A13))</f>
      </c>
      <c r="K13" s="10"/>
      <c r="L13" s="10"/>
    </row>
    <row r="14" spans="1:12" x14ac:dyDescent="0.25">
      <c r="A14" s="16"/>
      <c r="B14" s="10"/>
      <c r="C14" s="13">
        <f>IF(B14="","",IFERROR(INDEX(Ejemplares!$B$5:$B$304,MATCH(B14,Ejemplares!$A$5:$A$304,0)),"Ejemplar no encontrado"))</f>
      </c>
      <c r="D14" s="10"/>
      <c r="E14" s="10"/>
      <c r="F14" s="10"/>
      <c r="G14" s="10"/>
      <c r="H14" s="10"/>
      <c r="I14" s="14">
        <f>IF(D14="","",IF(OR(D14="Ingreso",D14="Traslado entrante"),1,-1))</f>
      </c>
      <c r="J14" s="15">
        <f>IF(A14="","",YEAR(A14))</f>
      </c>
      <c r="K14" s="10"/>
      <c r="L14" s="10"/>
    </row>
    <row r="15" spans="1:12" x14ac:dyDescent="0.25">
      <c r="A15" s="16"/>
      <c r="B15" s="10"/>
      <c r="C15" s="13">
        <f>IF(B15="","",IFERROR(INDEX(Ejemplares!$B$5:$B$304,MATCH(B15,Ejemplares!$A$5:$A$304,0)),"Ejemplar no encontrado"))</f>
      </c>
      <c r="D15" s="10"/>
      <c r="E15" s="10"/>
      <c r="F15" s="10"/>
      <c r="G15" s="10"/>
      <c r="H15" s="10"/>
      <c r="I15" s="14">
        <f>IF(D15="","",IF(OR(D15="Ingreso",D15="Traslado entrante"),1,-1))</f>
      </c>
      <c r="J15" s="15">
        <f>IF(A15="","",YEAR(A15))</f>
      </c>
      <c r="K15" s="10"/>
      <c r="L15" s="10"/>
    </row>
    <row r="16" spans="1:12" x14ac:dyDescent="0.25">
      <c r="A16" s="16"/>
      <c r="B16" s="10"/>
      <c r="C16" s="13">
        <f>IF(B16="","",IFERROR(INDEX(Ejemplares!$B$5:$B$304,MATCH(B16,Ejemplares!$A$5:$A$304,0)),"Ejemplar no encontrado"))</f>
      </c>
      <c r="D16" s="10"/>
      <c r="E16" s="10"/>
      <c r="F16" s="10"/>
      <c r="G16" s="10"/>
      <c r="H16" s="10"/>
      <c r="I16" s="14">
        <f>IF(D16="","",IF(OR(D16="Ingreso",D16="Traslado entrante"),1,-1))</f>
      </c>
      <c r="J16" s="15">
        <f>IF(A16="","",YEAR(A16))</f>
      </c>
      <c r="K16" s="10"/>
      <c r="L16" s="10"/>
    </row>
    <row r="17" spans="1:12" x14ac:dyDescent="0.25">
      <c r="A17" s="16"/>
      <c r="B17" s="10"/>
      <c r="C17" s="13">
        <f>IF(B17="","",IFERROR(INDEX(Ejemplares!$B$5:$B$304,MATCH(B17,Ejemplares!$A$5:$A$304,0)),"Ejemplar no encontrado"))</f>
      </c>
      <c r="D17" s="10"/>
      <c r="E17" s="10"/>
      <c r="F17" s="10"/>
      <c r="G17" s="10"/>
      <c r="H17" s="10"/>
      <c r="I17" s="14">
        <f>IF(D17="","",IF(OR(D17="Ingreso",D17="Traslado entrante"),1,-1))</f>
      </c>
      <c r="J17" s="15">
        <f>IF(A17="","",YEAR(A17))</f>
      </c>
      <c r="K17" s="10"/>
      <c r="L17" s="10"/>
    </row>
    <row r="18" spans="1:12" x14ac:dyDescent="0.25">
      <c r="A18" s="16"/>
      <c r="B18" s="10"/>
      <c r="C18" s="13">
        <f>IF(B18="","",IFERROR(INDEX(Ejemplares!$B$5:$B$304,MATCH(B18,Ejemplares!$A$5:$A$304,0)),"Ejemplar no encontrado"))</f>
      </c>
      <c r="D18" s="10"/>
      <c r="E18" s="10"/>
      <c r="F18" s="10"/>
      <c r="G18" s="10"/>
      <c r="H18" s="10"/>
      <c r="I18" s="14">
        <f>IF(D18="","",IF(OR(D18="Ingreso",D18="Traslado entrante"),1,-1))</f>
      </c>
      <c r="J18" s="15">
        <f>IF(A18="","",YEAR(A18))</f>
      </c>
      <c r="K18" s="10"/>
      <c r="L18" s="10"/>
    </row>
    <row r="19" spans="1:12" x14ac:dyDescent="0.25">
      <c r="A19" s="16"/>
      <c r="B19" s="10"/>
      <c r="C19" s="13">
        <f>IF(B19="","",IFERROR(INDEX(Ejemplares!$B$5:$B$304,MATCH(B19,Ejemplares!$A$5:$A$304,0)),"Ejemplar no encontrado"))</f>
      </c>
      <c r="D19" s="10"/>
      <c r="E19" s="10"/>
      <c r="F19" s="10"/>
      <c r="G19" s="10"/>
      <c r="H19" s="10"/>
      <c r="I19" s="14">
        <f>IF(D19="","",IF(OR(D19="Ingreso",D19="Traslado entrante"),1,-1))</f>
      </c>
      <c r="J19" s="15">
        <f>IF(A19="","",YEAR(A19))</f>
      </c>
      <c r="K19" s="10"/>
      <c r="L19" s="10"/>
    </row>
    <row r="20" spans="1:12" x14ac:dyDescent="0.25">
      <c r="A20" s="16"/>
      <c r="B20" s="10"/>
      <c r="C20" s="13">
        <f>IF(B20="","",IFERROR(INDEX(Ejemplares!$B$5:$B$304,MATCH(B20,Ejemplares!$A$5:$A$304,0)),"Ejemplar no encontrado"))</f>
      </c>
      <c r="D20" s="10"/>
      <c r="E20" s="10"/>
      <c r="F20" s="10"/>
      <c r="G20" s="10"/>
      <c r="H20" s="10"/>
      <c r="I20" s="14">
        <f>IF(D20="","",IF(OR(D20="Ingreso",D20="Traslado entrante"),1,-1))</f>
      </c>
      <c r="J20" s="15">
        <f>IF(A20="","",YEAR(A20))</f>
      </c>
      <c r="K20" s="10"/>
      <c r="L20" s="10"/>
    </row>
    <row r="21" spans="1:12" x14ac:dyDescent="0.25">
      <c r="A21" s="16"/>
      <c r="B21" s="10"/>
      <c r="C21" s="13">
        <f>IF(B21="","",IFERROR(INDEX(Ejemplares!$B$5:$B$304,MATCH(B21,Ejemplares!$A$5:$A$304,0)),"Ejemplar no encontrado"))</f>
      </c>
      <c r="D21" s="10"/>
      <c r="E21" s="10"/>
      <c r="F21" s="10"/>
      <c r="G21" s="10"/>
      <c r="H21" s="10"/>
      <c r="I21" s="14">
        <f>IF(D21="","",IF(OR(D21="Ingreso",D21="Traslado entrante"),1,-1))</f>
      </c>
      <c r="J21" s="15">
        <f>IF(A21="","",YEAR(A21))</f>
      </c>
      <c r="K21" s="10"/>
      <c r="L21" s="10"/>
    </row>
    <row r="22" spans="1:12" x14ac:dyDescent="0.25">
      <c r="A22" s="16"/>
      <c r="B22" s="10"/>
      <c r="C22" s="13">
        <f>IF(B22="","",IFERROR(INDEX(Ejemplares!$B$5:$B$304,MATCH(B22,Ejemplares!$A$5:$A$304,0)),"Ejemplar no encontrado"))</f>
      </c>
      <c r="D22" s="10"/>
      <c r="E22" s="10"/>
      <c r="F22" s="10"/>
      <c r="G22" s="10"/>
      <c r="H22" s="10"/>
      <c r="I22" s="14">
        <f>IF(D22="","",IF(OR(D22="Ingreso",D22="Traslado entrante"),1,-1))</f>
      </c>
      <c r="J22" s="15">
        <f>IF(A22="","",YEAR(A22))</f>
      </c>
      <c r="K22" s="10"/>
      <c r="L22" s="10"/>
    </row>
    <row r="23" spans="1:12" x14ac:dyDescent="0.25">
      <c r="A23" s="16"/>
      <c r="B23" s="10"/>
      <c r="C23" s="13">
        <f>IF(B23="","",IFERROR(INDEX(Ejemplares!$B$5:$B$304,MATCH(B23,Ejemplares!$A$5:$A$304,0)),"Ejemplar no encontrado"))</f>
      </c>
      <c r="D23" s="10"/>
      <c r="E23" s="10"/>
      <c r="F23" s="10"/>
      <c r="G23" s="10"/>
      <c r="H23" s="10"/>
      <c r="I23" s="14">
        <f>IF(D23="","",IF(OR(D23="Ingreso",D23="Traslado entrante"),1,-1))</f>
      </c>
      <c r="J23" s="15">
        <f>IF(A23="","",YEAR(A23))</f>
      </c>
      <c r="K23" s="10"/>
      <c r="L23" s="10"/>
    </row>
    <row r="24" spans="1:12" x14ac:dyDescent="0.25">
      <c r="A24" s="16"/>
      <c r="B24" s="10"/>
      <c r="C24" s="13">
        <f>IF(B24="","",IFERROR(INDEX(Ejemplares!$B$5:$B$304,MATCH(B24,Ejemplares!$A$5:$A$304,0)),"Ejemplar no encontrado"))</f>
      </c>
      <c r="D24" s="10"/>
      <c r="E24" s="10"/>
      <c r="F24" s="10"/>
      <c r="G24" s="10"/>
      <c r="H24" s="10"/>
      <c r="I24" s="14">
        <f>IF(D24="","",IF(OR(D24="Ingreso",D24="Traslado entrante"),1,-1))</f>
      </c>
      <c r="J24" s="15">
        <f>IF(A24="","",YEAR(A24))</f>
      </c>
      <c r="K24" s="10"/>
      <c r="L24" s="10"/>
    </row>
    <row r="25" spans="1:12" x14ac:dyDescent="0.25">
      <c r="A25" s="16"/>
      <c r="B25" s="10"/>
      <c r="C25" s="13">
        <f>IF(B25="","",IFERROR(INDEX(Ejemplares!$B$5:$B$304,MATCH(B25,Ejemplares!$A$5:$A$304,0)),"Ejemplar no encontrado"))</f>
      </c>
      <c r="D25" s="10"/>
      <c r="E25" s="10"/>
      <c r="F25" s="10"/>
      <c r="G25" s="10"/>
      <c r="H25" s="10"/>
      <c r="I25" s="14">
        <f>IF(D25="","",IF(OR(D25="Ingreso",D25="Traslado entrante"),1,-1))</f>
      </c>
      <c r="J25" s="15">
        <f>IF(A25="","",YEAR(A25))</f>
      </c>
      <c r="K25" s="10"/>
      <c r="L25" s="10"/>
    </row>
    <row r="26" spans="1:12" x14ac:dyDescent="0.25">
      <c r="A26" s="16"/>
      <c r="B26" s="10"/>
      <c r="C26" s="13">
        <f>IF(B26="","",IFERROR(INDEX(Ejemplares!$B$5:$B$304,MATCH(B26,Ejemplares!$A$5:$A$304,0)),"Ejemplar no encontrado"))</f>
      </c>
      <c r="D26" s="10"/>
      <c r="E26" s="10"/>
      <c r="F26" s="10"/>
      <c r="G26" s="10"/>
      <c r="H26" s="10"/>
      <c r="I26" s="14">
        <f>IF(D26="","",IF(OR(D26="Ingreso",D26="Traslado entrante"),1,-1))</f>
      </c>
      <c r="J26" s="15">
        <f>IF(A26="","",YEAR(A26))</f>
      </c>
      <c r="K26" s="10"/>
      <c r="L26" s="10"/>
    </row>
    <row r="27" spans="1:12" x14ac:dyDescent="0.25">
      <c r="A27" s="16"/>
      <c r="B27" s="10"/>
      <c r="C27" s="13">
        <f>IF(B27="","",IFERROR(INDEX(Ejemplares!$B$5:$B$304,MATCH(B27,Ejemplares!$A$5:$A$304,0)),"Ejemplar no encontrado"))</f>
      </c>
      <c r="D27" s="10"/>
      <c r="E27" s="10"/>
      <c r="F27" s="10"/>
      <c r="G27" s="10"/>
      <c r="H27" s="10"/>
      <c r="I27" s="14">
        <f>IF(D27="","",IF(OR(D27="Ingreso",D27="Traslado entrante"),1,-1))</f>
      </c>
      <c r="J27" s="15">
        <f>IF(A27="","",YEAR(A27))</f>
      </c>
      <c r="K27" s="10"/>
      <c r="L27" s="10"/>
    </row>
    <row r="28" spans="1:12" x14ac:dyDescent="0.25">
      <c r="A28" s="16"/>
      <c r="B28" s="10"/>
      <c r="C28" s="13">
        <f>IF(B28="","",IFERROR(INDEX(Ejemplares!$B$5:$B$304,MATCH(B28,Ejemplares!$A$5:$A$304,0)),"Ejemplar no encontrado"))</f>
      </c>
      <c r="D28" s="10"/>
      <c r="E28" s="10"/>
      <c r="F28" s="10"/>
      <c r="G28" s="10"/>
      <c r="H28" s="10"/>
      <c r="I28" s="14">
        <f>IF(D28="","",IF(OR(D28="Ingreso",D28="Traslado entrante"),1,-1))</f>
      </c>
      <c r="J28" s="15">
        <f>IF(A28="","",YEAR(A28))</f>
      </c>
      <c r="K28" s="10"/>
      <c r="L28" s="10"/>
    </row>
    <row r="29" spans="1:12" x14ac:dyDescent="0.25">
      <c r="A29" s="16"/>
      <c r="B29" s="10"/>
      <c r="C29" s="13">
        <f>IF(B29="","",IFERROR(INDEX(Ejemplares!$B$5:$B$304,MATCH(B29,Ejemplares!$A$5:$A$304,0)),"Ejemplar no encontrado"))</f>
      </c>
      <c r="D29" s="10"/>
      <c r="E29" s="10"/>
      <c r="F29" s="10"/>
      <c r="G29" s="10"/>
      <c r="H29" s="10"/>
      <c r="I29" s="14">
        <f>IF(D29="","",IF(OR(D29="Ingreso",D29="Traslado entrante"),1,-1))</f>
      </c>
      <c r="J29" s="15">
        <f>IF(A29="","",YEAR(A29))</f>
      </c>
      <c r="K29" s="10"/>
      <c r="L29" s="10"/>
    </row>
    <row r="30" spans="1:12" x14ac:dyDescent="0.25">
      <c r="A30" s="16"/>
      <c r="B30" s="10"/>
      <c r="C30" s="13">
        <f>IF(B30="","",IFERROR(INDEX(Ejemplares!$B$5:$B$304,MATCH(B30,Ejemplares!$A$5:$A$304,0)),"Ejemplar no encontrado"))</f>
      </c>
      <c r="D30" s="10"/>
      <c r="E30" s="10"/>
      <c r="F30" s="10"/>
      <c r="G30" s="10"/>
      <c r="H30" s="10"/>
      <c r="I30" s="14">
        <f>IF(D30="","",IF(OR(D30="Ingreso",D30="Traslado entrante"),1,-1))</f>
      </c>
      <c r="J30" s="15">
        <f>IF(A30="","",YEAR(A30))</f>
      </c>
      <c r="K30" s="10"/>
      <c r="L30" s="10"/>
    </row>
    <row r="31" spans="1:12" x14ac:dyDescent="0.25">
      <c r="A31" s="16"/>
      <c r="B31" s="10"/>
      <c r="C31" s="13">
        <f>IF(B31="","",IFERROR(INDEX(Ejemplares!$B$5:$B$304,MATCH(B31,Ejemplares!$A$5:$A$304,0)),"Ejemplar no encontrado"))</f>
      </c>
      <c r="D31" s="10"/>
      <c r="E31" s="10"/>
      <c r="F31" s="10"/>
      <c r="G31" s="10"/>
      <c r="H31" s="10"/>
      <c r="I31" s="14">
        <f>IF(D31="","",IF(OR(D31="Ingreso",D31="Traslado entrante"),1,-1))</f>
      </c>
      <c r="J31" s="15">
        <f>IF(A31="","",YEAR(A31))</f>
      </c>
      <c r="K31" s="10"/>
      <c r="L31" s="10"/>
    </row>
    <row r="32" spans="1:12" x14ac:dyDescent="0.25">
      <c r="A32" s="16"/>
      <c r="B32" s="10"/>
      <c r="C32" s="13">
        <f>IF(B32="","",IFERROR(INDEX(Ejemplares!$B$5:$B$304,MATCH(B32,Ejemplares!$A$5:$A$304,0)),"Ejemplar no encontrado"))</f>
      </c>
      <c r="D32" s="10"/>
      <c r="E32" s="10"/>
      <c r="F32" s="10"/>
      <c r="G32" s="10"/>
      <c r="H32" s="10"/>
      <c r="I32" s="14">
        <f>IF(D32="","",IF(OR(D32="Ingreso",D32="Traslado entrante"),1,-1))</f>
      </c>
      <c r="J32" s="15">
        <f>IF(A32="","",YEAR(A32))</f>
      </c>
      <c r="K32" s="10"/>
      <c r="L32" s="10"/>
    </row>
    <row r="33" spans="1:12" x14ac:dyDescent="0.25">
      <c r="A33" s="16"/>
      <c r="B33" s="10"/>
      <c r="C33" s="13">
        <f>IF(B33="","",IFERROR(INDEX(Ejemplares!$B$5:$B$304,MATCH(B33,Ejemplares!$A$5:$A$304,0)),"Ejemplar no encontrado"))</f>
      </c>
      <c r="D33" s="10"/>
      <c r="E33" s="10"/>
      <c r="F33" s="10"/>
      <c r="G33" s="10"/>
      <c r="H33" s="10"/>
      <c r="I33" s="14">
        <f>IF(D33="","",IF(OR(D33="Ingreso",D33="Traslado entrante"),1,-1))</f>
      </c>
      <c r="J33" s="15">
        <f>IF(A33="","",YEAR(A33))</f>
      </c>
      <c r="K33" s="10"/>
      <c r="L33" s="10"/>
    </row>
    <row r="34" spans="1:12" x14ac:dyDescent="0.25">
      <c r="A34" s="16"/>
      <c r="B34" s="10"/>
      <c r="C34" s="13">
        <f>IF(B34="","",IFERROR(INDEX(Ejemplares!$B$5:$B$304,MATCH(B34,Ejemplares!$A$5:$A$304,0)),"Ejemplar no encontrado"))</f>
      </c>
      <c r="D34" s="10"/>
      <c r="E34" s="10"/>
      <c r="F34" s="10"/>
      <c r="G34" s="10"/>
      <c r="H34" s="10"/>
      <c r="I34" s="14">
        <f>IF(D34="","",IF(OR(D34="Ingreso",D34="Traslado entrante"),1,-1))</f>
      </c>
      <c r="J34" s="15">
        <f>IF(A34="","",YEAR(A34))</f>
      </c>
      <c r="K34" s="10"/>
      <c r="L34" s="10"/>
    </row>
    <row r="35" spans="1:12" x14ac:dyDescent="0.25">
      <c r="A35" s="16"/>
      <c r="B35" s="10"/>
      <c r="C35" s="13">
        <f>IF(B35="","",IFERROR(INDEX(Ejemplares!$B$5:$B$304,MATCH(B35,Ejemplares!$A$5:$A$304,0)),"Ejemplar no encontrado"))</f>
      </c>
      <c r="D35" s="10"/>
      <c r="E35" s="10"/>
      <c r="F35" s="10"/>
      <c r="G35" s="10"/>
      <c r="H35" s="10"/>
      <c r="I35" s="14">
        <f>IF(D35="","",IF(OR(D35="Ingreso",D35="Traslado entrante"),1,-1))</f>
      </c>
      <c r="J35" s="15">
        <f>IF(A35="","",YEAR(A35))</f>
      </c>
      <c r="K35" s="10"/>
      <c r="L35" s="10"/>
    </row>
    <row r="36" spans="1:12" x14ac:dyDescent="0.25">
      <c r="A36" s="16"/>
      <c r="B36" s="10"/>
      <c r="C36" s="13">
        <f>IF(B36="","",IFERROR(INDEX(Ejemplares!$B$5:$B$304,MATCH(B36,Ejemplares!$A$5:$A$304,0)),"Ejemplar no encontrado"))</f>
      </c>
      <c r="D36" s="10"/>
      <c r="E36" s="10"/>
      <c r="F36" s="10"/>
      <c r="G36" s="10"/>
      <c r="H36" s="10"/>
      <c r="I36" s="14">
        <f>IF(D36="","",IF(OR(D36="Ingreso",D36="Traslado entrante"),1,-1))</f>
      </c>
      <c r="J36" s="15">
        <f>IF(A36="","",YEAR(A36))</f>
      </c>
      <c r="K36" s="10"/>
      <c r="L36" s="10"/>
    </row>
    <row r="37" spans="1:12" x14ac:dyDescent="0.25">
      <c r="A37" s="16"/>
      <c r="B37" s="10"/>
      <c r="C37" s="13">
        <f>IF(B37="","",IFERROR(INDEX(Ejemplares!$B$5:$B$304,MATCH(B37,Ejemplares!$A$5:$A$304,0)),"Ejemplar no encontrado"))</f>
      </c>
      <c r="D37" s="10"/>
      <c r="E37" s="10"/>
      <c r="F37" s="10"/>
      <c r="G37" s="10"/>
      <c r="H37" s="10"/>
      <c r="I37" s="14">
        <f>IF(D37="","",IF(OR(D37="Ingreso",D37="Traslado entrante"),1,-1))</f>
      </c>
      <c r="J37" s="15">
        <f>IF(A37="","",YEAR(A37))</f>
      </c>
      <c r="K37" s="10"/>
      <c r="L37" s="10"/>
    </row>
    <row r="38" spans="1:12" x14ac:dyDescent="0.25">
      <c r="A38" s="16"/>
      <c r="B38" s="10"/>
      <c r="C38" s="13">
        <f>IF(B38="","",IFERROR(INDEX(Ejemplares!$B$5:$B$304,MATCH(B38,Ejemplares!$A$5:$A$304,0)),"Ejemplar no encontrado"))</f>
      </c>
      <c r="D38" s="10"/>
      <c r="E38" s="10"/>
      <c r="F38" s="10"/>
      <c r="G38" s="10"/>
      <c r="H38" s="10"/>
      <c r="I38" s="14">
        <f>IF(D38="","",IF(OR(D38="Ingreso",D38="Traslado entrante"),1,-1))</f>
      </c>
      <c r="J38" s="15">
        <f>IF(A38="","",YEAR(A38))</f>
      </c>
      <c r="K38" s="10"/>
      <c r="L38" s="10"/>
    </row>
    <row r="39" spans="1:12" x14ac:dyDescent="0.25">
      <c r="A39" s="16"/>
      <c r="B39" s="10"/>
      <c r="C39" s="13">
        <f>IF(B39="","",IFERROR(INDEX(Ejemplares!$B$5:$B$304,MATCH(B39,Ejemplares!$A$5:$A$304,0)),"Ejemplar no encontrado"))</f>
      </c>
      <c r="D39" s="10"/>
      <c r="E39" s="10"/>
      <c r="F39" s="10"/>
      <c r="G39" s="10"/>
      <c r="H39" s="10"/>
      <c r="I39" s="14">
        <f>IF(D39="","",IF(OR(D39="Ingreso",D39="Traslado entrante"),1,-1))</f>
      </c>
      <c r="J39" s="15">
        <f>IF(A39="","",YEAR(A39))</f>
      </c>
      <c r="K39" s="10"/>
      <c r="L39" s="10"/>
    </row>
    <row r="40" spans="1:12" x14ac:dyDescent="0.25">
      <c r="A40" s="16"/>
      <c r="B40" s="10"/>
      <c r="C40" s="13">
        <f>IF(B40="","",IFERROR(INDEX(Ejemplares!$B$5:$B$304,MATCH(B40,Ejemplares!$A$5:$A$304,0)),"Ejemplar no encontrado"))</f>
      </c>
      <c r="D40" s="10"/>
      <c r="E40" s="10"/>
      <c r="F40" s="10"/>
      <c r="G40" s="10"/>
      <c r="H40" s="10"/>
      <c r="I40" s="14">
        <f>IF(D40="","",IF(OR(D40="Ingreso",D40="Traslado entrante"),1,-1))</f>
      </c>
      <c r="J40" s="15">
        <f>IF(A40="","",YEAR(A40))</f>
      </c>
      <c r="K40" s="10"/>
      <c r="L40" s="10"/>
    </row>
    <row r="41" spans="1:12" x14ac:dyDescent="0.25">
      <c r="A41" s="16"/>
      <c r="B41" s="10"/>
      <c r="C41" s="13">
        <f>IF(B41="","",IFERROR(INDEX(Ejemplares!$B$5:$B$304,MATCH(B41,Ejemplares!$A$5:$A$304,0)),"Ejemplar no encontrado"))</f>
      </c>
      <c r="D41" s="10"/>
      <c r="E41" s="10"/>
      <c r="F41" s="10"/>
      <c r="G41" s="10"/>
      <c r="H41" s="10"/>
      <c r="I41" s="14">
        <f>IF(D41="","",IF(OR(D41="Ingreso",D41="Traslado entrante"),1,-1))</f>
      </c>
      <c r="J41" s="15">
        <f>IF(A41="","",YEAR(A41))</f>
      </c>
      <c r="K41" s="10"/>
      <c r="L41" s="10"/>
    </row>
    <row r="42" spans="1:12" x14ac:dyDescent="0.25">
      <c r="A42" s="16"/>
      <c r="B42" s="10"/>
      <c r="C42" s="13">
        <f>IF(B42="","",IFERROR(INDEX(Ejemplares!$B$5:$B$304,MATCH(B42,Ejemplares!$A$5:$A$304,0)),"Ejemplar no encontrado"))</f>
      </c>
      <c r="D42" s="10"/>
      <c r="E42" s="10"/>
      <c r="F42" s="10"/>
      <c r="G42" s="10"/>
      <c r="H42" s="10"/>
      <c r="I42" s="14">
        <f>IF(D42="","",IF(OR(D42="Ingreso",D42="Traslado entrante"),1,-1))</f>
      </c>
      <c r="J42" s="15">
        <f>IF(A42="","",YEAR(A42))</f>
      </c>
      <c r="K42" s="10"/>
      <c r="L42" s="10"/>
    </row>
    <row r="43" spans="1:12" x14ac:dyDescent="0.25">
      <c r="A43" s="16"/>
      <c r="B43" s="10"/>
      <c r="C43" s="13">
        <f>IF(B43="","",IFERROR(INDEX(Ejemplares!$B$5:$B$304,MATCH(B43,Ejemplares!$A$5:$A$304,0)),"Ejemplar no encontrado"))</f>
      </c>
      <c r="D43" s="10"/>
      <c r="E43" s="10"/>
      <c r="F43" s="10"/>
      <c r="G43" s="10"/>
      <c r="H43" s="10"/>
      <c r="I43" s="14">
        <f>IF(D43="","",IF(OR(D43="Ingreso",D43="Traslado entrante"),1,-1))</f>
      </c>
      <c r="J43" s="15">
        <f>IF(A43="","",YEAR(A43))</f>
      </c>
      <c r="K43" s="10"/>
      <c r="L43" s="10"/>
    </row>
    <row r="44" spans="1:12" x14ac:dyDescent="0.25">
      <c r="A44" s="16"/>
      <c r="B44" s="10"/>
      <c r="C44" s="13">
        <f>IF(B44="","",IFERROR(INDEX(Ejemplares!$B$5:$B$304,MATCH(B44,Ejemplares!$A$5:$A$304,0)),"Ejemplar no encontrado"))</f>
      </c>
      <c r="D44" s="10"/>
      <c r="E44" s="10"/>
      <c r="F44" s="10"/>
      <c r="G44" s="10"/>
      <c r="H44" s="10"/>
      <c r="I44" s="14">
        <f>IF(D44="","",IF(OR(D44="Ingreso",D44="Traslado entrante"),1,-1))</f>
      </c>
      <c r="J44" s="15">
        <f>IF(A44="","",YEAR(A44))</f>
      </c>
      <c r="K44" s="10"/>
      <c r="L44" s="10"/>
    </row>
    <row r="45" spans="1:12" x14ac:dyDescent="0.25">
      <c r="A45" s="16"/>
      <c r="B45" s="10"/>
      <c r="C45" s="13">
        <f>IF(B45="","",IFERROR(INDEX(Ejemplares!$B$5:$B$304,MATCH(B45,Ejemplares!$A$5:$A$304,0)),"Ejemplar no encontrado"))</f>
      </c>
      <c r="D45" s="10"/>
      <c r="E45" s="10"/>
      <c r="F45" s="10"/>
      <c r="G45" s="10"/>
      <c r="H45" s="10"/>
      <c r="I45" s="14">
        <f>IF(D45="","",IF(OR(D45="Ingreso",D45="Traslado entrante"),1,-1))</f>
      </c>
      <c r="J45" s="15">
        <f>IF(A45="","",YEAR(A45))</f>
      </c>
      <c r="K45" s="10"/>
      <c r="L45" s="10"/>
    </row>
    <row r="46" spans="1:12" x14ac:dyDescent="0.25">
      <c r="A46" s="16"/>
      <c r="B46" s="10"/>
      <c r="C46" s="13">
        <f>IF(B46="","",IFERROR(INDEX(Ejemplares!$B$5:$B$304,MATCH(B46,Ejemplares!$A$5:$A$304,0)),"Ejemplar no encontrado"))</f>
      </c>
      <c r="D46" s="10"/>
      <c r="E46" s="10"/>
      <c r="F46" s="10"/>
      <c r="G46" s="10"/>
      <c r="H46" s="10"/>
      <c r="I46" s="14">
        <f>IF(D46="","",IF(OR(D46="Ingreso",D46="Traslado entrante"),1,-1))</f>
      </c>
      <c r="J46" s="15">
        <f>IF(A46="","",YEAR(A46))</f>
      </c>
      <c r="K46" s="10"/>
      <c r="L46" s="10"/>
    </row>
    <row r="47" spans="1:12" x14ac:dyDescent="0.25">
      <c r="A47" s="16"/>
      <c r="B47" s="10"/>
      <c r="C47" s="13">
        <f>IF(B47="","",IFERROR(INDEX(Ejemplares!$B$5:$B$304,MATCH(B47,Ejemplares!$A$5:$A$304,0)),"Ejemplar no encontrado"))</f>
      </c>
      <c r="D47" s="10"/>
      <c r="E47" s="10"/>
      <c r="F47" s="10"/>
      <c r="G47" s="10"/>
      <c r="H47" s="10"/>
      <c r="I47" s="14">
        <f>IF(D47="","",IF(OR(D47="Ingreso",D47="Traslado entrante"),1,-1))</f>
      </c>
      <c r="J47" s="15">
        <f>IF(A47="","",YEAR(A47))</f>
      </c>
      <c r="K47" s="10"/>
      <c r="L47" s="10"/>
    </row>
    <row r="48" spans="1:12" x14ac:dyDescent="0.25">
      <c r="A48" s="16"/>
      <c r="B48" s="10"/>
      <c r="C48" s="13">
        <f>IF(B48="","",IFERROR(INDEX(Ejemplares!$B$5:$B$304,MATCH(B48,Ejemplares!$A$5:$A$304,0)),"Ejemplar no encontrado"))</f>
      </c>
      <c r="D48" s="10"/>
      <c r="E48" s="10"/>
      <c r="F48" s="10"/>
      <c r="G48" s="10"/>
      <c r="H48" s="10"/>
      <c r="I48" s="14">
        <f>IF(D48="","",IF(OR(D48="Ingreso",D48="Traslado entrante"),1,-1))</f>
      </c>
      <c r="J48" s="15">
        <f>IF(A48="","",YEAR(A48))</f>
      </c>
      <c r="K48" s="10"/>
      <c r="L48" s="10"/>
    </row>
    <row r="49" spans="1:12" x14ac:dyDescent="0.25">
      <c r="A49" s="16"/>
      <c r="B49" s="10"/>
      <c r="C49" s="13">
        <f>IF(B49="","",IFERROR(INDEX(Ejemplares!$B$5:$B$304,MATCH(B49,Ejemplares!$A$5:$A$304,0)),"Ejemplar no encontrado"))</f>
      </c>
      <c r="D49" s="10"/>
      <c r="E49" s="10"/>
      <c r="F49" s="10"/>
      <c r="G49" s="10"/>
      <c r="H49" s="10"/>
      <c r="I49" s="14">
        <f>IF(D49="","",IF(OR(D49="Ingreso",D49="Traslado entrante"),1,-1))</f>
      </c>
      <c r="J49" s="15">
        <f>IF(A49="","",YEAR(A49))</f>
      </c>
      <c r="K49" s="10"/>
      <c r="L49" s="10"/>
    </row>
    <row r="50" spans="1:12" x14ac:dyDescent="0.25">
      <c r="A50" s="16"/>
      <c r="B50" s="10"/>
      <c r="C50" s="13">
        <f>IF(B50="","",IFERROR(INDEX(Ejemplares!$B$5:$B$304,MATCH(B50,Ejemplares!$A$5:$A$304,0)),"Ejemplar no encontrado"))</f>
      </c>
      <c r="D50" s="10"/>
      <c r="E50" s="10"/>
      <c r="F50" s="10"/>
      <c r="G50" s="10"/>
      <c r="H50" s="10"/>
      <c r="I50" s="14">
        <f>IF(D50="","",IF(OR(D50="Ingreso",D50="Traslado entrante"),1,-1))</f>
      </c>
      <c r="J50" s="15">
        <f>IF(A50="","",YEAR(A50))</f>
      </c>
      <c r="K50" s="10"/>
      <c r="L50" s="10"/>
    </row>
    <row r="51" spans="1:12" x14ac:dyDescent="0.25">
      <c r="A51" s="16"/>
      <c r="B51" s="10"/>
      <c r="C51" s="13">
        <f>IF(B51="","",IFERROR(INDEX(Ejemplares!$B$5:$B$304,MATCH(B51,Ejemplares!$A$5:$A$304,0)),"Ejemplar no encontrado"))</f>
      </c>
      <c r="D51" s="10"/>
      <c r="E51" s="10"/>
      <c r="F51" s="10"/>
      <c r="G51" s="10"/>
      <c r="H51" s="10"/>
      <c r="I51" s="14">
        <f>IF(D51="","",IF(OR(D51="Ingreso",D51="Traslado entrante"),1,-1))</f>
      </c>
      <c r="J51" s="15">
        <f>IF(A51="","",YEAR(A51))</f>
      </c>
      <c r="K51" s="10"/>
      <c r="L51" s="10"/>
    </row>
    <row r="52" spans="1:12" x14ac:dyDescent="0.25">
      <c r="A52" s="16"/>
      <c r="B52" s="10"/>
      <c r="C52" s="13">
        <f>IF(B52="","",IFERROR(INDEX(Ejemplares!$B$5:$B$304,MATCH(B52,Ejemplares!$A$5:$A$304,0)),"Ejemplar no encontrado"))</f>
      </c>
      <c r="D52" s="10"/>
      <c r="E52" s="10"/>
      <c r="F52" s="10"/>
      <c r="G52" s="10"/>
      <c r="H52" s="10"/>
      <c r="I52" s="14">
        <f>IF(D52="","",IF(OR(D52="Ingreso",D52="Traslado entrante"),1,-1))</f>
      </c>
      <c r="J52" s="15">
        <f>IF(A52="","",YEAR(A52))</f>
      </c>
      <c r="K52" s="10"/>
      <c r="L52" s="10"/>
    </row>
    <row r="53" spans="1:12" x14ac:dyDescent="0.25">
      <c r="A53" s="16"/>
      <c r="B53" s="10"/>
      <c r="C53" s="13">
        <f>IF(B53="","",IFERROR(INDEX(Ejemplares!$B$5:$B$304,MATCH(B53,Ejemplares!$A$5:$A$304,0)),"Ejemplar no encontrado"))</f>
      </c>
      <c r="D53" s="10"/>
      <c r="E53" s="10"/>
      <c r="F53" s="10"/>
      <c r="G53" s="10"/>
      <c r="H53" s="10"/>
      <c r="I53" s="14">
        <f>IF(D53="","",IF(OR(D53="Ingreso",D53="Traslado entrante"),1,-1))</f>
      </c>
      <c r="J53" s="15">
        <f>IF(A53="","",YEAR(A53))</f>
      </c>
      <c r="K53" s="10"/>
      <c r="L53" s="10"/>
    </row>
    <row r="54" spans="1:12" x14ac:dyDescent="0.25">
      <c r="A54" s="16"/>
      <c r="B54" s="10"/>
      <c r="C54" s="13">
        <f>IF(B54="","",IFERROR(INDEX(Ejemplares!$B$5:$B$304,MATCH(B54,Ejemplares!$A$5:$A$304,0)),"Ejemplar no encontrado"))</f>
      </c>
      <c r="D54" s="10"/>
      <c r="E54" s="10"/>
      <c r="F54" s="10"/>
      <c r="G54" s="10"/>
      <c r="H54" s="10"/>
      <c r="I54" s="14">
        <f>IF(D54="","",IF(OR(D54="Ingreso",D54="Traslado entrante"),1,-1))</f>
      </c>
      <c r="J54" s="15">
        <f>IF(A54="","",YEAR(A54))</f>
      </c>
      <c r="K54" s="10"/>
      <c r="L54" s="10"/>
    </row>
    <row r="55" spans="1:12" x14ac:dyDescent="0.25">
      <c r="A55" s="16"/>
      <c r="B55" s="10"/>
      <c r="C55" s="13">
        <f>IF(B55="","",IFERROR(INDEX(Ejemplares!$B$5:$B$304,MATCH(B55,Ejemplares!$A$5:$A$304,0)),"Ejemplar no encontrado"))</f>
      </c>
      <c r="D55" s="10"/>
      <c r="E55" s="10"/>
      <c r="F55" s="10"/>
      <c r="G55" s="10"/>
      <c r="H55" s="10"/>
      <c r="I55" s="14">
        <f>IF(D55="","",IF(OR(D55="Ingreso",D55="Traslado entrante"),1,-1))</f>
      </c>
      <c r="J55" s="15">
        <f>IF(A55="","",YEAR(A55))</f>
      </c>
      <c r="K55" s="10"/>
      <c r="L55" s="10"/>
    </row>
    <row r="56" spans="1:12" x14ac:dyDescent="0.25">
      <c r="A56" s="16"/>
      <c r="B56" s="10"/>
      <c r="C56" s="13">
        <f>IF(B56="","",IFERROR(INDEX(Ejemplares!$B$5:$B$304,MATCH(B56,Ejemplares!$A$5:$A$304,0)),"Ejemplar no encontrado"))</f>
      </c>
      <c r="D56" s="10"/>
      <c r="E56" s="10"/>
      <c r="F56" s="10"/>
      <c r="G56" s="10"/>
      <c r="H56" s="10"/>
      <c r="I56" s="14">
        <f>IF(D56="","",IF(OR(D56="Ingreso",D56="Traslado entrante"),1,-1))</f>
      </c>
      <c r="J56" s="15">
        <f>IF(A56="","",YEAR(A56))</f>
      </c>
      <c r="K56" s="10"/>
      <c r="L56" s="10"/>
    </row>
    <row r="57" spans="1:12" x14ac:dyDescent="0.25">
      <c r="A57" s="16"/>
      <c r="B57" s="10"/>
      <c r="C57" s="13">
        <f>IF(B57="","",IFERROR(INDEX(Ejemplares!$B$5:$B$304,MATCH(B57,Ejemplares!$A$5:$A$304,0)),"Ejemplar no encontrado"))</f>
      </c>
      <c r="D57" s="10"/>
      <c r="E57" s="10"/>
      <c r="F57" s="10"/>
      <c r="G57" s="10"/>
      <c r="H57" s="10"/>
      <c r="I57" s="14">
        <f>IF(D57="","",IF(OR(D57="Ingreso",D57="Traslado entrante"),1,-1))</f>
      </c>
      <c r="J57" s="15">
        <f>IF(A57="","",YEAR(A57))</f>
      </c>
      <c r="K57" s="10"/>
      <c r="L57" s="10"/>
    </row>
    <row r="58" spans="1:12" x14ac:dyDescent="0.25">
      <c r="A58" s="16"/>
      <c r="B58" s="10"/>
      <c r="C58" s="13">
        <f>IF(B58="","",IFERROR(INDEX(Ejemplares!$B$5:$B$304,MATCH(B58,Ejemplares!$A$5:$A$304,0)),"Ejemplar no encontrado"))</f>
      </c>
      <c r="D58" s="10"/>
      <c r="E58" s="10"/>
      <c r="F58" s="10"/>
      <c r="G58" s="10"/>
      <c r="H58" s="10"/>
      <c r="I58" s="14">
        <f>IF(D58="","",IF(OR(D58="Ingreso",D58="Traslado entrante"),1,-1))</f>
      </c>
      <c r="J58" s="15">
        <f>IF(A58="","",YEAR(A58))</f>
      </c>
      <c r="K58" s="10"/>
      <c r="L58" s="10"/>
    </row>
    <row r="59" spans="1:12" x14ac:dyDescent="0.25">
      <c r="A59" s="16"/>
      <c r="B59" s="10"/>
      <c r="C59" s="13">
        <f>IF(B59="","",IFERROR(INDEX(Ejemplares!$B$5:$B$304,MATCH(B59,Ejemplares!$A$5:$A$304,0)),"Ejemplar no encontrado"))</f>
      </c>
      <c r="D59" s="10"/>
      <c r="E59" s="10"/>
      <c r="F59" s="10"/>
      <c r="G59" s="10"/>
      <c r="H59" s="10"/>
      <c r="I59" s="14">
        <f>IF(D59="","",IF(OR(D59="Ingreso",D59="Traslado entrante"),1,-1))</f>
      </c>
      <c r="J59" s="15">
        <f>IF(A59="","",YEAR(A59))</f>
      </c>
      <c r="K59" s="10"/>
      <c r="L59" s="10"/>
    </row>
    <row r="60" spans="1:12" x14ac:dyDescent="0.25">
      <c r="A60" s="16"/>
      <c r="B60" s="10"/>
      <c r="C60" s="13">
        <f>IF(B60="","",IFERROR(INDEX(Ejemplares!$B$5:$B$304,MATCH(B60,Ejemplares!$A$5:$A$304,0)),"Ejemplar no encontrado"))</f>
      </c>
      <c r="D60" s="10"/>
      <c r="E60" s="10"/>
      <c r="F60" s="10"/>
      <c r="G60" s="10"/>
      <c r="H60" s="10"/>
      <c r="I60" s="14">
        <f>IF(D60="","",IF(OR(D60="Ingreso",D60="Traslado entrante"),1,-1))</f>
      </c>
      <c r="J60" s="15">
        <f>IF(A60="","",YEAR(A60))</f>
      </c>
      <c r="K60" s="10"/>
      <c r="L60" s="10"/>
    </row>
    <row r="61" spans="1:12" x14ac:dyDescent="0.25">
      <c r="A61" s="16"/>
      <c r="B61" s="10"/>
      <c r="C61" s="13">
        <f>IF(B61="","",IFERROR(INDEX(Ejemplares!$B$5:$B$304,MATCH(B61,Ejemplares!$A$5:$A$304,0)),"Ejemplar no encontrado"))</f>
      </c>
      <c r="D61" s="10"/>
      <c r="E61" s="10"/>
      <c r="F61" s="10"/>
      <c r="G61" s="10"/>
      <c r="H61" s="10"/>
      <c r="I61" s="14">
        <f>IF(D61="","",IF(OR(D61="Ingreso",D61="Traslado entrante"),1,-1))</f>
      </c>
      <c r="J61" s="15">
        <f>IF(A61="","",YEAR(A61))</f>
      </c>
      <c r="K61" s="10"/>
      <c r="L61" s="10"/>
    </row>
    <row r="62" spans="1:12" x14ac:dyDescent="0.25">
      <c r="A62" s="16"/>
      <c r="B62" s="10"/>
      <c r="C62" s="13">
        <f>IF(B62="","",IFERROR(INDEX(Ejemplares!$B$5:$B$304,MATCH(B62,Ejemplares!$A$5:$A$304,0)),"Ejemplar no encontrado"))</f>
      </c>
      <c r="D62" s="10"/>
      <c r="E62" s="10"/>
      <c r="F62" s="10"/>
      <c r="G62" s="10"/>
      <c r="H62" s="10"/>
      <c r="I62" s="14">
        <f>IF(D62="","",IF(OR(D62="Ingreso",D62="Traslado entrante"),1,-1))</f>
      </c>
      <c r="J62" s="15">
        <f>IF(A62="","",YEAR(A62))</f>
      </c>
      <c r="K62" s="10"/>
      <c r="L62" s="10"/>
    </row>
    <row r="63" spans="1:12" x14ac:dyDescent="0.25">
      <c r="A63" s="16"/>
      <c r="B63" s="10"/>
      <c r="C63" s="13">
        <f>IF(B63="","",IFERROR(INDEX(Ejemplares!$B$5:$B$304,MATCH(B63,Ejemplares!$A$5:$A$304,0)),"Ejemplar no encontrado"))</f>
      </c>
      <c r="D63" s="10"/>
      <c r="E63" s="10"/>
      <c r="F63" s="10"/>
      <c r="G63" s="10"/>
      <c r="H63" s="10"/>
      <c r="I63" s="14">
        <f>IF(D63="","",IF(OR(D63="Ingreso",D63="Traslado entrante"),1,-1))</f>
      </c>
      <c r="J63" s="15">
        <f>IF(A63="","",YEAR(A63))</f>
      </c>
      <c r="K63" s="10"/>
      <c r="L63" s="10"/>
    </row>
    <row r="64" spans="1:12" x14ac:dyDescent="0.25">
      <c r="A64" s="16"/>
      <c r="B64" s="10"/>
      <c r="C64" s="13">
        <f>IF(B64="","",IFERROR(INDEX(Ejemplares!$B$5:$B$304,MATCH(B64,Ejemplares!$A$5:$A$304,0)),"Ejemplar no encontrado"))</f>
      </c>
      <c r="D64" s="10"/>
      <c r="E64" s="10"/>
      <c r="F64" s="10"/>
      <c r="G64" s="10"/>
      <c r="H64" s="10"/>
      <c r="I64" s="14">
        <f>IF(D64="","",IF(OR(D64="Ingreso",D64="Traslado entrante"),1,-1))</f>
      </c>
      <c r="J64" s="15">
        <f>IF(A64="","",YEAR(A64))</f>
      </c>
      <c r="K64" s="10"/>
      <c r="L64" s="10"/>
    </row>
    <row r="65" spans="1:12" x14ac:dyDescent="0.25">
      <c r="A65" s="16"/>
      <c r="B65" s="10"/>
      <c r="C65" s="13">
        <f>IF(B65="","",IFERROR(INDEX(Ejemplares!$B$5:$B$304,MATCH(B65,Ejemplares!$A$5:$A$304,0)),"Ejemplar no encontrado"))</f>
      </c>
      <c r="D65" s="10"/>
      <c r="E65" s="10"/>
      <c r="F65" s="10"/>
      <c r="G65" s="10"/>
      <c r="H65" s="10"/>
      <c r="I65" s="14">
        <f>IF(D65="","",IF(OR(D65="Ingreso",D65="Traslado entrante"),1,-1))</f>
      </c>
      <c r="J65" s="15">
        <f>IF(A65="","",YEAR(A65))</f>
      </c>
      <c r="K65" s="10"/>
      <c r="L65" s="10"/>
    </row>
    <row r="66" spans="1:12" x14ac:dyDescent="0.25">
      <c r="A66" s="16"/>
      <c r="B66" s="10"/>
      <c r="C66" s="13">
        <f>IF(B66="","",IFERROR(INDEX(Ejemplares!$B$5:$B$304,MATCH(B66,Ejemplares!$A$5:$A$304,0)),"Ejemplar no encontrado"))</f>
      </c>
      <c r="D66" s="10"/>
      <c r="E66" s="10"/>
      <c r="F66" s="10"/>
      <c r="G66" s="10"/>
      <c r="H66" s="10"/>
      <c r="I66" s="14">
        <f>IF(D66="","",IF(OR(D66="Ingreso",D66="Traslado entrante"),1,-1))</f>
      </c>
      <c r="J66" s="15">
        <f>IF(A66="","",YEAR(A66))</f>
      </c>
      <c r="K66" s="10"/>
      <c r="L66" s="10"/>
    </row>
    <row r="67" spans="1:12" x14ac:dyDescent="0.25">
      <c r="A67" s="16"/>
      <c r="B67" s="10"/>
      <c r="C67" s="13">
        <f>IF(B67="","",IFERROR(INDEX(Ejemplares!$B$5:$B$304,MATCH(B67,Ejemplares!$A$5:$A$304,0)),"Ejemplar no encontrado"))</f>
      </c>
      <c r="D67" s="10"/>
      <c r="E67" s="10"/>
      <c r="F67" s="10"/>
      <c r="G67" s="10"/>
      <c r="H67" s="10"/>
      <c r="I67" s="14">
        <f>IF(D67="","",IF(OR(D67="Ingreso",D67="Traslado entrante"),1,-1))</f>
      </c>
      <c r="J67" s="15">
        <f>IF(A67="","",YEAR(A67))</f>
      </c>
      <c r="K67" s="10"/>
      <c r="L67" s="10"/>
    </row>
    <row r="68" spans="1:12" x14ac:dyDescent="0.25">
      <c r="A68" s="16"/>
      <c r="B68" s="10"/>
      <c r="C68" s="13">
        <f>IF(B68="","",IFERROR(INDEX(Ejemplares!$B$5:$B$304,MATCH(B68,Ejemplares!$A$5:$A$304,0)),"Ejemplar no encontrado"))</f>
      </c>
      <c r="D68" s="10"/>
      <c r="E68" s="10"/>
      <c r="F68" s="10"/>
      <c r="G68" s="10"/>
      <c r="H68" s="10"/>
      <c r="I68" s="14">
        <f>IF(D68="","",IF(OR(D68="Ingreso",D68="Traslado entrante"),1,-1))</f>
      </c>
      <c r="J68" s="15">
        <f>IF(A68="","",YEAR(A68))</f>
      </c>
      <c r="K68" s="10"/>
      <c r="L68" s="10"/>
    </row>
    <row r="69" spans="1:12" x14ac:dyDescent="0.25">
      <c r="A69" s="16"/>
      <c r="B69" s="10"/>
      <c r="C69" s="13">
        <f>IF(B69="","",IFERROR(INDEX(Ejemplares!$B$5:$B$304,MATCH(B69,Ejemplares!$A$5:$A$304,0)),"Ejemplar no encontrado"))</f>
      </c>
      <c r="D69" s="10"/>
      <c r="E69" s="10"/>
      <c r="F69" s="10"/>
      <c r="G69" s="10"/>
      <c r="H69" s="10"/>
      <c r="I69" s="14">
        <f>IF(D69="","",IF(OR(D69="Ingreso",D69="Traslado entrante"),1,-1))</f>
      </c>
      <c r="J69" s="15">
        <f>IF(A69="","",YEAR(A69))</f>
      </c>
      <c r="K69" s="10"/>
      <c r="L69" s="10"/>
    </row>
    <row r="70" spans="1:12" x14ac:dyDescent="0.25">
      <c r="A70" s="16"/>
      <c r="B70" s="10"/>
      <c r="C70" s="13">
        <f>IF(B70="","",IFERROR(INDEX(Ejemplares!$B$5:$B$304,MATCH(B70,Ejemplares!$A$5:$A$304,0)),"Ejemplar no encontrado"))</f>
      </c>
      <c r="D70" s="10"/>
      <c r="E70" s="10"/>
      <c r="F70" s="10"/>
      <c r="G70" s="10"/>
      <c r="H70" s="10"/>
      <c r="I70" s="14">
        <f>IF(D70="","",IF(OR(D70="Ingreso",D70="Traslado entrante"),1,-1))</f>
      </c>
      <c r="J70" s="15">
        <f>IF(A70="","",YEAR(A70))</f>
      </c>
      <c r="K70" s="10"/>
      <c r="L70" s="10"/>
    </row>
    <row r="71" spans="1:12" x14ac:dyDescent="0.25">
      <c r="A71" s="16"/>
      <c r="B71" s="10"/>
      <c r="C71" s="13">
        <f>IF(B71="","",IFERROR(INDEX(Ejemplares!$B$5:$B$304,MATCH(B71,Ejemplares!$A$5:$A$304,0)),"Ejemplar no encontrado"))</f>
      </c>
      <c r="D71" s="10"/>
      <c r="E71" s="10"/>
      <c r="F71" s="10"/>
      <c r="G71" s="10"/>
      <c r="H71" s="10"/>
      <c r="I71" s="14">
        <f>IF(D71="","",IF(OR(D71="Ingreso",D71="Traslado entrante"),1,-1))</f>
      </c>
      <c r="J71" s="15">
        <f>IF(A71="","",YEAR(A71))</f>
      </c>
      <c r="K71" s="10"/>
      <c r="L71" s="10"/>
    </row>
    <row r="72" spans="1:12" x14ac:dyDescent="0.25">
      <c r="A72" s="16"/>
      <c r="B72" s="10"/>
      <c r="C72" s="13">
        <f>IF(B72="","",IFERROR(INDEX(Ejemplares!$B$5:$B$304,MATCH(B72,Ejemplares!$A$5:$A$304,0)),"Ejemplar no encontrado"))</f>
      </c>
      <c r="D72" s="10"/>
      <c r="E72" s="10"/>
      <c r="F72" s="10"/>
      <c r="G72" s="10"/>
      <c r="H72" s="10"/>
      <c r="I72" s="14">
        <f>IF(D72="","",IF(OR(D72="Ingreso",D72="Traslado entrante"),1,-1))</f>
      </c>
      <c r="J72" s="15">
        <f>IF(A72="","",YEAR(A72))</f>
      </c>
      <c r="K72" s="10"/>
      <c r="L72" s="10"/>
    </row>
    <row r="73" spans="1:12" x14ac:dyDescent="0.25">
      <c r="A73" s="16"/>
      <c r="B73" s="10"/>
      <c r="C73" s="13">
        <f>IF(B73="","",IFERROR(INDEX(Ejemplares!$B$5:$B$304,MATCH(B73,Ejemplares!$A$5:$A$304,0)),"Ejemplar no encontrado"))</f>
      </c>
      <c r="D73" s="10"/>
      <c r="E73" s="10"/>
      <c r="F73" s="10"/>
      <c r="G73" s="10"/>
      <c r="H73" s="10"/>
      <c r="I73" s="14">
        <f>IF(D73="","",IF(OR(D73="Ingreso",D73="Traslado entrante"),1,-1))</f>
      </c>
      <c r="J73" s="15">
        <f>IF(A73="","",YEAR(A73))</f>
      </c>
      <c r="K73" s="10"/>
      <c r="L73" s="10"/>
    </row>
    <row r="74" spans="1:12" x14ac:dyDescent="0.25">
      <c r="A74" s="16"/>
      <c r="B74" s="10"/>
      <c r="C74" s="13">
        <f>IF(B74="","",IFERROR(INDEX(Ejemplares!$B$5:$B$304,MATCH(B74,Ejemplares!$A$5:$A$304,0)),"Ejemplar no encontrado"))</f>
      </c>
      <c r="D74" s="10"/>
      <c r="E74" s="10"/>
      <c r="F74" s="10"/>
      <c r="G74" s="10"/>
      <c r="H74" s="10"/>
      <c r="I74" s="14">
        <f>IF(D74="","",IF(OR(D74="Ingreso",D74="Traslado entrante"),1,-1))</f>
      </c>
      <c r="J74" s="15">
        <f>IF(A74="","",YEAR(A74))</f>
      </c>
      <c r="K74" s="10"/>
      <c r="L74" s="10"/>
    </row>
    <row r="75" spans="1:12" x14ac:dyDescent="0.25">
      <c r="A75" s="16"/>
      <c r="B75" s="10"/>
      <c r="C75" s="13">
        <f>IF(B75="","",IFERROR(INDEX(Ejemplares!$B$5:$B$304,MATCH(B75,Ejemplares!$A$5:$A$304,0)),"Ejemplar no encontrado"))</f>
      </c>
      <c r="D75" s="10"/>
      <c r="E75" s="10"/>
      <c r="F75" s="10"/>
      <c r="G75" s="10"/>
      <c r="H75" s="10"/>
      <c r="I75" s="14">
        <f>IF(D75="","",IF(OR(D75="Ingreso",D75="Traslado entrante"),1,-1))</f>
      </c>
      <c r="J75" s="15">
        <f>IF(A75="","",YEAR(A75))</f>
      </c>
      <c r="K75" s="10"/>
      <c r="L75" s="10"/>
    </row>
    <row r="76" spans="1:12" x14ac:dyDescent="0.25">
      <c r="A76" s="16"/>
      <c r="B76" s="10"/>
      <c r="C76" s="13">
        <f>IF(B76="","",IFERROR(INDEX(Ejemplares!$B$5:$B$304,MATCH(B76,Ejemplares!$A$5:$A$304,0)),"Ejemplar no encontrado"))</f>
      </c>
      <c r="D76" s="10"/>
      <c r="E76" s="10"/>
      <c r="F76" s="10"/>
      <c r="G76" s="10"/>
      <c r="H76" s="10"/>
      <c r="I76" s="14">
        <f>IF(D76="","",IF(OR(D76="Ingreso",D76="Traslado entrante"),1,-1))</f>
      </c>
      <c r="J76" s="15">
        <f>IF(A76="","",YEAR(A76))</f>
      </c>
      <c r="K76" s="10"/>
      <c r="L76" s="10"/>
    </row>
    <row r="77" spans="1:12" x14ac:dyDescent="0.25">
      <c r="A77" s="16"/>
      <c r="B77" s="10"/>
      <c r="C77" s="13">
        <f>IF(B77="","",IFERROR(INDEX(Ejemplares!$B$5:$B$304,MATCH(B77,Ejemplares!$A$5:$A$304,0)),"Ejemplar no encontrado"))</f>
      </c>
      <c r="D77" s="10"/>
      <c r="E77" s="10"/>
      <c r="F77" s="10"/>
      <c r="G77" s="10"/>
      <c r="H77" s="10"/>
      <c r="I77" s="14">
        <f>IF(D77="","",IF(OR(D77="Ingreso",D77="Traslado entrante"),1,-1))</f>
      </c>
      <c r="J77" s="15">
        <f>IF(A77="","",YEAR(A77))</f>
      </c>
      <c r="K77" s="10"/>
      <c r="L77" s="10"/>
    </row>
    <row r="78" spans="1:12" x14ac:dyDescent="0.25">
      <c r="A78" s="16"/>
      <c r="B78" s="10"/>
      <c r="C78" s="13">
        <f>IF(B78="","",IFERROR(INDEX(Ejemplares!$B$5:$B$304,MATCH(B78,Ejemplares!$A$5:$A$304,0)),"Ejemplar no encontrado"))</f>
      </c>
      <c r="D78" s="10"/>
      <c r="E78" s="10"/>
      <c r="F78" s="10"/>
      <c r="G78" s="10"/>
      <c r="H78" s="10"/>
      <c r="I78" s="14">
        <f>IF(D78="","",IF(OR(D78="Ingreso",D78="Traslado entrante"),1,-1))</f>
      </c>
      <c r="J78" s="15">
        <f>IF(A78="","",YEAR(A78))</f>
      </c>
      <c r="K78" s="10"/>
      <c r="L78" s="10"/>
    </row>
    <row r="79" spans="1:12" x14ac:dyDescent="0.25">
      <c r="A79" s="16"/>
      <c r="B79" s="10"/>
      <c r="C79" s="13">
        <f>IF(B79="","",IFERROR(INDEX(Ejemplares!$B$5:$B$304,MATCH(B79,Ejemplares!$A$5:$A$304,0)),"Ejemplar no encontrado"))</f>
      </c>
      <c r="D79" s="10"/>
      <c r="E79" s="10"/>
      <c r="F79" s="10"/>
      <c r="G79" s="10"/>
      <c r="H79" s="10"/>
      <c r="I79" s="14">
        <f>IF(D79="","",IF(OR(D79="Ingreso",D79="Traslado entrante"),1,-1))</f>
      </c>
      <c r="J79" s="15">
        <f>IF(A79="","",YEAR(A79))</f>
      </c>
      <c r="K79" s="10"/>
      <c r="L79" s="10"/>
    </row>
    <row r="80" spans="1:12" x14ac:dyDescent="0.25">
      <c r="A80" s="16"/>
      <c r="B80" s="10"/>
      <c r="C80" s="13">
        <f>IF(B80="","",IFERROR(INDEX(Ejemplares!$B$5:$B$304,MATCH(B80,Ejemplares!$A$5:$A$304,0)),"Ejemplar no encontrado"))</f>
      </c>
      <c r="D80" s="10"/>
      <c r="E80" s="10"/>
      <c r="F80" s="10"/>
      <c r="G80" s="10"/>
      <c r="H80" s="10"/>
      <c r="I80" s="14">
        <f>IF(D80="","",IF(OR(D80="Ingreso",D80="Traslado entrante"),1,-1))</f>
      </c>
      <c r="J80" s="15">
        <f>IF(A80="","",YEAR(A80))</f>
      </c>
      <c r="K80" s="10"/>
      <c r="L80" s="10"/>
    </row>
    <row r="81" spans="1:12" x14ac:dyDescent="0.25">
      <c r="A81" s="16"/>
      <c r="B81" s="10"/>
      <c r="C81" s="13">
        <f>IF(B81="","",IFERROR(INDEX(Ejemplares!$B$5:$B$304,MATCH(B81,Ejemplares!$A$5:$A$304,0)),"Ejemplar no encontrado"))</f>
      </c>
      <c r="D81" s="10"/>
      <c r="E81" s="10"/>
      <c r="F81" s="10"/>
      <c r="G81" s="10"/>
      <c r="H81" s="10"/>
      <c r="I81" s="14">
        <f>IF(D81="","",IF(OR(D81="Ingreso",D81="Traslado entrante"),1,-1))</f>
      </c>
      <c r="J81" s="15">
        <f>IF(A81="","",YEAR(A81))</f>
      </c>
      <c r="K81" s="10"/>
      <c r="L81" s="10"/>
    </row>
    <row r="82" spans="1:12" x14ac:dyDescent="0.25">
      <c r="A82" s="16"/>
      <c r="B82" s="10"/>
      <c r="C82" s="13">
        <f>IF(B82="","",IFERROR(INDEX(Ejemplares!$B$5:$B$304,MATCH(B82,Ejemplares!$A$5:$A$304,0)),"Ejemplar no encontrado"))</f>
      </c>
      <c r="D82" s="10"/>
      <c r="E82" s="10"/>
      <c r="F82" s="10"/>
      <c r="G82" s="10"/>
      <c r="H82" s="10"/>
      <c r="I82" s="14">
        <f>IF(D82="","",IF(OR(D82="Ingreso",D82="Traslado entrante"),1,-1))</f>
      </c>
      <c r="J82" s="15">
        <f>IF(A82="","",YEAR(A82))</f>
      </c>
      <c r="K82" s="10"/>
      <c r="L82" s="10"/>
    </row>
    <row r="83" spans="1:12" x14ac:dyDescent="0.25">
      <c r="A83" s="16"/>
      <c r="B83" s="10"/>
      <c r="C83" s="13">
        <f>IF(B83="","",IFERROR(INDEX(Ejemplares!$B$5:$B$304,MATCH(B83,Ejemplares!$A$5:$A$304,0)),"Ejemplar no encontrado"))</f>
      </c>
      <c r="D83" s="10"/>
      <c r="E83" s="10"/>
      <c r="F83" s="10"/>
      <c r="G83" s="10"/>
      <c r="H83" s="10"/>
      <c r="I83" s="14">
        <f>IF(D83="","",IF(OR(D83="Ingreso",D83="Traslado entrante"),1,-1))</f>
      </c>
      <c r="J83" s="15">
        <f>IF(A83="","",YEAR(A83))</f>
      </c>
      <c r="K83" s="10"/>
      <c r="L83" s="10"/>
    </row>
    <row r="84" spans="1:12" x14ac:dyDescent="0.25">
      <c r="A84" s="16"/>
      <c r="B84" s="10"/>
      <c r="C84" s="13">
        <f>IF(B84="","",IFERROR(INDEX(Ejemplares!$B$5:$B$304,MATCH(B84,Ejemplares!$A$5:$A$304,0)),"Ejemplar no encontrado"))</f>
      </c>
      <c r="D84" s="10"/>
      <c r="E84" s="10"/>
      <c r="F84" s="10"/>
      <c r="G84" s="10"/>
      <c r="H84" s="10"/>
      <c r="I84" s="14">
        <f>IF(D84="","",IF(OR(D84="Ingreso",D84="Traslado entrante"),1,-1))</f>
      </c>
      <c r="J84" s="15">
        <f>IF(A84="","",YEAR(A84))</f>
      </c>
      <c r="K84" s="10"/>
      <c r="L84" s="10"/>
    </row>
    <row r="85" spans="1:12" x14ac:dyDescent="0.25">
      <c r="A85" s="16"/>
      <c r="B85" s="10"/>
      <c r="C85" s="13">
        <f>IF(B85="","",IFERROR(INDEX(Ejemplares!$B$5:$B$304,MATCH(B85,Ejemplares!$A$5:$A$304,0)),"Ejemplar no encontrado"))</f>
      </c>
      <c r="D85" s="10"/>
      <c r="E85" s="10"/>
      <c r="F85" s="10"/>
      <c r="G85" s="10"/>
      <c r="H85" s="10"/>
      <c r="I85" s="14">
        <f>IF(D85="","",IF(OR(D85="Ingreso",D85="Traslado entrante"),1,-1))</f>
      </c>
      <c r="J85" s="15">
        <f>IF(A85="","",YEAR(A85))</f>
      </c>
      <c r="K85" s="10"/>
      <c r="L85" s="10"/>
    </row>
    <row r="86" spans="1:12" x14ac:dyDescent="0.25">
      <c r="A86" s="16"/>
      <c r="B86" s="10"/>
      <c r="C86" s="13">
        <f>IF(B86="","",IFERROR(INDEX(Ejemplares!$B$5:$B$304,MATCH(B86,Ejemplares!$A$5:$A$304,0)),"Ejemplar no encontrado"))</f>
      </c>
      <c r="D86" s="10"/>
      <c r="E86" s="10"/>
      <c r="F86" s="10"/>
      <c r="G86" s="10"/>
      <c r="H86" s="10"/>
      <c r="I86" s="14">
        <f>IF(D86="","",IF(OR(D86="Ingreso",D86="Traslado entrante"),1,-1))</f>
      </c>
      <c r="J86" s="15">
        <f>IF(A86="","",YEAR(A86))</f>
      </c>
      <c r="K86" s="10"/>
      <c r="L86" s="10"/>
    </row>
    <row r="87" spans="1:12" x14ac:dyDescent="0.25">
      <c r="A87" s="16"/>
      <c r="B87" s="10"/>
      <c r="C87" s="13">
        <f>IF(B87="","",IFERROR(INDEX(Ejemplares!$B$5:$B$304,MATCH(B87,Ejemplares!$A$5:$A$304,0)),"Ejemplar no encontrado"))</f>
      </c>
      <c r="D87" s="10"/>
      <c r="E87" s="10"/>
      <c r="F87" s="10"/>
      <c r="G87" s="10"/>
      <c r="H87" s="10"/>
      <c r="I87" s="14">
        <f>IF(D87="","",IF(OR(D87="Ingreso",D87="Traslado entrante"),1,-1))</f>
      </c>
      <c r="J87" s="15">
        <f>IF(A87="","",YEAR(A87))</f>
      </c>
      <c r="K87" s="10"/>
      <c r="L87" s="10"/>
    </row>
    <row r="88" spans="1:12" x14ac:dyDescent="0.25">
      <c r="A88" s="16"/>
      <c r="B88" s="10"/>
      <c r="C88" s="13">
        <f>IF(B88="","",IFERROR(INDEX(Ejemplares!$B$5:$B$304,MATCH(B88,Ejemplares!$A$5:$A$304,0)),"Ejemplar no encontrado"))</f>
      </c>
      <c r="D88" s="10"/>
      <c r="E88" s="10"/>
      <c r="F88" s="10"/>
      <c r="G88" s="10"/>
      <c r="H88" s="10"/>
      <c r="I88" s="14">
        <f>IF(D88="","",IF(OR(D88="Ingreso",D88="Traslado entrante"),1,-1))</f>
      </c>
      <c r="J88" s="15">
        <f>IF(A88="","",YEAR(A88))</f>
      </c>
      <c r="K88" s="10"/>
      <c r="L88" s="10"/>
    </row>
    <row r="89" spans="1:12" x14ac:dyDescent="0.25">
      <c r="A89" s="16"/>
      <c r="B89" s="10"/>
      <c r="C89" s="13">
        <f>IF(B89="","",IFERROR(INDEX(Ejemplares!$B$5:$B$304,MATCH(B89,Ejemplares!$A$5:$A$304,0)),"Ejemplar no encontrado"))</f>
      </c>
      <c r="D89" s="10"/>
      <c r="E89" s="10"/>
      <c r="F89" s="10"/>
      <c r="G89" s="10"/>
      <c r="H89" s="10"/>
      <c r="I89" s="14">
        <f>IF(D89="","",IF(OR(D89="Ingreso",D89="Traslado entrante"),1,-1))</f>
      </c>
      <c r="J89" s="15">
        <f>IF(A89="","",YEAR(A89))</f>
      </c>
      <c r="K89" s="10"/>
      <c r="L89" s="10"/>
    </row>
    <row r="90" spans="1:12" x14ac:dyDescent="0.25">
      <c r="A90" s="16"/>
      <c r="B90" s="10"/>
      <c r="C90" s="13">
        <f>IF(B90="","",IFERROR(INDEX(Ejemplares!$B$5:$B$304,MATCH(B90,Ejemplares!$A$5:$A$304,0)),"Ejemplar no encontrado"))</f>
      </c>
      <c r="D90" s="10"/>
      <c r="E90" s="10"/>
      <c r="F90" s="10"/>
      <c r="G90" s="10"/>
      <c r="H90" s="10"/>
      <c r="I90" s="14">
        <f>IF(D90="","",IF(OR(D90="Ingreso",D90="Traslado entrante"),1,-1))</f>
      </c>
      <c r="J90" s="15">
        <f>IF(A90="","",YEAR(A90))</f>
      </c>
      <c r="K90" s="10"/>
      <c r="L90" s="10"/>
    </row>
    <row r="91" spans="1:12" x14ac:dyDescent="0.25">
      <c r="A91" s="16"/>
      <c r="B91" s="10"/>
      <c r="C91" s="13">
        <f>IF(B91="","",IFERROR(INDEX(Ejemplares!$B$5:$B$304,MATCH(B91,Ejemplares!$A$5:$A$304,0)),"Ejemplar no encontrado"))</f>
      </c>
      <c r="D91" s="10"/>
      <c r="E91" s="10"/>
      <c r="F91" s="10"/>
      <c r="G91" s="10"/>
      <c r="H91" s="10"/>
      <c r="I91" s="14">
        <f>IF(D91="","",IF(OR(D91="Ingreso",D91="Traslado entrante"),1,-1))</f>
      </c>
      <c r="J91" s="15">
        <f>IF(A91="","",YEAR(A91))</f>
      </c>
      <c r="K91" s="10"/>
      <c r="L91" s="10"/>
    </row>
    <row r="92" spans="1:12" x14ac:dyDescent="0.25">
      <c r="A92" s="16"/>
      <c r="B92" s="10"/>
      <c r="C92" s="13">
        <f>IF(B92="","",IFERROR(INDEX(Ejemplares!$B$5:$B$304,MATCH(B92,Ejemplares!$A$5:$A$304,0)),"Ejemplar no encontrado"))</f>
      </c>
      <c r="D92" s="10"/>
      <c r="E92" s="10"/>
      <c r="F92" s="10"/>
      <c r="G92" s="10"/>
      <c r="H92" s="10"/>
      <c r="I92" s="14">
        <f>IF(D92="","",IF(OR(D92="Ingreso",D92="Traslado entrante"),1,-1))</f>
      </c>
      <c r="J92" s="15">
        <f>IF(A92="","",YEAR(A92))</f>
      </c>
      <c r="K92" s="10"/>
      <c r="L92" s="10"/>
    </row>
    <row r="93" spans="1:12" x14ac:dyDescent="0.25">
      <c r="A93" s="16"/>
      <c r="B93" s="10"/>
      <c r="C93" s="13">
        <f>IF(B93="","",IFERROR(INDEX(Ejemplares!$B$5:$B$304,MATCH(B93,Ejemplares!$A$5:$A$304,0)),"Ejemplar no encontrado"))</f>
      </c>
      <c r="D93" s="10"/>
      <c r="E93" s="10"/>
      <c r="F93" s="10"/>
      <c r="G93" s="10"/>
      <c r="H93" s="10"/>
      <c r="I93" s="14">
        <f>IF(D93="","",IF(OR(D93="Ingreso",D93="Traslado entrante"),1,-1))</f>
      </c>
      <c r="J93" s="15">
        <f>IF(A93="","",YEAR(A93))</f>
      </c>
      <c r="K93" s="10"/>
      <c r="L93" s="10"/>
    </row>
    <row r="94" spans="1:12" x14ac:dyDescent="0.25">
      <c r="A94" s="16"/>
      <c r="B94" s="10"/>
      <c r="C94" s="13">
        <f>IF(B94="","",IFERROR(INDEX(Ejemplares!$B$5:$B$304,MATCH(B94,Ejemplares!$A$5:$A$304,0)),"Ejemplar no encontrado"))</f>
      </c>
      <c r="D94" s="10"/>
      <c r="E94" s="10"/>
      <c r="F94" s="10"/>
      <c r="G94" s="10"/>
      <c r="H94" s="10"/>
      <c r="I94" s="14">
        <f>IF(D94="","",IF(OR(D94="Ingreso",D94="Traslado entrante"),1,-1))</f>
      </c>
      <c r="J94" s="15">
        <f>IF(A94="","",YEAR(A94))</f>
      </c>
      <c r="K94" s="10"/>
      <c r="L94" s="10"/>
    </row>
    <row r="95" spans="1:12" x14ac:dyDescent="0.25">
      <c r="A95" s="16"/>
      <c r="B95" s="10"/>
      <c r="C95" s="13">
        <f>IF(B95="","",IFERROR(INDEX(Ejemplares!$B$5:$B$304,MATCH(B95,Ejemplares!$A$5:$A$304,0)),"Ejemplar no encontrado"))</f>
      </c>
      <c r="D95" s="10"/>
      <c r="E95" s="10"/>
      <c r="F95" s="10"/>
      <c r="G95" s="10"/>
      <c r="H95" s="10"/>
      <c r="I95" s="14">
        <f>IF(D95="","",IF(OR(D95="Ingreso",D95="Traslado entrante"),1,-1))</f>
      </c>
      <c r="J95" s="15">
        <f>IF(A95="","",YEAR(A95))</f>
      </c>
      <c r="K95" s="10"/>
      <c r="L95" s="10"/>
    </row>
    <row r="96" spans="1:12" x14ac:dyDescent="0.25">
      <c r="A96" s="16"/>
      <c r="B96" s="10"/>
      <c r="C96" s="13">
        <f>IF(B96="","",IFERROR(INDEX(Ejemplares!$B$5:$B$304,MATCH(B96,Ejemplares!$A$5:$A$304,0)),"Ejemplar no encontrado"))</f>
      </c>
      <c r="D96" s="10"/>
      <c r="E96" s="10"/>
      <c r="F96" s="10"/>
      <c r="G96" s="10"/>
      <c r="H96" s="10"/>
      <c r="I96" s="14">
        <f>IF(D96="","",IF(OR(D96="Ingreso",D96="Traslado entrante"),1,-1))</f>
      </c>
      <c r="J96" s="15">
        <f>IF(A96="","",YEAR(A96))</f>
      </c>
      <c r="K96" s="10"/>
      <c r="L96" s="10"/>
    </row>
    <row r="97" spans="1:12" x14ac:dyDescent="0.25">
      <c r="A97" s="16"/>
      <c r="B97" s="10"/>
      <c r="C97" s="13">
        <f>IF(B97="","",IFERROR(INDEX(Ejemplares!$B$5:$B$304,MATCH(B97,Ejemplares!$A$5:$A$304,0)),"Ejemplar no encontrado"))</f>
      </c>
      <c r="D97" s="10"/>
      <c r="E97" s="10"/>
      <c r="F97" s="10"/>
      <c r="G97" s="10"/>
      <c r="H97" s="10"/>
      <c r="I97" s="14">
        <f>IF(D97="","",IF(OR(D97="Ingreso",D97="Traslado entrante"),1,-1))</f>
      </c>
      <c r="J97" s="15">
        <f>IF(A97="","",YEAR(A97))</f>
      </c>
      <c r="K97" s="10"/>
      <c r="L97" s="10"/>
    </row>
    <row r="98" spans="1:12" x14ac:dyDescent="0.25">
      <c r="A98" s="16"/>
      <c r="B98" s="10"/>
      <c r="C98" s="13">
        <f>IF(B98="","",IFERROR(INDEX(Ejemplares!$B$5:$B$304,MATCH(B98,Ejemplares!$A$5:$A$304,0)),"Ejemplar no encontrado"))</f>
      </c>
      <c r="D98" s="10"/>
      <c r="E98" s="10"/>
      <c r="F98" s="10"/>
      <c r="G98" s="10"/>
      <c r="H98" s="10"/>
      <c r="I98" s="14">
        <f>IF(D98="","",IF(OR(D98="Ingreso",D98="Traslado entrante"),1,-1))</f>
      </c>
      <c r="J98" s="15">
        <f>IF(A98="","",YEAR(A98))</f>
      </c>
      <c r="K98" s="10"/>
      <c r="L98" s="10"/>
    </row>
    <row r="99" spans="1:12" x14ac:dyDescent="0.25">
      <c r="A99" s="16"/>
      <c r="B99" s="10"/>
      <c r="C99" s="13">
        <f>IF(B99="","",IFERROR(INDEX(Ejemplares!$B$5:$B$304,MATCH(B99,Ejemplares!$A$5:$A$304,0)),"Ejemplar no encontrado"))</f>
      </c>
      <c r="D99" s="10"/>
      <c r="E99" s="10"/>
      <c r="F99" s="10"/>
      <c r="G99" s="10"/>
      <c r="H99" s="10"/>
      <c r="I99" s="14">
        <f>IF(D99="","",IF(OR(D99="Ingreso",D99="Traslado entrante"),1,-1))</f>
      </c>
      <c r="J99" s="15">
        <f>IF(A99="","",YEAR(A99))</f>
      </c>
      <c r="K99" s="10"/>
      <c r="L99" s="10"/>
    </row>
    <row r="100" spans="1:12" x14ac:dyDescent="0.25">
      <c r="A100" s="16"/>
      <c r="B100" s="10"/>
      <c r="C100" s="13">
        <f>IF(B100="","",IFERROR(INDEX(Ejemplares!$B$5:$B$304,MATCH(B100,Ejemplares!$A$5:$A$304,0)),"Ejemplar no encontrado"))</f>
      </c>
      <c r="D100" s="10"/>
      <c r="E100" s="10"/>
      <c r="F100" s="10"/>
      <c r="G100" s="10"/>
      <c r="H100" s="10"/>
      <c r="I100" s="14">
        <f>IF(D100="","",IF(OR(D100="Ingreso",D100="Traslado entrante"),1,-1))</f>
      </c>
      <c r="J100" s="15">
        <f>IF(A100="","",YEAR(A100))</f>
      </c>
      <c r="K100" s="10"/>
      <c r="L100" s="10"/>
    </row>
    <row r="101" spans="1:12" x14ac:dyDescent="0.25">
      <c r="A101" s="16"/>
      <c r="B101" s="10"/>
      <c r="C101" s="13">
        <f>IF(B101="","",IFERROR(INDEX(Ejemplares!$B$5:$B$304,MATCH(B101,Ejemplares!$A$5:$A$304,0)),"Ejemplar no encontrado"))</f>
      </c>
      <c r="D101" s="10"/>
      <c r="E101" s="10"/>
      <c r="F101" s="10"/>
      <c r="G101" s="10"/>
      <c r="H101" s="10"/>
      <c r="I101" s="14">
        <f>IF(D101="","",IF(OR(D101="Ingreso",D101="Traslado entrante"),1,-1))</f>
      </c>
      <c r="J101" s="15">
        <f>IF(A101="","",YEAR(A101))</f>
      </c>
      <c r="K101" s="10"/>
      <c r="L101" s="10"/>
    </row>
    <row r="102" spans="1:12" x14ac:dyDescent="0.25">
      <c r="A102" s="16"/>
      <c r="B102" s="10"/>
      <c r="C102" s="13">
        <f>IF(B102="","",IFERROR(INDEX(Ejemplares!$B$5:$B$304,MATCH(B102,Ejemplares!$A$5:$A$304,0)),"Ejemplar no encontrado"))</f>
      </c>
      <c r="D102" s="10"/>
      <c r="E102" s="10"/>
      <c r="F102" s="10"/>
      <c r="G102" s="10"/>
      <c r="H102" s="10"/>
      <c r="I102" s="14">
        <f>IF(D102="","",IF(OR(D102="Ingreso",D102="Traslado entrante"),1,-1))</f>
      </c>
      <c r="J102" s="15">
        <f>IF(A102="","",YEAR(A102))</f>
      </c>
      <c r="K102" s="10"/>
      <c r="L102" s="10"/>
    </row>
    <row r="103" spans="1:12" x14ac:dyDescent="0.25">
      <c r="A103" s="16"/>
      <c r="B103" s="10"/>
      <c r="C103" s="13">
        <f>IF(B103="","",IFERROR(INDEX(Ejemplares!$B$5:$B$304,MATCH(B103,Ejemplares!$A$5:$A$304,0)),"Ejemplar no encontrado"))</f>
      </c>
      <c r="D103" s="10"/>
      <c r="E103" s="10"/>
      <c r="F103" s="10"/>
      <c r="G103" s="10"/>
      <c r="H103" s="10"/>
      <c r="I103" s="14">
        <f>IF(D103="","",IF(OR(D103="Ingreso",D103="Traslado entrante"),1,-1))</f>
      </c>
      <c r="J103" s="15">
        <f>IF(A103="","",YEAR(A103))</f>
      </c>
      <c r="K103" s="10"/>
      <c r="L103" s="10"/>
    </row>
    <row r="104" spans="1:12" x14ac:dyDescent="0.25">
      <c r="A104" s="16"/>
      <c r="B104" s="10"/>
      <c r="C104" s="13">
        <f>IF(B104="","",IFERROR(INDEX(Ejemplares!$B$5:$B$304,MATCH(B104,Ejemplares!$A$5:$A$304,0)),"Ejemplar no encontrado"))</f>
      </c>
      <c r="D104" s="10"/>
      <c r="E104" s="10"/>
      <c r="F104" s="10"/>
      <c r="G104" s="10"/>
      <c r="H104" s="10"/>
      <c r="I104" s="14">
        <f>IF(D104="","",IF(OR(D104="Ingreso",D104="Traslado entrante"),1,-1))</f>
      </c>
      <c r="J104" s="15">
        <f>IF(A104="","",YEAR(A104))</f>
      </c>
      <c r="K104" s="10"/>
      <c r="L104" s="10"/>
    </row>
    <row r="105" spans="1:12" x14ac:dyDescent="0.25">
      <c r="A105" s="16"/>
      <c r="B105" s="10"/>
      <c r="C105" s="13">
        <f>IF(B105="","",IFERROR(INDEX(Ejemplares!$B$5:$B$304,MATCH(B105,Ejemplares!$A$5:$A$304,0)),"Ejemplar no encontrado"))</f>
      </c>
      <c r="D105" s="10"/>
      <c r="E105" s="10"/>
      <c r="F105" s="10"/>
      <c r="G105" s="10"/>
      <c r="H105" s="10"/>
      <c r="I105" s="14">
        <f>IF(D105="","",IF(OR(D105="Ingreso",D105="Traslado entrante"),1,-1))</f>
      </c>
      <c r="J105" s="15">
        <f>IF(A105="","",YEAR(A105))</f>
      </c>
      <c r="K105" s="10"/>
      <c r="L105" s="10"/>
    </row>
    <row r="106" spans="1:12" x14ac:dyDescent="0.25">
      <c r="A106" s="16"/>
      <c r="B106" s="10"/>
      <c r="C106" s="13">
        <f>IF(B106="","",IFERROR(INDEX(Ejemplares!$B$5:$B$304,MATCH(B106,Ejemplares!$A$5:$A$304,0)),"Ejemplar no encontrado"))</f>
      </c>
      <c r="D106" s="10"/>
      <c r="E106" s="10"/>
      <c r="F106" s="10"/>
      <c r="G106" s="10"/>
      <c r="H106" s="10"/>
      <c r="I106" s="14">
        <f>IF(D106="","",IF(OR(D106="Ingreso",D106="Traslado entrante"),1,-1))</f>
      </c>
      <c r="J106" s="15">
        <f>IF(A106="","",YEAR(A106))</f>
      </c>
      <c r="K106" s="10"/>
      <c r="L106" s="10"/>
    </row>
    <row r="107" spans="1:12" x14ac:dyDescent="0.25">
      <c r="A107" s="16"/>
      <c r="B107" s="10"/>
      <c r="C107" s="13">
        <f>IF(B107="","",IFERROR(INDEX(Ejemplares!$B$5:$B$304,MATCH(B107,Ejemplares!$A$5:$A$304,0)),"Ejemplar no encontrado"))</f>
      </c>
      <c r="D107" s="10"/>
      <c r="E107" s="10"/>
      <c r="F107" s="10"/>
      <c r="G107" s="10"/>
      <c r="H107" s="10"/>
      <c r="I107" s="14">
        <f>IF(D107="","",IF(OR(D107="Ingreso",D107="Traslado entrante"),1,-1))</f>
      </c>
      <c r="J107" s="15">
        <f>IF(A107="","",YEAR(A107))</f>
      </c>
      <c r="K107" s="10"/>
      <c r="L107" s="10"/>
    </row>
    <row r="108" spans="1:12" x14ac:dyDescent="0.25">
      <c r="A108" s="16"/>
      <c r="B108" s="10"/>
      <c r="C108" s="13">
        <f>IF(B108="","",IFERROR(INDEX(Ejemplares!$B$5:$B$304,MATCH(B108,Ejemplares!$A$5:$A$304,0)),"Ejemplar no encontrado"))</f>
      </c>
      <c r="D108" s="10"/>
      <c r="E108" s="10"/>
      <c r="F108" s="10"/>
      <c r="G108" s="10"/>
      <c r="H108" s="10"/>
      <c r="I108" s="14">
        <f>IF(D108="","",IF(OR(D108="Ingreso",D108="Traslado entrante"),1,-1))</f>
      </c>
      <c r="J108" s="15">
        <f>IF(A108="","",YEAR(A108))</f>
      </c>
      <c r="K108" s="10"/>
      <c r="L108" s="10"/>
    </row>
    <row r="109" spans="1:12" x14ac:dyDescent="0.25">
      <c r="A109" s="16"/>
      <c r="B109" s="10"/>
      <c r="C109" s="13">
        <f>IF(B109="","",IFERROR(INDEX(Ejemplares!$B$5:$B$304,MATCH(B109,Ejemplares!$A$5:$A$304,0)),"Ejemplar no encontrado"))</f>
      </c>
      <c r="D109" s="10"/>
      <c r="E109" s="10"/>
      <c r="F109" s="10"/>
      <c r="G109" s="10"/>
      <c r="H109" s="10"/>
      <c r="I109" s="14">
        <f>IF(D109="","",IF(OR(D109="Ingreso",D109="Traslado entrante"),1,-1))</f>
      </c>
      <c r="J109" s="15">
        <f>IF(A109="","",YEAR(A109))</f>
      </c>
      <c r="K109" s="10"/>
      <c r="L109" s="10"/>
    </row>
    <row r="110" spans="1:12" x14ac:dyDescent="0.25">
      <c r="A110" s="16"/>
      <c r="B110" s="10"/>
      <c r="C110" s="13">
        <f>IF(B110="","",IFERROR(INDEX(Ejemplares!$B$5:$B$304,MATCH(B110,Ejemplares!$A$5:$A$304,0)),"Ejemplar no encontrado"))</f>
      </c>
      <c r="D110" s="10"/>
      <c r="E110" s="10"/>
      <c r="F110" s="10"/>
      <c r="G110" s="10"/>
      <c r="H110" s="10"/>
      <c r="I110" s="14">
        <f>IF(D110="","",IF(OR(D110="Ingreso",D110="Traslado entrante"),1,-1))</f>
      </c>
      <c r="J110" s="15">
        <f>IF(A110="","",YEAR(A110))</f>
      </c>
      <c r="K110" s="10"/>
      <c r="L110" s="10"/>
    </row>
    <row r="111" spans="1:12" x14ac:dyDescent="0.25">
      <c r="A111" s="16"/>
      <c r="B111" s="10"/>
      <c r="C111" s="13">
        <f>IF(B111="","",IFERROR(INDEX(Ejemplares!$B$5:$B$304,MATCH(B111,Ejemplares!$A$5:$A$304,0)),"Ejemplar no encontrado"))</f>
      </c>
      <c r="D111" s="10"/>
      <c r="E111" s="10"/>
      <c r="F111" s="10"/>
      <c r="G111" s="10"/>
      <c r="H111" s="10"/>
      <c r="I111" s="14">
        <f>IF(D111="","",IF(OR(D111="Ingreso",D111="Traslado entrante"),1,-1))</f>
      </c>
      <c r="J111" s="15">
        <f>IF(A111="","",YEAR(A111))</f>
      </c>
      <c r="K111" s="10"/>
      <c r="L111" s="10"/>
    </row>
    <row r="112" spans="1:12" x14ac:dyDescent="0.25">
      <c r="A112" s="16"/>
      <c r="B112" s="10"/>
      <c r="C112" s="13">
        <f>IF(B112="","",IFERROR(INDEX(Ejemplares!$B$5:$B$304,MATCH(B112,Ejemplares!$A$5:$A$304,0)),"Ejemplar no encontrado"))</f>
      </c>
      <c r="D112" s="10"/>
      <c r="E112" s="10"/>
      <c r="F112" s="10"/>
      <c r="G112" s="10"/>
      <c r="H112" s="10"/>
      <c r="I112" s="14">
        <f>IF(D112="","",IF(OR(D112="Ingreso",D112="Traslado entrante"),1,-1))</f>
      </c>
      <c r="J112" s="15">
        <f>IF(A112="","",YEAR(A112))</f>
      </c>
      <c r="K112" s="10"/>
      <c r="L112" s="10"/>
    </row>
    <row r="113" spans="1:12" x14ac:dyDescent="0.25">
      <c r="A113" s="16"/>
      <c r="B113" s="10"/>
      <c r="C113" s="13">
        <f>IF(B113="","",IFERROR(INDEX(Ejemplares!$B$5:$B$304,MATCH(B113,Ejemplares!$A$5:$A$304,0)),"Ejemplar no encontrado"))</f>
      </c>
      <c r="D113" s="10"/>
      <c r="E113" s="10"/>
      <c r="F113" s="10"/>
      <c r="G113" s="10"/>
      <c r="H113" s="10"/>
      <c r="I113" s="14">
        <f>IF(D113="","",IF(OR(D113="Ingreso",D113="Traslado entrante"),1,-1))</f>
      </c>
      <c r="J113" s="15">
        <f>IF(A113="","",YEAR(A113))</f>
      </c>
      <c r="K113" s="10"/>
      <c r="L113" s="10"/>
    </row>
    <row r="114" spans="1:12" x14ac:dyDescent="0.25">
      <c r="A114" s="16"/>
      <c r="B114" s="10"/>
      <c r="C114" s="13">
        <f>IF(B114="","",IFERROR(INDEX(Ejemplares!$B$5:$B$304,MATCH(B114,Ejemplares!$A$5:$A$304,0)),"Ejemplar no encontrado"))</f>
      </c>
      <c r="D114" s="10"/>
      <c r="E114" s="10"/>
      <c r="F114" s="10"/>
      <c r="G114" s="10"/>
      <c r="H114" s="10"/>
      <c r="I114" s="14">
        <f>IF(D114="","",IF(OR(D114="Ingreso",D114="Traslado entrante"),1,-1))</f>
      </c>
      <c r="J114" s="15">
        <f>IF(A114="","",YEAR(A114))</f>
      </c>
      <c r="K114" s="10"/>
      <c r="L114" s="10"/>
    </row>
    <row r="115" spans="1:12" x14ac:dyDescent="0.25">
      <c r="A115" s="16"/>
      <c r="B115" s="10"/>
      <c r="C115" s="13">
        <f>IF(B115="","",IFERROR(INDEX(Ejemplares!$B$5:$B$304,MATCH(B115,Ejemplares!$A$5:$A$304,0)),"Ejemplar no encontrado"))</f>
      </c>
      <c r="D115" s="10"/>
      <c r="E115" s="10"/>
      <c r="F115" s="10"/>
      <c r="G115" s="10"/>
      <c r="H115" s="10"/>
      <c r="I115" s="14">
        <f>IF(D115="","",IF(OR(D115="Ingreso",D115="Traslado entrante"),1,-1))</f>
      </c>
      <c r="J115" s="15">
        <f>IF(A115="","",YEAR(A115))</f>
      </c>
      <c r="K115" s="10"/>
      <c r="L115" s="10"/>
    </row>
    <row r="116" spans="1:12" x14ac:dyDescent="0.25">
      <c r="A116" s="16"/>
      <c r="B116" s="10"/>
      <c r="C116" s="13">
        <f>IF(B116="","",IFERROR(INDEX(Ejemplares!$B$5:$B$304,MATCH(B116,Ejemplares!$A$5:$A$304,0)),"Ejemplar no encontrado"))</f>
      </c>
      <c r="D116" s="10"/>
      <c r="E116" s="10"/>
      <c r="F116" s="10"/>
      <c r="G116" s="10"/>
      <c r="H116" s="10"/>
      <c r="I116" s="14">
        <f>IF(D116="","",IF(OR(D116="Ingreso",D116="Traslado entrante"),1,-1))</f>
      </c>
      <c r="J116" s="15">
        <f>IF(A116="","",YEAR(A116))</f>
      </c>
      <c r="K116" s="10"/>
      <c r="L116" s="10"/>
    </row>
    <row r="117" spans="1:12" x14ac:dyDescent="0.25">
      <c r="A117" s="16"/>
      <c r="B117" s="10"/>
      <c r="C117" s="13">
        <f>IF(B117="","",IFERROR(INDEX(Ejemplares!$B$5:$B$304,MATCH(B117,Ejemplares!$A$5:$A$304,0)),"Ejemplar no encontrado"))</f>
      </c>
      <c r="D117" s="10"/>
      <c r="E117" s="10"/>
      <c r="F117" s="10"/>
      <c r="G117" s="10"/>
      <c r="H117" s="10"/>
      <c r="I117" s="14">
        <f>IF(D117="","",IF(OR(D117="Ingreso",D117="Traslado entrante"),1,-1))</f>
      </c>
      <c r="J117" s="15">
        <f>IF(A117="","",YEAR(A117))</f>
      </c>
      <c r="K117" s="10"/>
      <c r="L117" s="10"/>
    </row>
    <row r="118" spans="1:12" x14ac:dyDescent="0.25">
      <c r="A118" s="16"/>
      <c r="B118" s="10"/>
      <c r="C118" s="13">
        <f>IF(B118="","",IFERROR(INDEX(Ejemplares!$B$5:$B$304,MATCH(B118,Ejemplares!$A$5:$A$304,0)),"Ejemplar no encontrado"))</f>
      </c>
      <c r="D118" s="10"/>
      <c r="E118" s="10"/>
      <c r="F118" s="10"/>
      <c r="G118" s="10"/>
      <c r="H118" s="10"/>
      <c r="I118" s="14">
        <f>IF(D118="","",IF(OR(D118="Ingreso",D118="Traslado entrante"),1,-1))</f>
      </c>
      <c r="J118" s="15">
        <f>IF(A118="","",YEAR(A118))</f>
      </c>
      <c r="K118" s="10"/>
      <c r="L118" s="10"/>
    </row>
    <row r="119" spans="1:12" x14ac:dyDescent="0.25">
      <c r="A119" s="16"/>
      <c r="B119" s="10"/>
      <c r="C119" s="13">
        <f>IF(B119="","",IFERROR(INDEX(Ejemplares!$B$5:$B$304,MATCH(B119,Ejemplares!$A$5:$A$304,0)),"Ejemplar no encontrado"))</f>
      </c>
      <c r="D119" s="10"/>
      <c r="E119" s="10"/>
      <c r="F119" s="10"/>
      <c r="G119" s="10"/>
      <c r="H119" s="10"/>
      <c r="I119" s="14">
        <f>IF(D119="","",IF(OR(D119="Ingreso",D119="Traslado entrante"),1,-1))</f>
      </c>
      <c r="J119" s="15">
        <f>IF(A119="","",YEAR(A119))</f>
      </c>
      <c r="K119" s="10"/>
      <c r="L119" s="10"/>
    </row>
    <row r="120" spans="1:12" x14ac:dyDescent="0.25">
      <c r="A120" s="16"/>
      <c r="B120" s="10"/>
      <c r="C120" s="13">
        <f>IF(B120="","",IFERROR(INDEX(Ejemplares!$B$5:$B$304,MATCH(B120,Ejemplares!$A$5:$A$304,0)),"Ejemplar no encontrado"))</f>
      </c>
      <c r="D120" s="10"/>
      <c r="E120" s="10"/>
      <c r="F120" s="10"/>
      <c r="G120" s="10"/>
      <c r="H120" s="10"/>
      <c r="I120" s="14">
        <f>IF(D120="","",IF(OR(D120="Ingreso",D120="Traslado entrante"),1,-1))</f>
      </c>
      <c r="J120" s="15">
        <f>IF(A120="","",YEAR(A120))</f>
      </c>
      <c r="K120" s="10"/>
      <c r="L120" s="10"/>
    </row>
    <row r="121" spans="1:12" x14ac:dyDescent="0.25">
      <c r="A121" s="16"/>
      <c r="B121" s="10"/>
      <c r="C121" s="13">
        <f>IF(B121="","",IFERROR(INDEX(Ejemplares!$B$5:$B$304,MATCH(B121,Ejemplares!$A$5:$A$304,0)),"Ejemplar no encontrado"))</f>
      </c>
      <c r="D121" s="10"/>
      <c r="E121" s="10"/>
      <c r="F121" s="10"/>
      <c r="G121" s="10"/>
      <c r="H121" s="10"/>
      <c r="I121" s="14">
        <f>IF(D121="","",IF(OR(D121="Ingreso",D121="Traslado entrante"),1,-1))</f>
      </c>
      <c r="J121" s="15">
        <f>IF(A121="","",YEAR(A121))</f>
      </c>
      <c r="K121" s="10"/>
      <c r="L121" s="10"/>
    </row>
    <row r="122" spans="1:12" x14ac:dyDescent="0.25">
      <c r="A122" s="16"/>
      <c r="B122" s="10"/>
      <c r="C122" s="13">
        <f>IF(B122="","",IFERROR(INDEX(Ejemplares!$B$5:$B$304,MATCH(B122,Ejemplares!$A$5:$A$304,0)),"Ejemplar no encontrado"))</f>
      </c>
      <c r="D122" s="10"/>
      <c r="E122" s="10"/>
      <c r="F122" s="10"/>
      <c r="G122" s="10"/>
      <c r="H122" s="10"/>
      <c r="I122" s="14">
        <f>IF(D122="","",IF(OR(D122="Ingreso",D122="Traslado entrante"),1,-1))</f>
      </c>
      <c r="J122" s="15">
        <f>IF(A122="","",YEAR(A122))</f>
      </c>
      <c r="K122" s="10"/>
      <c r="L122" s="10"/>
    </row>
    <row r="123" spans="1:12" x14ac:dyDescent="0.25">
      <c r="A123" s="16"/>
      <c r="B123" s="10"/>
      <c r="C123" s="13">
        <f>IF(B123="","",IFERROR(INDEX(Ejemplares!$B$5:$B$304,MATCH(B123,Ejemplares!$A$5:$A$304,0)),"Ejemplar no encontrado"))</f>
      </c>
      <c r="D123" s="10"/>
      <c r="E123" s="10"/>
      <c r="F123" s="10"/>
      <c r="G123" s="10"/>
      <c r="H123" s="10"/>
      <c r="I123" s="14">
        <f>IF(D123="","",IF(OR(D123="Ingreso",D123="Traslado entrante"),1,-1))</f>
      </c>
      <c r="J123" s="15">
        <f>IF(A123="","",YEAR(A123))</f>
      </c>
      <c r="K123" s="10"/>
      <c r="L123" s="10"/>
    </row>
    <row r="124" spans="1:12" x14ac:dyDescent="0.25">
      <c r="A124" s="16"/>
      <c r="B124" s="10"/>
      <c r="C124" s="13">
        <f>IF(B124="","",IFERROR(INDEX(Ejemplares!$B$5:$B$304,MATCH(B124,Ejemplares!$A$5:$A$304,0)),"Ejemplar no encontrado"))</f>
      </c>
      <c r="D124" s="10"/>
      <c r="E124" s="10"/>
      <c r="F124" s="10"/>
      <c r="G124" s="10"/>
      <c r="H124" s="10"/>
      <c r="I124" s="14">
        <f>IF(D124="","",IF(OR(D124="Ingreso",D124="Traslado entrante"),1,-1))</f>
      </c>
      <c r="J124" s="15">
        <f>IF(A124="","",YEAR(A124))</f>
      </c>
      <c r="K124" s="10"/>
      <c r="L124" s="10"/>
    </row>
    <row r="125" spans="1:12" x14ac:dyDescent="0.25">
      <c r="A125" s="16"/>
      <c r="B125" s="10"/>
      <c r="C125" s="13">
        <f>IF(B125="","",IFERROR(INDEX(Ejemplares!$B$5:$B$304,MATCH(B125,Ejemplares!$A$5:$A$304,0)),"Ejemplar no encontrado"))</f>
      </c>
      <c r="D125" s="10"/>
      <c r="E125" s="10"/>
      <c r="F125" s="10"/>
      <c r="G125" s="10"/>
      <c r="H125" s="10"/>
      <c r="I125" s="14">
        <f>IF(D125="","",IF(OR(D125="Ingreso",D125="Traslado entrante"),1,-1))</f>
      </c>
      <c r="J125" s="15">
        <f>IF(A125="","",YEAR(A125))</f>
      </c>
      <c r="K125" s="10"/>
      <c r="L125" s="10"/>
    </row>
    <row r="126" spans="1:12" x14ac:dyDescent="0.25">
      <c r="A126" s="16"/>
      <c r="B126" s="10"/>
      <c r="C126" s="13">
        <f>IF(B126="","",IFERROR(INDEX(Ejemplares!$B$5:$B$304,MATCH(B126,Ejemplares!$A$5:$A$304,0)),"Ejemplar no encontrado"))</f>
      </c>
      <c r="D126" s="10"/>
      <c r="E126" s="10"/>
      <c r="F126" s="10"/>
      <c r="G126" s="10"/>
      <c r="H126" s="10"/>
      <c r="I126" s="14">
        <f>IF(D126="","",IF(OR(D126="Ingreso",D126="Traslado entrante"),1,-1))</f>
      </c>
      <c r="J126" s="15">
        <f>IF(A126="","",YEAR(A126))</f>
      </c>
      <c r="K126" s="10"/>
      <c r="L126" s="10"/>
    </row>
    <row r="127" spans="1:12" x14ac:dyDescent="0.25">
      <c r="A127" s="16"/>
      <c r="B127" s="10"/>
      <c r="C127" s="13">
        <f>IF(B127="","",IFERROR(INDEX(Ejemplares!$B$5:$B$304,MATCH(B127,Ejemplares!$A$5:$A$304,0)),"Ejemplar no encontrado"))</f>
      </c>
      <c r="D127" s="10"/>
      <c r="E127" s="10"/>
      <c r="F127" s="10"/>
      <c r="G127" s="10"/>
      <c r="H127" s="10"/>
      <c r="I127" s="14">
        <f>IF(D127="","",IF(OR(D127="Ingreso",D127="Traslado entrante"),1,-1))</f>
      </c>
      <c r="J127" s="15">
        <f>IF(A127="","",YEAR(A127))</f>
      </c>
      <c r="K127" s="10"/>
      <c r="L127" s="10"/>
    </row>
    <row r="128" spans="1:12" x14ac:dyDescent="0.25">
      <c r="A128" s="16"/>
      <c r="B128" s="10"/>
      <c r="C128" s="13">
        <f>IF(B128="","",IFERROR(INDEX(Ejemplares!$B$5:$B$304,MATCH(B128,Ejemplares!$A$5:$A$304,0)),"Ejemplar no encontrado"))</f>
      </c>
      <c r="D128" s="10"/>
      <c r="E128" s="10"/>
      <c r="F128" s="10"/>
      <c r="G128" s="10"/>
      <c r="H128" s="10"/>
      <c r="I128" s="14">
        <f>IF(D128="","",IF(OR(D128="Ingreso",D128="Traslado entrante"),1,-1))</f>
      </c>
      <c r="J128" s="15">
        <f>IF(A128="","",YEAR(A128))</f>
      </c>
      <c r="K128" s="10"/>
      <c r="L128" s="10"/>
    </row>
    <row r="129" spans="1:12" x14ac:dyDescent="0.25">
      <c r="A129" s="16"/>
      <c r="B129" s="10"/>
      <c r="C129" s="13">
        <f>IF(B129="","",IFERROR(INDEX(Ejemplares!$B$5:$B$304,MATCH(B129,Ejemplares!$A$5:$A$304,0)),"Ejemplar no encontrado"))</f>
      </c>
      <c r="D129" s="10"/>
      <c r="E129" s="10"/>
      <c r="F129" s="10"/>
      <c r="G129" s="10"/>
      <c r="H129" s="10"/>
      <c r="I129" s="14">
        <f>IF(D129="","",IF(OR(D129="Ingreso",D129="Traslado entrante"),1,-1))</f>
      </c>
      <c r="J129" s="15">
        <f>IF(A129="","",YEAR(A129))</f>
      </c>
      <c r="K129" s="10"/>
      <c r="L129" s="10"/>
    </row>
    <row r="130" spans="1:12" x14ac:dyDescent="0.25">
      <c r="A130" s="16"/>
      <c r="B130" s="10"/>
      <c r="C130" s="13">
        <f>IF(B130="","",IFERROR(INDEX(Ejemplares!$B$5:$B$304,MATCH(B130,Ejemplares!$A$5:$A$304,0)),"Ejemplar no encontrado"))</f>
      </c>
      <c r="D130" s="10"/>
      <c r="E130" s="10"/>
      <c r="F130" s="10"/>
      <c r="G130" s="10"/>
      <c r="H130" s="10"/>
      <c r="I130" s="14">
        <f>IF(D130="","",IF(OR(D130="Ingreso",D130="Traslado entrante"),1,-1))</f>
      </c>
      <c r="J130" s="15">
        <f>IF(A130="","",YEAR(A130))</f>
      </c>
      <c r="K130" s="10"/>
      <c r="L130" s="10"/>
    </row>
    <row r="131" spans="1:12" x14ac:dyDescent="0.25">
      <c r="A131" s="16"/>
      <c r="B131" s="10"/>
      <c r="C131" s="13">
        <f>IF(B131="","",IFERROR(INDEX(Ejemplares!$B$5:$B$304,MATCH(B131,Ejemplares!$A$5:$A$304,0)),"Ejemplar no encontrado"))</f>
      </c>
      <c r="D131" s="10"/>
      <c r="E131" s="10"/>
      <c r="F131" s="10"/>
      <c r="G131" s="10"/>
      <c r="H131" s="10"/>
      <c r="I131" s="14">
        <f>IF(D131="","",IF(OR(D131="Ingreso",D131="Traslado entrante"),1,-1))</f>
      </c>
      <c r="J131" s="15">
        <f>IF(A131="","",YEAR(A131))</f>
      </c>
      <c r="K131" s="10"/>
      <c r="L131" s="10"/>
    </row>
    <row r="132" spans="1:12" x14ac:dyDescent="0.25">
      <c r="A132" s="16"/>
      <c r="B132" s="10"/>
      <c r="C132" s="13">
        <f>IF(B132="","",IFERROR(INDEX(Ejemplares!$B$5:$B$304,MATCH(B132,Ejemplares!$A$5:$A$304,0)),"Ejemplar no encontrado"))</f>
      </c>
      <c r="D132" s="10"/>
      <c r="E132" s="10"/>
      <c r="F132" s="10"/>
      <c r="G132" s="10"/>
      <c r="H132" s="10"/>
      <c r="I132" s="14">
        <f>IF(D132="","",IF(OR(D132="Ingreso",D132="Traslado entrante"),1,-1))</f>
      </c>
      <c r="J132" s="15">
        <f>IF(A132="","",YEAR(A132))</f>
      </c>
      <c r="K132" s="10"/>
      <c r="L132" s="10"/>
    </row>
    <row r="133" spans="1:12" x14ac:dyDescent="0.25">
      <c r="A133" s="16"/>
      <c r="B133" s="10"/>
      <c r="C133" s="13">
        <f>IF(B133="","",IFERROR(INDEX(Ejemplares!$B$5:$B$304,MATCH(B133,Ejemplares!$A$5:$A$304,0)),"Ejemplar no encontrado"))</f>
      </c>
      <c r="D133" s="10"/>
      <c r="E133" s="10"/>
      <c r="F133" s="10"/>
      <c r="G133" s="10"/>
      <c r="H133" s="10"/>
      <c r="I133" s="14">
        <f>IF(D133="","",IF(OR(D133="Ingreso",D133="Traslado entrante"),1,-1))</f>
      </c>
      <c r="J133" s="15">
        <f>IF(A133="","",YEAR(A133))</f>
      </c>
      <c r="K133" s="10"/>
      <c r="L133" s="10"/>
    </row>
    <row r="134" spans="1:12" x14ac:dyDescent="0.25">
      <c r="A134" s="16"/>
      <c r="B134" s="10"/>
      <c r="C134" s="13">
        <f>IF(B134="","",IFERROR(INDEX(Ejemplares!$B$5:$B$304,MATCH(B134,Ejemplares!$A$5:$A$304,0)),"Ejemplar no encontrado"))</f>
      </c>
      <c r="D134" s="10"/>
      <c r="E134" s="10"/>
      <c r="F134" s="10"/>
      <c r="G134" s="10"/>
      <c r="H134" s="10"/>
      <c r="I134" s="14">
        <f>IF(D134="","",IF(OR(D134="Ingreso",D134="Traslado entrante"),1,-1))</f>
      </c>
      <c r="J134" s="15">
        <f>IF(A134="","",YEAR(A134))</f>
      </c>
      <c r="K134" s="10"/>
      <c r="L134" s="10"/>
    </row>
    <row r="135" spans="1:12" x14ac:dyDescent="0.25">
      <c r="A135" s="16"/>
      <c r="B135" s="10"/>
      <c r="C135" s="13">
        <f>IF(B135="","",IFERROR(INDEX(Ejemplares!$B$5:$B$304,MATCH(B135,Ejemplares!$A$5:$A$304,0)),"Ejemplar no encontrado"))</f>
      </c>
      <c r="D135" s="10"/>
      <c r="E135" s="10"/>
      <c r="F135" s="10"/>
      <c r="G135" s="10"/>
      <c r="H135" s="10"/>
      <c r="I135" s="14">
        <f>IF(D135="","",IF(OR(D135="Ingreso",D135="Traslado entrante"),1,-1))</f>
      </c>
      <c r="J135" s="15">
        <f>IF(A135="","",YEAR(A135))</f>
      </c>
      <c r="K135" s="10"/>
      <c r="L135" s="10"/>
    </row>
    <row r="136" spans="1:12" x14ac:dyDescent="0.25">
      <c r="A136" s="16"/>
      <c r="B136" s="10"/>
      <c r="C136" s="13">
        <f>IF(B136="","",IFERROR(INDEX(Ejemplares!$B$5:$B$304,MATCH(B136,Ejemplares!$A$5:$A$304,0)),"Ejemplar no encontrado"))</f>
      </c>
      <c r="D136" s="10"/>
      <c r="E136" s="10"/>
      <c r="F136" s="10"/>
      <c r="G136" s="10"/>
      <c r="H136" s="10"/>
      <c r="I136" s="14">
        <f>IF(D136="","",IF(OR(D136="Ingreso",D136="Traslado entrante"),1,-1))</f>
      </c>
      <c r="J136" s="15">
        <f>IF(A136="","",YEAR(A136))</f>
      </c>
      <c r="K136" s="10"/>
      <c r="L136" s="10"/>
    </row>
    <row r="137" spans="1:12" x14ac:dyDescent="0.25">
      <c r="A137" s="16"/>
      <c r="B137" s="10"/>
      <c r="C137" s="13">
        <f>IF(B137="","",IFERROR(INDEX(Ejemplares!$B$5:$B$304,MATCH(B137,Ejemplares!$A$5:$A$304,0)),"Ejemplar no encontrado"))</f>
      </c>
      <c r="D137" s="10"/>
      <c r="E137" s="10"/>
      <c r="F137" s="10"/>
      <c r="G137" s="10"/>
      <c r="H137" s="10"/>
      <c r="I137" s="14">
        <f>IF(D137="","",IF(OR(D137="Ingreso",D137="Traslado entrante"),1,-1))</f>
      </c>
      <c r="J137" s="15">
        <f>IF(A137="","",YEAR(A137))</f>
      </c>
      <c r="K137" s="10"/>
      <c r="L137" s="10"/>
    </row>
    <row r="138" spans="1:12" x14ac:dyDescent="0.25">
      <c r="A138" s="16"/>
      <c r="B138" s="10"/>
      <c r="C138" s="13">
        <f>IF(B138="","",IFERROR(INDEX(Ejemplares!$B$5:$B$304,MATCH(B138,Ejemplares!$A$5:$A$304,0)),"Ejemplar no encontrado"))</f>
      </c>
      <c r="D138" s="10"/>
      <c r="E138" s="10"/>
      <c r="F138" s="10"/>
      <c r="G138" s="10"/>
      <c r="H138" s="10"/>
      <c r="I138" s="14">
        <f>IF(D138="","",IF(OR(D138="Ingreso",D138="Traslado entrante"),1,-1))</f>
      </c>
      <c r="J138" s="15">
        <f>IF(A138="","",YEAR(A138))</f>
      </c>
      <c r="K138" s="10"/>
      <c r="L138" s="10"/>
    </row>
    <row r="139" spans="1:12" x14ac:dyDescent="0.25">
      <c r="A139" s="16"/>
      <c r="B139" s="10"/>
      <c r="C139" s="13">
        <f>IF(B139="","",IFERROR(INDEX(Ejemplares!$B$5:$B$304,MATCH(B139,Ejemplares!$A$5:$A$304,0)),"Ejemplar no encontrado"))</f>
      </c>
      <c r="D139" s="10"/>
      <c r="E139" s="10"/>
      <c r="F139" s="10"/>
      <c r="G139" s="10"/>
      <c r="H139" s="10"/>
      <c r="I139" s="14">
        <f>IF(D139="","",IF(OR(D139="Ingreso",D139="Traslado entrante"),1,-1))</f>
      </c>
      <c r="J139" s="15">
        <f>IF(A139="","",YEAR(A139))</f>
      </c>
      <c r="K139" s="10"/>
      <c r="L139" s="10"/>
    </row>
    <row r="140" spans="1:12" x14ac:dyDescent="0.25">
      <c r="A140" s="16"/>
      <c r="B140" s="10"/>
      <c r="C140" s="13">
        <f>IF(B140="","",IFERROR(INDEX(Ejemplares!$B$5:$B$304,MATCH(B140,Ejemplares!$A$5:$A$304,0)),"Ejemplar no encontrado"))</f>
      </c>
      <c r="D140" s="10"/>
      <c r="E140" s="10"/>
      <c r="F140" s="10"/>
      <c r="G140" s="10"/>
      <c r="H140" s="10"/>
      <c r="I140" s="14">
        <f>IF(D140="","",IF(OR(D140="Ingreso",D140="Traslado entrante"),1,-1))</f>
      </c>
      <c r="J140" s="15">
        <f>IF(A140="","",YEAR(A140))</f>
      </c>
      <c r="K140" s="10"/>
      <c r="L140" s="10"/>
    </row>
    <row r="141" spans="1:12" x14ac:dyDescent="0.25">
      <c r="A141" s="16"/>
      <c r="B141" s="10"/>
      <c r="C141" s="13">
        <f>IF(B141="","",IFERROR(INDEX(Ejemplares!$B$5:$B$304,MATCH(B141,Ejemplares!$A$5:$A$304,0)),"Ejemplar no encontrado"))</f>
      </c>
      <c r="D141" s="10"/>
      <c r="E141" s="10"/>
      <c r="F141" s="10"/>
      <c r="G141" s="10"/>
      <c r="H141" s="10"/>
      <c r="I141" s="14">
        <f>IF(D141="","",IF(OR(D141="Ingreso",D141="Traslado entrante"),1,-1))</f>
      </c>
      <c r="J141" s="15">
        <f>IF(A141="","",YEAR(A141))</f>
      </c>
      <c r="K141" s="10"/>
      <c r="L141" s="10"/>
    </row>
    <row r="142" spans="1:12" x14ac:dyDescent="0.25">
      <c r="A142" s="16"/>
      <c r="B142" s="10"/>
      <c r="C142" s="13">
        <f>IF(B142="","",IFERROR(INDEX(Ejemplares!$B$5:$B$304,MATCH(B142,Ejemplares!$A$5:$A$304,0)),"Ejemplar no encontrado"))</f>
      </c>
      <c r="D142" s="10"/>
      <c r="E142" s="10"/>
      <c r="F142" s="10"/>
      <c r="G142" s="10"/>
      <c r="H142" s="10"/>
      <c r="I142" s="14">
        <f>IF(D142="","",IF(OR(D142="Ingreso",D142="Traslado entrante"),1,-1))</f>
      </c>
      <c r="J142" s="15">
        <f>IF(A142="","",YEAR(A142))</f>
      </c>
      <c r="K142" s="10"/>
      <c r="L142" s="10"/>
    </row>
    <row r="143" spans="1:12" x14ac:dyDescent="0.25">
      <c r="A143" s="16"/>
      <c r="B143" s="10"/>
      <c r="C143" s="13">
        <f>IF(B143="","",IFERROR(INDEX(Ejemplares!$B$5:$B$304,MATCH(B143,Ejemplares!$A$5:$A$304,0)),"Ejemplar no encontrado"))</f>
      </c>
      <c r="D143" s="10"/>
      <c r="E143" s="10"/>
      <c r="F143" s="10"/>
      <c r="G143" s="10"/>
      <c r="H143" s="10"/>
      <c r="I143" s="14">
        <f>IF(D143="","",IF(OR(D143="Ingreso",D143="Traslado entrante"),1,-1))</f>
      </c>
      <c r="J143" s="15">
        <f>IF(A143="","",YEAR(A143))</f>
      </c>
      <c r="K143" s="10"/>
      <c r="L143" s="10"/>
    </row>
    <row r="144" spans="1:12" x14ac:dyDescent="0.25">
      <c r="A144" s="16"/>
      <c r="B144" s="10"/>
      <c r="C144" s="13">
        <f>IF(B144="","",IFERROR(INDEX(Ejemplares!$B$5:$B$304,MATCH(B144,Ejemplares!$A$5:$A$304,0)),"Ejemplar no encontrado"))</f>
      </c>
      <c r="D144" s="10"/>
      <c r="E144" s="10"/>
      <c r="F144" s="10"/>
      <c r="G144" s="10"/>
      <c r="H144" s="10"/>
      <c r="I144" s="14">
        <f>IF(D144="","",IF(OR(D144="Ingreso",D144="Traslado entrante"),1,-1))</f>
      </c>
      <c r="J144" s="15">
        <f>IF(A144="","",YEAR(A144))</f>
      </c>
      <c r="K144" s="10"/>
      <c r="L144" s="10"/>
    </row>
    <row r="145" spans="1:12" x14ac:dyDescent="0.25">
      <c r="A145" s="16"/>
      <c r="B145" s="10"/>
      <c r="C145" s="13">
        <f>IF(B145="","",IFERROR(INDEX(Ejemplares!$B$5:$B$304,MATCH(B145,Ejemplares!$A$5:$A$304,0)),"Ejemplar no encontrado"))</f>
      </c>
      <c r="D145" s="10"/>
      <c r="E145" s="10"/>
      <c r="F145" s="10"/>
      <c r="G145" s="10"/>
      <c r="H145" s="10"/>
      <c r="I145" s="14">
        <f>IF(D145="","",IF(OR(D145="Ingreso",D145="Traslado entrante"),1,-1))</f>
      </c>
      <c r="J145" s="15">
        <f>IF(A145="","",YEAR(A145))</f>
      </c>
      <c r="K145" s="10"/>
      <c r="L145" s="10"/>
    </row>
    <row r="146" spans="1:12" x14ac:dyDescent="0.25">
      <c r="A146" s="16"/>
      <c r="B146" s="10"/>
      <c r="C146" s="13">
        <f>IF(B146="","",IFERROR(INDEX(Ejemplares!$B$5:$B$304,MATCH(B146,Ejemplares!$A$5:$A$304,0)),"Ejemplar no encontrado"))</f>
      </c>
      <c r="D146" s="10"/>
      <c r="E146" s="10"/>
      <c r="F146" s="10"/>
      <c r="G146" s="10"/>
      <c r="H146" s="10"/>
      <c r="I146" s="14">
        <f>IF(D146="","",IF(OR(D146="Ingreso",D146="Traslado entrante"),1,-1))</f>
      </c>
      <c r="J146" s="15">
        <f>IF(A146="","",YEAR(A146))</f>
      </c>
      <c r="K146" s="10"/>
      <c r="L146" s="10"/>
    </row>
    <row r="147" spans="1:12" x14ac:dyDescent="0.25">
      <c r="A147" s="16"/>
      <c r="B147" s="10"/>
      <c r="C147" s="13">
        <f>IF(B147="","",IFERROR(INDEX(Ejemplares!$B$5:$B$304,MATCH(B147,Ejemplares!$A$5:$A$304,0)),"Ejemplar no encontrado"))</f>
      </c>
      <c r="D147" s="10"/>
      <c r="E147" s="10"/>
      <c r="F147" s="10"/>
      <c r="G147" s="10"/>
      <c r="H147" s="10"/>
      <c r="I147" s="14">
        <f>IF(D147="","",IF(OR(D147="Ingreso",D147="Traslado entrante"),1,-1))</f>
      </c>
      <c r="J147" s="15">
        <f>IF(A147="","",YEAR(A147))</f>
      </c>
      <c r="K147" s="10"/>
      <c r="L147" s="10"/>
    </row>
    <row r="148" spans="1:12" x14ac:dyDescent="0.25">
      <c r="A148" s="16"/>
      <c r="B148" s="10"/>
      <c r="C148" s="13">
        <f>IF(B148="","",IFERROR(INDEX(Ejemplares!$B$5:$B$304,MATCH(B148,Ejemplares!$A$5:$A$304,0)),"Ejemplar no encontrado"))</f>
      </c>
      <c r="D148" s="10"/>
      <c r="E148" s="10"/>
      <c r="F148" s="10"/>
      <c r="G148" s="10"/>
      <c r="H148" s="10"/>
      <c r="I148" s="14">
        <f>IF(D148="","",IF(OR(D148="Ingreso",D148="Traslado entrante"),1,-1))</f>
      </c>
      <c r="J148" s="15">
        <f>IF(A148="","",YEAR(A148))</f>
      </c>
      <c r="K148" s="10"/>
      <c r="L148" s="10"/>
    </row>
    <row r="149" spans="1:12" x14ac:dyDescent="0.25">
      <c r="A149" s="16"/>
      <c r="B149" s="10"/>
      <c r="C149" s="13">
        <f>IF(B149="","",IFERROR(INDEX(Ejemplares!$B$5:$B$304,MATCH(B149,Ejemplares!$A$5:$A$304,0)),"Ejemplar no encontrado"))</f>
      </c>
      <c r="D149" s="10"/>
      <c r="E149" s="10"/>
      <c r="F149" s="10"/>
      <c r="G149" s="10"/>
      <c r="H149" s="10"/>
      <c r="I149" s="14">
        <f>IF(D149="","",IF(OR(D149="Ingreso",D149="Traslado entrante"),1,-1))</f>
      </c>
      <c r="J149" s="15">
        <f>IF(A149="","",YEAR(A149))</f>
      </c>
      <c r="K149" s="10"/>
      <c r="L149" s="10"/>
    </row>
    <row r="150" spans="1:12" x14ac:dyDescent="0.25">
      <c r="A150" s="16"/>
      <c r="B150" s="10"/>
      <c r="C150" s="13">
        <f>IF(B150="","",IFERROR(INDEX(Ejemplares!$B$5:$B$304,MATCH(B150,Ejemplares!$A$5:$A$304,0)),"Ejemplar no encontrado"))</f>
      </c>
      <c r="D150" s="10"/>
      <c r="E150" s="10"/>
      <c r="F150" s="10"/>
      <c r="G150" s="10"/>
      <c r="H150" s="10"/>
      <c r="I150" s="14">
        <f>IF(D150="","",IF(OR(D150="Ingreso",D150="Traslado entrante"),1,-1))</f>
      </c>
      <c r="J150" s="15">
        <f>IF(A150="","",YEAR(A150))</f>
      </c>
      <c r="K150" s="10"/>
      <c r="L150" s="10"/>
    </row>
    <row r="151" spans="1:12" x14ac:dyDescent="0.25">
      <c r="A151" s="16"/>
      <c r="B151" s="10"/>
      <c r="C151" s="13">
        <f>IF(B151="","",IFERROR(INDEX(Ejemplares!$B$5:$B$304,MATCH(B151,Ejemplares!$A$5:$A$304,0)),"Ejemplar no encontrado"))</f>
      </c>
      <c r="D151" s="10"/>
      <c r="E151" s="10"/>
      <c r="F151" s="10"/>
      <c r="G151" s="10"/>
      <c r="H151" s="10"/>
      <c r="I151" s="14">
        <f>IF(D151="","",IF(OR(D151="Ingreso",D151="Traslado entrante"),1,-1))</f>
      </c>
      <c r="J151" s="15">
        <f>IF(A151="","",YEAR(A151))</f>
      </c>
      <c r="K151" s="10"/>
      <c r="L151" s="10"/>
    </row>
    <row r="152" spans="1:12" x14ac:dyDescent="0.25">
      <c r="A152" s="16"/>
      <c r="B152" s="10"/>
      <c r="C152" s="13">
        <f>IF(B152="","",IFERROR(INDEX(Ejemplares!$B$5:$B$304,MATCH(B152,Ejemplares!$A$5:$A$304,0)),"Ejemplar no encontrado"))</f>
      </c>
      <c r="D152" s="10"/>
      <c r="E152" s="10"/>
      <c r="F152" s="10"/>
      <c r="G152" s="10"/>
      <c r="H152" s="10"/>
      <c r="I152" s="14">
        <f>IF(D152="","",IF(OR(D152="Ingreso",D152="Traslado entrante"),1,-1))</f>
      </c>
      <c r="J152" s="15">
        <f>IF(A152="","",YEAR(A152))</f>
      </c>
      <c r="K152" s="10"/>
      <c r="L152" s="10"/>
    </row>
    <row r="153" spans="1:12" x14ac:dyDescent="0.25">
      <c r="A153" s="16"/>
      <c r="B153" s="10"/>
      <c r="C153" s="13">
        <f>IF(B153="","",IFERROR(INDEX(Ejemplares!$B$5:$B$304,MATCH(B153,Ejemplares!$A$5:$A$304,0)),"Ejemplar no encontrado"))</f>
      </c>
      <c r="D153" s="10"/>
      <c r="E153" s="10"/>
      <c r="F153" s="10"/>
      <c r="G153" s="10"/>
      <c r="H153" s="10"/>
      <c r="I153" s="14">
        <f>IF(D153="","",IF(OR(D153="Ingreso",D153="Traslado entrante"),1,-1))</f>
      </c>
      <c r="J153" s="15">
        <f>IF(A153="","",YEAR(A153))</f>
      </c>
      <c r="K153" s="10"/>
      <c r="L153" s="10"/>
    </row>
    <row r="154" spans="1:12" x14ac:dyDescent="0.25">
      <c r="A154" s="16"/>
      <c r="B154" s="10"/>
      <c r="C154" s="13">
        <f>IF(B154="","",IFERROR(INDEX(Ejemplares!$B$5:$B$304,MATCH(B154,Ejemplares!$A$5:$A$304,0)),"Ejemplar no encontrado"))</f>
      </c>
      <c r="D154" s="10"/>
      <c r="E154" s="10"/>
      <c r="F154" s="10"/>
      <c r="G154" s="10"/>
      <c r="H154" s="10"/>
      <c r="I154" s="14">
        <f>IF(D154="","",IF(OR(D154="Ingreso",D154="Traslado entrante"),1,-1))</f>
      </c>
      <c r="J154" s="15">
        <f>IF(A154="","",YEAR(A154))</f>
      </c>
      <c r="K154" s="10"/>
      <c r="L154" s="10"/>
    </row>
    <row r="155" spans="1:12" x14ac:dyDescent="0.25">
      <c r="A155" s="16"/>
      <c r="B155" s="10"/>
      <c r="C155" s="13">
        <f>IF(B155="","",IFERROR(INDEX(Ejemplares!$B$5:$B$304,MATCH(B155,Ejemplares!$A$5:$A$304,0)),"Ejemplar no encontrado"))</f>
      </c>
      <c r="D155" s="10"/>
      <c r="E155" s="10"/>
      <c r="F155" s="10"/>
      <c r="G155" s="10"/>
      <c r="H155" s="10"/>
      <c r="I155" s="14">
        <f>IF(D155="","",IF(OR(D155="Ingreso",D155="Traslado entrante"),1,-1))</f>
      </c>
      <c r="J155" s="15">
        <f>IF(A155="","",YEAR(A155))</f>
      </c>
      <c r="K155" s="10"/>
      <c r="L155" s="10"/>
    </row>
    <row r="156" spans="1:12" x14ac:dyDescent="0.25">
      <c r="A156" s="16"/>
      <c r="B156" s="10"/>
      <c r="C156" s="13">
        <f>IF(B156="","",IFERROR(INDEX(Ejemplares!$B$5:$B$304,MATCH(B156,Ejemplares!$A$5:$A$304,0)),"Ejemplar no encontrado"))</f>
      </c>
      <c r="D156" s="10"/>
      <c r="E156" s="10"/>
      <c r="F156" s="10"/>
      <c r="G156" s="10"/>
      <c r="H156" s="10"/>
      <c r="I156" s="14">
        <f>IF(D156="","",IF(OR(D156="Ingreso",D156="Traslado entrante"),1,-1))</f>
      </c>
      <c r="J156" s="15">
        <f>IF(A156="","",YEAR(A156))</f>
      </c>
      <c r="K156" s="10"/>
      <c r="L156" s="10"/>
    </row>
    <row r="157" spans="1:12" x14ac:dyDescent="0.25">
      <c r="A157" s="16"/>
      <c r="B157" s="10"/>
      <c r="C157" s="13">
        <f>IF(B157="","",IFERROR(INDEX(Ejemplares!$B$5:$B$304,MATCH(B157,Ejemplares!$A$5:$A$304,0)),"Ejemplar no encontrado"))</f>
      </c>
      <c r="D157" s="10"/>
      <c r="E157" s="10"/>
      <c r="F157" s="10"/>
      <c r="G157" s="10"/>
      <c r="H157" s="10"/>
      <c r="I157" s="14">
        <f>IF(D157="","",IF(OR(D157="Ingreso",D157="Traslado entrante"),1,-1))</f>
      </c>
      <c r="J157" s="15">
        <f>IF(A157="","",YEAR(A157))</f>
      </c>
      <c r="K157" s="10"/>
      <c r="L157" s="10"/>
    </row>
    <row r="158" spans="1:12" x14ac:dyDescent="0.25">
      <c r="A158" s="16"/>
      <c r="B158" s="10"/>
      <c r="C158" s="13">
        <f>IF(B158="","",IFERROR(INDEX(Ejemplares!$B$5:$B$304,MATCH(B158,Ejemplares!$A$5:$A$304,0)),"Ejemplar no encontrado"))</f>
      </c>
      <c r="D158" s="10"/>
      <c r="E158" s="10"/>
      <c r="F158" s="10"/>
      <c r="G158" s="10"/>
      <c r="H158" s="10"/>
      <c r="I158" s="14">
        <f>IF(D158="","",IF(OR(D158="Ingreso",D158="Traslado entrante"),1,-1))</f>
      </c>
      <c r="J158" s="15">
        <f>IF(A158="","",YEAR(A158))</f>
      </c>
      <c r="K158" s="10"/>
      <c r="L158" s="10"/>
    </row>
    <row r="159" spans="1:12" x14ac:dyDescent="0.25">
      <c r="A159" s="16"/>
      <c r="B159" s="10"/>
      <c r="C159" s="13">
        <f>IF(B159="","",IFERROR(INDEX(Ejemplares!$B$5:$B$304,MATCH(B159,Ejemplares!$A$5:$A$304,0)),"Ejemplar no encontrado"))</f>
      </c>
      <c r="D159" s="10"/>
      <c r="E159" s="10"/>
      <c r="F159" s="10"/>
      <c r="G159" s="10"/>
      <c r="H159" s="10"/>
      <c r="I159" s="14">
        <f>IF(D159="","",IF(OR(D159="Ingreso",D159="Traslado entrante"),1,-1))</f>
      </c>
      <c r="J159" s="15">
        <f>IF(A159="","",YEAR(A159))</f>
      </c>
      <c r="K159" s="10"/>
      <c r="L159" s="10"/>
    </row>
    <row r="160" spans="1:12" x14ac:dyDescent="0.25">
      <c r="A160" s="16"/>
      <c r="B160" s="10"/>
      <c r="C160" s="13">
        <f>IF(B160="","",IFERROR(INDEX(Ejemplares!$B$5:$B$304,MATCH(B160,Ejemplares!$A$5:$A$304,0)),"Ejemplar no encontrado"))</f>
      </c>
      <c r="D160" s="10"/>
      <c r="E160" s="10"/>
      <c r="F160" s="10"/>
      <c r="G160" s="10"/>
      <c r="H160" s="10"/>
      <c r="I160" s="14">
        <f>IF(D160="","",IF(OR(D160="Ingreso",D160="Traslado entrante"),1,-1))</f>
      </c>
      <c r="J160" s="15">
        <f>IF(A160="","",YEAR(A160))</f>
      </c>
      <c r="K160" s="10"/>
      <c r="L160" s="10"/>
    </row>
    <row r="161" spans="1:12" x14ac:dyDescent="0.25">
      <c r="A161" s="16"/>
      <c r="B161" s="10"/>
      <c r="C161" s="13">
        <f>IF(B161="","",IFERROR(INDEX(Ejemplares!$B$5:$B$304,MATCH(B161,Ejemplares!$A$5:$A$304,0)),"Ejemplar no encontrado"))</f>
      </c>
      <c r="D161" s="10"/>
      <c r="E161" s="10"/>
      <c r="F161" s="10"/>
      <c r="G161" s="10"/>
      <c r="H161" s="10"/>
      <c r="I161" s="14">
        <f>IF(D161="","",IF(OR(D161="Ingreso",D161="Traslado entrante"),1,-1))</f>
      </c>
      <c r="J161" s="15">
        <f>IF(A161="","",YEAR(A161))</f>
      </c>
      <c r="K161" s="10"/>
      <c r="L161" s="10"/>
    </row>
    <row r="162" spans="1:12" x14ac:dyDescent="0.25">
      <c r="A162" s="16"/>
      <c r="B162" s="10"/>
      <c r="C162" s="13">
        <f>IF(B162="","",IFERROR(INDEX(Ejemplares!$B$5:$B$304,MATCH(B162,Ejemplares!$A$5:$A$304,0)),"Ejemplar no encontrado"))</f>
      </c>
      <c r="D162" s="10"/>
      <c r="E162" s="10"/>
      <c r="F162" s="10"/>
      <c r="G162" s="10"/>
      <c r="H162" s="10"/>
      <c r="I162" s="14">
        <f>IF(D162="","",IF(OR(D162="Ingreso",D162="Traslado entrante"),1,-1))</f>
      </c>
      <c r="J162" s="15">
        <f>IF(A162="","",YEAR(A162))</f>
      </c>
      <c r="K162" s="10"/>
      <c r="L162" s="10"/>
    </row>
    <row r="163" spans="1:12" x14ac:dyDescent="0.25">
      <c r="A163" s="16"/>
      <c r="B163" s="10"/>
      <c r="C163" s="13">
        <f>IF(B163="","",IFERROR(INDEX(Ejemplares!$B$5:$B$304,MATCH(B163,Ejemplares!$A$5:$A$304,0)),"Ejemplar no encontrado"))</f>
      </c>
      <c r="D163" s="10"/>
      <c r="E163" s="10"/>
      <c r="F163" s="10"/>
      <c r="G163" s="10"/>
      <c r="H163" s="10"/>
      <c r="I163" s="14">
        <f>IF(D163="","",IF(OR(D163="Ingreso",D163="Traslado entrante"),1,-1))</f>
      </c>
      <c r="J163" s="15">
        <f>IF(A163="","",YEAR(A163))</f>
      </c>
      <c r="K163" s="10"/>
      <c r="L163" s="10"/>
    </row>
    <row r="164" spans="1:12" x14ac:dyDescent="0.25">
      <c r="A164" s="16"/>
      <c r="B164" s="10"/>
      <c r="C164" s="13">
        <f>IF(B164="","",IFERROR(INDEX(Ejemplares!$B$5:$B$304,MATCH(B164,Ejemplares!$A$5:$A$304,0)),"Ejemplar no encontrado"))</f>
      </c>
      <c r="D164" s="10"/>
      <c r="E164" s="10"/>
      <c r="F164" s="10"/>
      <c r="G164" s="10"/>
      <c r="H164" s="10"/>
      <c r="I164" s="14">
        <f>IF(D164="","",IF(OR(D164="Ingreso",D164="Traslado entrante"),1,-1))</f>
      </c>
      <c r="J164" s="15">
        <f>IF(A164="","",YEAR(A164))</f>
      </c>
      <c r="K164" s="10"/>
      <c r="L164" s="10"/>
    </row>
    <row r="165" spans="1:12" x14ac:dyDescent="0.25">
      <c r="A165" s="16"/>
      <c r="B165" s="10"/>
      <c r="C165" s="13">
        <f>IF(B165="","",IFERROR(INDEX(Ejemplares!$B$5:$B$304,MATCH(B165,Ejemplares!$A$5:$A$304,0)),"Ejemplar no encontrado"))</f>
      </c>
      <c r="D165" s="10"/>
      <c r="E165" s="10"/>
      <c r="F165" s="10"/>
      <c r="G165" s="10"/>
      <c r="H165" s="10"/>
      <c r="I165" s="14">
        <f>IF(D165="","",IF(OR(D165="Ingreso",D165="Traslado entrante"),1,-1))</f>
      </c>
      <c r="J165" s="15">
        <f>IF(A165="","",YEAR(A165))</f>
      </c>
      <c r="K165" s="10"/>
      <c r="L165" s="10"/>
    </row>
    <row r="166" spans="1:12" x14ac:dyDescent="0.25">
      <c r="A166" s="16"/>
      <c r="B166" s="10"/>
      <c r="C166" s="13">
        <f>IF(B166="","",IFERROR(INDEX(Ejemplares!$B$5:$B$304,MATCH(B166,Ejemplares!$A$5:$A$304,0)),"Ejemplar no encontrado"))</f>
      </c>
      <c r="D166" s="10"/>
      <c r="E166" s="10"/>
      <c r="F166" s="10"/>
      <c r="G166" s="10"/>
      <c r="H166" s="10"/>
      <c r="I166" s="14">
        <f>IF(D166="","",IF(OR(D166="Ingreso",D166="Traslado entrante"),1,-1))</f>
      </c>
      <c r="J166" s="15">
        <f>IF(A166="","",YEAR(A166))</f>
      </c>
      <c r="K166" s="10"/>
      <c r="L166" s="10"/>
    </row>
    <row r="167" spans="1:12" x14ac:dyDescent="0.25">
      <c r="A167" s="16"/>
      <c r="B167" s="10"/>
      <c r="C167" s="13">
        <f>IF(B167="","",IFERROR(INDEX(Ejemplares!$B$5:$B$304,MATCH(B167,Ejemplares!$A$5:$A$304,0)),"Ejemplar no encontrado"))</f>
      </c>
      <c r="D167" s="10"/>
      <c r="E167" s="10"/>
      <c r="F167" s="10"/>
      <c r="G167" s="10"/>
      <c r="H167" s="10"/>
      <c r="I167" s="14">
        <f>IF(D167="","",IF(OR(D167="Ingreso",D167="Traslado entrante"),1,-1))</f>
      </c>
      <c r="J167" s="15">
        <f>IF(A167="","",YEAR(A167))</f>
      </c>
      <c r="K167" s="10"/>
      <c r="L167" s="10"/>
    </row>
    <row r="168" spans="1:12" x14ac:dyDescent="0.25">
      <c r="A168" s="16"/>
      <c r="B168" s="10"/>
      <c r="C168" s="13">
        <f>IF(B168="","",IFERROR(INDEX(Ejemplares!$B$5:$B$304,MATCH(B168,Ejemplares!$A$5:$A$304,0)),"Ejemplar no encontrado"))</f>
      </c>
      <c r="D168" s="10"/>
      <c r="E168" s="10"/>
      <c r="F168" s="10"/>
      <c r="G168" s="10"/>
      <c r="H168" s="10"/>
      <c r="I168" s="14">
        <f>IF(D168="","",IF(OR(D168="Ingreso",D168="Traslado entrante"),1,-1))</f>
      </c>
      <c r="J168" s="15">
        <f>IF(A168="","",YEAR(A168))</f>
      </c>
      <c r="K168" s="10"/>
      <c r="L168" s="10"/>
    </row>
    <row r="169" spans="1:12" x14ac:dyDescent="0.25">
      <c r="A169" s="16"/>
      <c r="B169" s="10"/>
      <c r="C169" s="13">
        <f>IF(B169="","",IFERROR(INDEX(Ejemplares!$B$5:$B$304,MATCH(B169,Ejemplares!$A$5:$A$304,0)),"Ejemplar no encontrado"))</f>
      </c>
      <c r="D169" s="10"/>
      <c r="E169" s="10"/>
      <c r="F169" s="10"/>
      <c r="G169" s="10"/>
      <c r="H169" s="10"/>
      <c r="I169" s="14">
        <f>IF(D169="","",IF(OR(D169="Ingreso",D169="Traslado entrante"),1,-1))</f>
      </c>
      <c r="J169" s="15">
        <f>IF(A169="","",YEAR(A169))</f>
      </c>
      <c r="K169" s="10"/>
      <c r="L169" s="10"/>
    </row>
    <row r="170" spans="1:12" x14ac:dyDescent="0.25">
      <c r="A170" s="16"/>
      <c r="B170" s="10"/>
      <c r="C170" s="13">
        <f>IF(B170="","",IFERROR(INDEX(Ejemplares!$B$5:$B$304,MATCH(B170,Ejemplares!$A$5:$A$304,0)),"Ejemplar no encontrado"))</f>
      </c>
      <c r="D170" s="10"/>
      <c r="E170" s="10"/>
      <c r="F170" s="10"/>
      <c r="G170" s="10"/>
      <c r="H170" s="10"/>
      <c r="I170" s="14">
        <f>IF(D170="","",IF(OR(D170="Ingreso",D170="Traslado entrante"),1,-1))</f>
      </c>
      <c r="J170" s="15">
        <f>IF(A170="","",YEAR(A170))</f>
      </c>
      <c r="K170" s="10"/>
      <c r="L170" s="10"/>
    </row>
    <row r="171" spans="1:12" x14ac:dyDescent="0.25">
      <c r="A171" s="16"/>
      <c r="B171" s="10"/>
      <c r="C171" s="13">
        <f>IF(B171="","",IFERROR(INDEX(Ejemplares!$B$5:$B$304,MATCH(B171,Ejemplares!$A$5:$A$304,0)),"Ejemplar no encontrado"))</f>
      </c>
      <c r="D171" s="10"/>
      <c r="E171" s="10"/>
      <c r="F171" s="10"/>
      <c r="G171" s="10"/>
      <c r="H171" s="10"/>
      <c r="I171" s="14">
        <f>IF(D171="","",IF(OR(D171="Ingreso",D171="Traslado entrante"),1,-1))</f>
      </c>
      <c r="J171" s="15">
        <f>IF(A171="","",YEAR(A171))</f>
      </c>
      <c r="K171" s="10"/>
      <c r="L171" s="10"/>
    </row>
    <row r="172" spans="1:12" x14ac:dyDescent="0.25">
      <c r="A172" s="16"/>
      <c r="B172" s="10"/>
      <c r="C172" s="13">
        <f>IF(B172="","",IFERROR(INDEX(Ejemplares!$B$5:$B$304,MATCH(B172,Ejemplares!$A$5:$A$304,0)),"Ejemplar no encontrado"))</f>
      </c>
      <c r="D172" s="10"/>
      <c r="E172" s="10"/>
      <c r="F172" s="10"/>
      <c r="G172" s="10"/>
      <c r="H172" s="10"/>
      <c r="I172" s="14">
        <f>IF(D172="","",IF(OR(D172="Ingreso",D172="Traslado entrante"),1,-1))</f>
      </c>
      <c r="J172" s="15">
        <f>IF(A172="","",YEAR(A172))</f>
      </c>
      <c r="K172" s="10"/>
      <c r="L172" s="10"/>
    </row>
    <row r="173" spans="1:12" x14ac:dyDescent="0.25">
      <c r="A173" s="16"/>
      <c r="B173" s="10"/>
      <c r="C173" s="13">
        <f>IF(B173="","",IFERROR(INDEX(Ejemplares!$B$5:$B$304,MATCH(B173,Ejemplares!$A$5:$A$304,0)),"Ejemplar no encontrado"))</f>
      </c>
      <c r="D173" s="10"/>
      <c r="E173" s="10"/>
      <c r="F173" s="10"/>
      <c r="G173" s="10"/>
      <c r="H173" s="10"/>
      <c r="I173" s="14">
        <f>IF(D173="","",IF(OR(D173="Ingreso",D173="Traslado entrante"),1,-1))</f>
      </c>
      <c r="J173" s="15">
        <f>IF(A173="","",YEAR(A173))</f>
      </c>
      <c r="K173" s="10"/>
      <c r="L173" s="10"/>
    </row>
    <row r="174" spans="1:12" x14ac:dyDescent="0.25">
      <c r="A174" s="16"/>
      <c r="B174" s="10"/>
      <c r="C174" s="13">
        <f>IF(B174="","",IFERROR(INDEX(Ejemplares!$B$5:$B$304,MATCH(B174,Ejemplares!$A$5:$A$304,0)),"Ejemplar no encontrado"))</f>
      </c>
      <c r="D174" s="10"/>
      <c r="E174" s="10"/>
      <c r="F174" s="10"/>
      <c r="G174" s="10"/>
      <c r="H174" s="10"/>
      <c r="I174" s="14">
        <f>IF(D174="","",IF(OR(D174="Ingreso",D174="Traslado entrante"),1,-1))</f>
      </c>
      <c r="J174" s="15">
        <f>IF(A174="","",YEAR(A174))</f>
      </c>
      <c r="K174" s="10"/>
      <c r="L174" s="10"/>
    </row>
    <row r="175" spans="1:12" x14ac:dyDescent="0.25">
      <c r="A175" s="16"/>
      <c r="B175" s="10"/>
      <c r="C175" s="13">
        <f>IF(B175="","",IFERROR(INDEX(Ejemplares!$B$5:$B$304,MATCH(B175,Ejemplares!$A$5:$A$304,0)),"Ejemplar no encontrado"))</f>
      </c>
      <c r="D175" s="10"/>
      <c r="E175" s="10"/>
      <c r="F175" s="10"/>
      <c r="G175" s="10"/>
      <c r="H175" s="10"/>
      <c r="I175" s="14">
        <f>IF(D175="","",IF(OR(D175="Ingreso",D175="Traslado entrante"),1,-1))</f>
      </c>
      <c r="J175" s="15">
        <f>IF(A175="","",YEAR(A175))</f>
      </c>
      <c r="K175" s="10"/>
      <c r="L175" s="10"/>
    </row>
    <row r="176" spans="1:12" x14ac:dyDescent="0.25">
      <c r="A176" s="16"/>
      <c r="B176" s="10"/>
      <c r="C176" s="13">
        <f>IF(B176="","",IFERROR(INDEX(Ejemplares!$B$5:$B$304,MATCH(B176,Ejemplares!$A$5:$A$304,0)),"Ejemplar no encontrado"))</f>
      </c>
      <c r="D176" s="10"/>
      <c r="E176" s="10"/>
      <c r="F176" s="10"/>
      <c r="G176" s="10"/>
      <c r="H176" s="10"/>
      <c r="I176" s="14">
        <f>IF(D176="","",IF(OR(D176="Ingreso",D176="Traslado entrante"),1,-1))</f>
      </c>
      <c r="J176" s="15">
        <f>IF(A176="","",YEAR(A176))</f>
      </c>
      <c r="K176" s="10"/>
      <c r="L176" s="10"/>
    </row>
    <row r="177" spans="1:12" x14ac:dyDescent="0.25">
      <c r="A177" s="16"/>
      <c r="B177" s="10"/>
      <c r="C177" s="13">
        <f>IF(B177="","",IFERROR(INDEX(Ejemplares!$B$5:$B$304,MATCH(B177,Ejemplares!$A$5:$A$304,0)),"Ejemplar no encontrado"))</f>
      </c>
      <c r="D177" s="10"/>
      <c r="E177" s="10"/>
      <c r="F177" s="10"/>
      <c r="G177" s="10"/>
      <c r="H177" s="10"/>
      <c r="I177" s="14">
        <f>IF(D177="","",IF(OR(D177="Ingreso",D177="Traslado entrante"),1,-1))</f>
      </c>
      <c r="J177" s="15">
        <f>IF(A177="","",YEAR(A177))</f>
      </c>
      <c r="K177" s="10"/>
      <c r="L177" s="10"/>
    </row>
    <row r="178" spans="1:12" x14ac:dyDescent="0.25">
      <c r="A178" s="16"/>
      <c r="B178" s="10"/>
      <c r="C178" s="13">
        <f>IF(B178="","",IFERROR(INDEX(Ejemplares!$B$5:$B$304,MATCH(B178,Ejemplares!$A$5:$A$304,0)),"Ejemplar no encontrado"))</f>
      </c>
      <c r="D178" s="10"/>
      <c r="E178" s="10"/>
      <c r="F178" s="10"/>
      <c r="G178" s="10"/>
      <c r="H178" s="10"/>
      <c r="I178" s="14">
        <f>IF(D178="","",IF(OR(D178="Ingreso",D178="Traslado entrante"),1,-1))</f>
      </c>
      <c r="J178" s="15">
        <f>IF(A178="","",YEAR(A178))</f>
      </c>
      <c r="K178" s="10"/>
      <c r="L178" s="10"/>
    </row>
    <row r="179" spans="1:12" x14ac:dyDescent="0.25">
      <c r="A179" s="16"/>
      <c r="B179" s="10"/>
      <c r="C179" s="13">
        <f>IF(B179="","",IFERROR(INDEX(Ejemplares!$B$5:$B$304,MATCH(B179,Ejemplares!$A$5:$A$304,0)),"Ejemplar no encontrado"))</f>
      </c>
      <c r="D179" s="10"/>
      <c r="E179" s="10"/>
      <c r="F179" s="10"/>
      <c r="G179" s="10"/>
      <c r="H179" s="10"/>
      <c r="I179" s="14">
        <f>IF(D179="","",IF(OR(D179="Ingreso",D179="Traslado entrante"),1,-1))</f>
      </c>
      <c r="J179" s="15">
        <f>IF(A179="","",YEAR(A179))</f>
      </c>
      <c r="K179" s="10"/>
      <c r="L179" s="10"/>
    </row>
    <row r="180" spans="1:12" x14ac:dyDescent="0.25">
      <c r="A180" s="16"/>
      <c r="B180" s="10"/>
      <c r="C180" s="13">
        <f>IF(B180="","",IFERROR(INDEX(Ejemplares!$B$5:$B$304,MATCH(B180,Ejemplares!$A$5:$A$304,0)),"Ejemplar no encontrado"))</f>
      </c>
      <c r="D180" s="10"/>
      <c r="E180" s="10"/>
      <c r="F180" s="10"/>
      <c r="G180" s="10"/>
      <c r="H180" s="10"/>
      <c r="I180" s="14">
        <f>IF(D180="","",IF(OR(D180="Ingreso",D180="Traslado entrante"),1,-1))</f>
      </c>
      <c r="J180" s="15">
        <f>IF(A180="","",YEAR(A180))</f>
      </c>
      <c r="K180" s="10"/>
      <c r="L180" s="10"/>
    </row>
    <row r="181" spans="1:12" x14ac:dyDescent="0.25">
      <c r="A181" s="16"/>
      <c r="B181" s="10"/>
      <c r="C181" s="13">
        <f>IF(B181="","",IFERROR(INDEX(Ejemplares!$B$5:$B$304,MATCH(B181,Ejemplares!$A$5:$A$304,0)),"Ejemplar no encontrado"))</f>
      </c>
      <c r="D181" s="10"/>
      <c r="E181" s="10"/>
      <c r="F181" s="10"/>
      <c r="G181" s="10"/>
      <c r="H181" s="10"/>
      <c r="I181" s="14">
        <f>IF(D181="","",IF(OR(D181="Ingreso",D181="Traslado entrante"),1,-1))</f>
      </c>
      <c r="J181" s="15">
        <f>IF(A181="","",YEAR(A181))</f>
      </c>
      <c r="K181" s="10"/>
      <c r="L181" s="10"/>
    </row>
    <row r="182" spans="1:12" x14ac:dyDescent="0.25">
      <c r="A182" s="16"/>
      <c r="B182" s="10"/>
      <c r="C182" s="13">
        <f>IF(B182="","",IFERROR(INDEX(Ejemplares!$B$5:$B$304,MATCH(B182,Ejemplares!$A$5:$A$304,0)),"Ejemplar no encontrado"))</f>
      </c>
      <c r="D182" s="10"/>
      <c r="E182" s="10"/>
      <c r="F182" s="10"/>
      <c r="G182" s="10"/>
      <c r="H182" s="10"/>
      <c r="I182" s="14">
        <f>IF(D182="","",IF(OR(D182="Ingreso",D182="Traslado entrante"),1,-1))</f>
      </c>
      <c r="J182" s="15">
        <f>IF(A182="","",YEAR(A182))</f>
      </c>
      <c r="K182" s="10"/>
      <c r="L182" s="10"/>
    </row>
    <row r="183" spans="1:12" x14ac:dyDescent="0.25">
      <c r="A183" s="16"/>
      <c r="B183" s="10"/>
      <c r="C183" s="13">
        <f>IF(B183="","",IFERROR(INDEX(Ejemplares!$B$5:$B$304,MATCH(B183,Ejemplares!$A$5:$A$304,0)),"Ejemplar no encontrado"))</f>
      </c>
      <c r="D183" s="10"/>
      <c r="E183" s="10"/>
      <c r="F183" s="10"/>
      <c r="G183" s="10"/>
      <c r="H183" s="10"/>
      <c r="I183" s="14">
        <f>IF(D183="","",IF(OR(D183="Ingreso",D183="Traslado entrante"),1,-1))</f>
      </c>
      <c r="J183" s="15">
        <f>IF(A183="","",YEAR(A183))</f>
      </c>
      <c r="K183" s="10"/>
      <c r="L183" s="10"/>
    </row>
    <row r="184" spans="1:12" x14ac:dyDescent="0.25">
      <c r="A184" s="16"/>
      <c r="B184" s="10"/>
      <c r="C184" s="13">
        <f>IF(B184="","",IFERROR(INDEX(Ejemplares!$B$5:$B$304,MATCH(B184,Ejemplares!$A$5:$A$304,0)),"Ejemplar no encontrado"))</f>
      </c>
      <c r="D184" s="10"/>
      <c r="E184" s="10"/>
      <c r="F184" s="10"/>
      <c r="G184" s="10"/>
      <c r="H184" s="10"/>
      <c r="I184" s="14">
        <f>IF(D184="","",IF(OR(D184="Ingreso",D184="Traslado entrante"),1,-1))</f>
      </c>
      <c r="J184" s="15">
        <f>IF(A184="","",YEAR(A184))</f>
      </c>
      <c r="K184" s="10"/>
      <c r="L184" s="10"/>
    </row>
    <row r="185" spans="1:12" x14ac:dyDescent="0.25">
      <c r="A185" s="16"/>
      <c r="B185" s="10"/>
      <c r="C185" s="13">
        <f>IF(B185="","",IFERROR(INDEX(Ejemplares!$B$5:$B$304,MATCH(B185,Ejemplares!$A$5:$A$304,0)),"Ejemplar no encontrado"))</f>
      </c>
      <c r="D185" s="10"/>
      <c r="E185" s="10"/>
      <c r="F185" s="10"/>
      <c r="G185" s="10"/>
      <c r="H185" s="10"/>
      <c r="I185" s="14">
        <f>IF(D185="","",IF(OR(D185="Ingreso",D185="Traslado entrante"),1,-1))</f>
      </c>
      <c r="J185" s="15">
        <f>IF(A185="","",YEAR(A185))</f>
      </c>
      <c r="K185" s="10"/>
      <c r="L185" s="10"/>
    </row>
    <row r="186" spans="1:12" x14ac:dyDescent="0.25">
      <c r="A186" s="16"/>
      <c r="B186" s="10"/>
      <c r="C186" s="13">
        <f>IF(B186="","",IFERROR(INDEX(Ejemplares!$B$5:$B$304,MATCH(B186,Ejemplares!$A$5:$A$304,0)),"Ejemplar no encontrado"))</f>
      </c>
      <c r="D186" s="10"/>
      <c r="E186" s="10"/>
      <c r="F186" s="10"/>
      <c r="G186" s="10"/>
      <c r="H186" s="10"/>
      <c r="I186" s="14">
        <f>IF(D186="","",IF(OR(D186="Ingreso",D186="Traslado entrante"),1,-1))</f>
      </c>
      <c r="J186" s="15">
        <f>IF(A186="","",YEAR(A186))</f>
      </c>
      <c r="K186" s="10"/>
      <c r="L186" s="10"/>
    </row>
    <row r="187" spans="1:12" x14ac:dyDescent="0.25">
      <c r="A187" s="16"/>
      <c r="B187" s="10"/>
      <c r="C187" s="13">
        <f>IF(B187="","",IFERROR(INDEX(Ejemplares!$B$5:$B$304,MATCH(B187,Ejemplares!$A$5:$A$304,0)),"Ejemplar no encontrado"))</f>
      </c>
      <c r="D187" s="10"/>
      <c r="E187" s="10"/>
      <c r="F187" s="10"/>
      <c r="G187" s="10"/>
      <c r="H187" s="10"/>
      <c r="I187" s="14">
        <f>IF(D187="","",IF(OR(D187="Ingreso",D187="Traslado entrante"),1,-1))</f>
      </c>
      <c r="J187" s="15">
        <f>IF(A187="","",YEAR(A187))</f>
      </c>
      <c r="K187" s="10"/>
      <c r="L187" s="10"/>
    </row>
    <row r="188" spans="1:12" x14ac:dyDescent="0.25">
      <c r="A188" s="16"/>
      <c r="B188" s="10"/>
      <c r="C188" s="13">
        <f>IF(B188="","",IFERROR(INDEX(Ejemplares!$B$5:$B$304,MATCH(B188,Ejemplares!$A$5:$A$304,0)),"Ejemplar no encontrado"))</f>
      </c>
      <c r="D188" s="10"/>
      <c r="E188" s="10"/>
      <c r="F188" s="10"/>
      <c r="G188" s="10"/>
      <c r="H188" s="10"/>
      <c r="I188" s="14">
        <f>IF(D188="","",IF(OR(D188="Ingreso",D188="Traslado entrante"),1,-1))</f>
      </c>
      <c r="J188" s="15">
        <f>IF(A188="","",YEAR(A188))</f>
      </c>
      <c r="K188" s="10"/>
      <c r="L188" s="10"/>
    </row>
    <row r="189" spans="1:12" x14ac:dyDescent="0.25">
      <c r="A189" s="16"/>
      <c r="B189" s="10"/>
      <c r="C189" s="13">
        <f>IF(B189="","",IFERROR(INDEX(Ejemplares!$B$5:$B$304,MATCH(B189,Ejemplares!$A$5:$A$304,0)),"Ejemplar no encontrado"))</f>
      </c>
      <c r="D189" s="10"/>
      <c r="E189" s="10"/>
      <c r="F189" s="10"/>
      <c r="G189" s="10"/>
      <c r="H189" s="10"/>
      <c r="I189" s="14">
        <f>IF(D189="","",IF(OR(D189="Ingreso",D189="Traslado entrante"),1,-1))</f>
      </c>
      <c r="J189" s="15">
        <f>IF(A189="","",YEAR(A189))</f>
      </c>
      <c r="K189" s="10"/>
      <c r="L189" s="10"/>
    </row>
    <row r="190" spans="1:12" x14ac:dyDescent="0.25">
      <c r="A190" s="16"/>
      <c r="B190" s="10"/>
      <c r="C190" s="13">
        <f>IF(B190="","",IFERROR(INDEX(Ejemplares!$B$5:$B$304,MATCH(B190,Ejemplares!$A$5:$A$304,0)),"Ejemplar no encontrado"))</f>
      </c>
      <c r="D190" s="10"/>
      <c r="E190" s="10"/>
      <c r="F190" s="10"/>
      <c r="G190" s="10"/>
      <c r="H190" s="10"/>
      <c r="I190" s="14">
        <f>IF(D190="","",IF(OR(D190="Ingreso",D190="Traslado entrante"),1,-1))</f>
      </c>
      <c r="J190" s="15">
        <f>IF(A190="","",YEAR(A190))</f>
      </c>
      <c r="K190" s="10"/>
      <c r="L190" s="10"/>
    </row>
    <row r="191" spans="1:12" x14ac:dyDescent="0.25">
      <c r="A191" s="16"/>
      <c r="B191" s="10"/>
      <c r="C191" s="13">
        <f>IF(B191="","",IFERROR(INDEX(Ejemplares!$B$5:$B$304,MATCH(B191,Ejemplares!$A$5:$A$304,0)),"Ejemplar no encontrado"))</f>
      </c>
      <c r="D191" s="10"/>
      <c r="E191" s="10"/>
      <c r="F191" s="10"/>
      <c r="G191" s="10"/>
      <c r="H191" s="10"/>
      <c r="I191" s="14">
        <f>IF(D191="","",IF(OR(D191="Ingreso",D191="Traslado entrante"),1,-1))</f>
      </c>
      <c r="J191" s="15">
        <f>IF(A191="","",YEAR(A191))</f>
      </c>
      <c r="K191" s="10"/>
      <c r="L191" s="10"/>
    </row>
    <row r="192" spans="1:12" x14ac:dyDescent="0.25">
      <c r="A192" s="16"/>
      <c r="B192" s="10"/>
      <c r="C192" s="13">
        <f>IF(B192="","",IFERROR(INDEX(Ejemplares!$B$5:$B$304,MATCH(B192,Ejemplares!$A$5:$A$304,0)),"Ejemplar no encontrado"))</f>
      </c>
      <c r="D192" s="10"/>
      <c r="E192" s="10"/>
      <c r="F192" s="10"/>
      <c r="G192" s="10"/>
      <c r="H192" s="10"/>
      <c r="I192" s="14">
        <f>IF(D192="","",IF(OR(D192="Ingreso",D192="Traslado entrante"),1,-1))</f>
      </c>
      <c r="J192" s="15">
        <f>IF(A192="","",YEAR(A192))</f>
      </c>
      <c r="K192" s="10"/>
      <c r="L192" s="10"/>
    </row>
    <row r="193" spans="1:12" x14ac:dyDescent="0.25">
      <c r="A193" s="16"/>
      <c r="B193" s="10"/>
      <c r="C193" s="13">
        <f>IF(B193="","",IFERROR(INDEX(Ejemplares!$B$5:$B$304,MATCH(B193,Ejemplares!$A$5:$A$304,0)),"Ejemplar no encontrado"))</f>
      </c>
      <c r="D193" s="10"/>
      <c r="E193" s="10"/>
      <c r="F193" s="10"/>
      <c r="G193" s="10"/>
      <c r="H193" s="10"/>
      <c r="I193" s="14">
        <f>IF(D193="","",IF(OR(D193="Ingreso",D193="Traslado entrante"),1,-1))</f>
      </c>
      <c r="J193" s="15">
        <f>IF(A193="","",YEAR(A193))</f>
      </c>
      <c r="K193" s="10"/>
      <c r="L193" s="10"/>
    </row>
    <row r="194" spans="1:12" x14ac:dyDescent="0.25">
      <c r="A194" s="16"/>
      <c r="B194" s="10"/>
      <c r="C194" s="13">
        <f>IF(B194="","",IFERROR(INDEX(Ejemplares!$B$5:$B$304,MATCH(B194,Ejemplares!$A$5:$A$304,0)),"Ejemplar no encontrado"))</f>
      </c>
      <c r="D194" s="10"/>
      <c r="E194" s="10"/>
      <c r="F194" s="10"/>
      <c r="G194" s="10"/>
      <c r="H194" s="10"/>
      <c r="I194" s="14">
        <f>IF(D194="","",IF(OR(D194="Ingreso",D194="Traslado entrante"),1,-1))</f>
      </c>
      <c r="J194" s="15">
        <f>IF(A194="","",YEAR(A194))</f>
      </c>
      <c r="K194" s="10"/>
      <c r="L194" s="10"/>
    </row>
    <row r="195" spans="1:12" x14ac:dyDescent="0.25">
      <c r="A195" s="16"/>
      <c r="B195" s="10"/>
      <c r="C195" s="13">
        <f>IF(B195="","",IFERROR(INDEX(Ejemplares!$B$5:$B$304,MATCH(B195,Ejemplares!$A$5:$A$304,0)),"Ejemplar no encontrado"))</f>
      </c>
      <c r="D195" s="10"/>
      <c r="E195" s="10"/>
      <c r="F195" s="10"/>
      <c r="G195" s="10"/>
      <c r="H195" s="10"/>
      <c r="I195" s="14">
        <f>IF(D195="","",IF(OR(D195="Ingreso",D195="Traslado entrante"),1,-1))</f>
      </c>
      <c r="J195" s="15">
        <f>IF(A195="","",YEAR(A195))</f>
      </c>
      <c r="K195" s="10"/>
      <c r="L195" s="10"/>
    </row>
    <row r="196" spans="1:12" x14ac:dyDescent="0.25">
      <c r="A196" s="16"/>
      <c r="B196" s="10"/>
      <c r="C196" s="13">
        <f>IF(B196="","",IFERROR(INDEX(Ejemplares!$B$5:$B$304,MATCH(B196,Ejemplares!$A$5:$A$304,0)),"Ejemplar no encontrado"))</f>
      </c>
      <c r="D196" s="10"/>
      <c r="E196" s="10"/>
      <c r="F196" s="10"/>
      <c r="G196" s="10"/>
      <c r="H196" s="10"/>
      <c r="I196" s="14">
        <f>IF(D196="","",IF(OR(D196="Ingreso",D196="Traslado entrante"),1,-1))</f>
      </c>
      <c r="J196" s="15">
        <f>IF(A196="","",YEAR(A196))</f>
      </c>
      <c r="K196" s="10"/>
      <c r="L196" s="10"/>
    </row>
    <row r="197" spans="1:12" x14ac:dyDescent="0.25">
      <c r="A197" s="16"/>
      <c r="B197" s="10"/>
      <c r="C197" s="13">
        <f>IF(B197="","",IFERROR(INDEX(Ejemplares!$B$5:$B$304,MATCH(B197,Ejemplares!$A$5:$A$304,0)),"Ejemplar no encontrado"))</f>
      </c>
      <c r="D197" s="10"/>
      <c r="E197" s="10"/>
      <c r="F197" s="10"/>
      <c r="G197" s="10"/>
      <c r="H197" s="10"/>
      <c r="I197" s="14">
        <f>IF(D197="","",IF(OR(D197="Ingreso",D197="Traslado entrante"),1,-1))</f>
      </c>
      <c r="J197" s="15">
        <f>IF(A197="","",YEAR(A197))</f>
      </c>
      <c r="K197" s="10"/>
      <c r="L197" s="10"/>
    </row>
    <row r="198" spans="1:12" x14ac:dyDescent="0.25">
      <c r="A198" s="16"/>
      <c r="B198" s="10"/>
      <c r="C198" s="13">
        <f>IF(B198="","",IFERROR(INDEX(Ejemplares!$B$5:$B$304,MATCH(B198,Ejemplares!$A$5:$A$304,0)),"Ejemplar no encontrado"))</f>
      </c>
      <c r="D198" s="10"/>
      <c r="E198" s="10"/>
      <c r="F198" s="10"/>
      <c r="G198" s="10"/>
      <c r="H198" s="10"/>
      <c r="I198" s="14">
        <f>IF(D198="","",IF(OR(D198="Ingreso",D198="Traslado entrante"),1,-1))</f>
      </c>
      <c r="J198" s="15">
        <f>IF(A198="","",YEAR(A198))</f>
      </c>
      <c r="K198" s="10"/>
      <c r="L198" s="10"/>
    </row>
    <row r="199" spans="1:12" x14ac:dyDescent="0.25">
      <c r="A199" s="16"/>
      <c r="B199" s="10"/>
      <c r="C199" s="13">
        <f>IF(B199="","",IFERROR(INDEX(Ejemplares!$B$5:$B$304,MATCH(B199,Ejemplares!$A$5:$A$304,0)),"Ejemplar no encontrado"))</f>
      </c>
      <c r="D199" s="10"/>
      <c r="E199" s="10"/>
      <c r="F199" s="10"/>
      <c r="G199" s="10"/>
      <c r="H199" s="10"/>
      <c r="I199" s="14">
        <f>IF(D199="","",IF(OR(D199="Ingreso",D199="Traslado entrante"),1,-1))</f>
      </c>
      <c r="J199" s="15">
        <f>IF(A199="","",YEAR(A199))</f>
      </c>
      <c r="K199" s="10"/>
      <c r="L199" s="10"/>
    </row>
    <row r="200" spans="1:12" x14ac:dyDescent="0.25">
      <c r="A200" s="16"/>
      <c r="B200" s="10"/>
      <c r="C200" s="13">
        <f>IF(B200="","",IFERROR(INDEX(Ejemplares!$B$5:$B$304,MATCH(B200,Ejemplares!$A$5:$A$304,0)),"Ejemplar no encontrado"))</f>
      </c>
      <c r="D200" s="10"/>
      <c r="E200" s="10"/>
      <c r="F200" s="10"/>
      <c r="G200" s="10"/>
      <c r="H200" s="10"/>
      <c r="I200" s="14">
        <f>IF(D200="","",IF(OR(D200="Ingreso",D200="Traslado entrante"),1,-1))</f>
      </c>
      <c r="J200" s="15">
        <f>IF(A200="","",YEAR(A200))</f>
      </c>
      <c r="K200" s="10"/>
      <c r="L200" s="10"/>
    </row>
    <row r="201" spans="1:12" x14ac:dyDescent="0.25">
      <c r="A201" s="16"/>
      <c r="B201" s="10"/>
      <c r="C201" s="13">
        <f>IF(B201="","",IFERROR(INDEX(Ejemplares!$B$5:$B$304,MATCH(B201,Ejemplares!$A$5:$A$304,0)),"Ejemplar no encontrado"))</f>
      </c>
      <c r="D201" s="10"/>
      <c r="E201" s="10"/>
      <c r="F201" s="10"/>
      <c r="G201" s="10"/>
      <c r="H201" s="10"/>
      <c r="I201" s="14">
        <f>IF(D201="","",IF(OR(D201="Ingreso",D201="Traslado entrante"),1,-1))</f>
      </c>
      <c r="J201" s="15">
        <f>IF(A201="","",YEAR(A201))</f>
      </c>
      <c r="K201" s="10"/>
      <c r="L201" s="10"/>
    </row>
    <row r="202" spans="1:12" x14ac:dyDescent="0.25">
      <c r="A202" s="16"/>
      <c r="B202" s="10"/>
      <c r="C202" s="13">
        <f>IF(B202="","",IFERROR(INDEX(Ejemplares!$B$5:$B$304,MATCH(B202,Ejemplares!$A$5:$A$304,0)),"Ejemplar no encontrado"))</f>
      </c>
      <c r="D202" s="10"/>
      <c r="E202" s="10"/>
      <c r="F202" s="10"/>
      <c r="G202" s="10"/>
      <c r="H202" s="10"/>
      <c r="I202" s="14">
        <f>IF(D202="","",IF(OR(D202="Ingreso",D202="Traslado entrante"),1,-1))</f>
      </c>
      <c r="J202" s="15">
        <f>IF(A202="","",YEAR(A202))</f>
      </c>
      <c r="K202" s="10"/>
      <c r="L202" s="10"/>
    </row>
    <row r="203" spans="1:12" x14ac:dyDescent="0.25">
      <c r="A203" s="16"/>
      <c r="B203" s="10"/>
      <c r="C203" s="13">
        <f>IF(B203="","",IFERROR(INDEX(Ejemplares!$B$5:$B$304,MATCH(B203,Ejemplares!$A$5:$A$304,0)),"Ejemplar no encontrado"))</f>
      </c>
      <c r="D203" s="10"/>
      <c r="E203" s="10"/>
      <c r="F203" s="10"/>
      <c r="G203" s="10"/>
      <c r="H203" s="10"/>
      <c r="I203" s="14">
        <f>IF(D203="","",IF(OR(D203="Ingreso",D203="Traslado entrante"),1,-1))</f>
      </c>
      <c r="J203" s="15">
        <f>IF(A203="","",YEAR(A203))</f>
      </c>
      <c r="K203" s="10"/>
      <c r="L203" s="10"/>
    </row>
    <row r="204" spans="1:12" x14ac:dyDescent="0.25">
      <c r="A204" s="16"/>
      <c r="B204" s="10"/>
      <c r="C204" s="13">
        <f>IF(B204="","",IFERROR(INDEX(Ejemplares!$B$5:$B$304,MATCH(B204,Ejemplares!$A$5:$A$304,0)),"Ejemplar no encontrado"))</f>
      </c>
      <c r="D204" s="10"/>
      <c r="E204" s="10"/>
      <c r="F204" s="10"/>
      <c r="G204" s="10"/>
      <c r="H204" s="10"/>
      <c r="I204" s="14">
        <f>IF(D204="","",IF(OR(D204="Ingreso",D204="Traslado entrante"),1,-1))</f>
      </c>
      <c r="J204" s="15">
        <f>IF(A204="","",YEAR(A204))</f>
      </c>
      <c r="K204" s="10"/>
      <c r="L204" s="10"/>
    </row>
    <row r="205" spans="1:12" x14ac:dyDescent="0.25">
      <c r="A205" s="16"/>
      <c r="B205" s="10"/>
      <c r="C205" s="13">
        <f>IF(B205="","",IFERROR(INDEX(Ejemplares!$B$5:$B$304,MATCH(B205,Ejemplares!$A$5:$A$304,0)),"Ejemplar no encontrado"))</f>
      </c>
      <c r="D205" s="10"/>
      <c r="E205" s="10"/>
      <c r="F205" s="10"/>
      <c r="G205" s="10"/>
      <c r="H205" s="10"/>
      <c r="I205" s="14">
        <f>IF(D205="","",IF(OR(D205="Ingreso",D205="Traslado entrante"),1,-1))</f>
      </c>
      <c r="J205" s="15">
        <f>IF(A205="","",YEAR(A205))</f>
      </c>
      <c r="K205" s="10"/>
      <c r="L205" s="10"/>
    </row>
    <row r="206" spans="1:12" x14ac:dyDescent="0.25">
      <c r="A206" s="16"/>
      <c r="B206" s="10"/>
      <c r="C206" s="13">
        <f>IF(B206="","",IFERROR(INDEX(Ejemplares!$B$5:$B$304,MATCH(B206,Ejemplares!$A$5:$A$304,0)),"Ejemplar no encontrado"))</f>
      </c>
      <c r="D206" s="10"/>
      <c r="E206" s="10"/>
      <c r="F206" s="10"/>
      <c r="G206" s="10"/>
      <c r="H206" s="10"/>
      <c r="I206" s="14">
        <f>IF(D206="","",IF(OR(D206="Ingreso",D206="Traslado entrante"),1,-1))</f>
      </c>
      <c r="J206" s="15">
        <f>IF(A206="","",YEAR(A206))</f>
      </c>
      <c r="K206" s="10"/>
      <c r="L206" s="10"/>
    </row>
    <row r="207" spans="1:12" x14ac:dyDescent="0.25">
      <c r="A207" s="16"/>
      <c r="B207" s="10"/>
      <c r="C207" s="13">
        <f>IF(B207="","",IFERROR(INDEX(Ejemplares!$B$5:$B$304,MATCH(B207,Ejemplares!$A$5:$A$304,0)),"Ejemplar no encontrado"))</f>
      </c>
      <c r="D207" s="10"/>
      <c r="E207" s="10"/>
      <c r="F207" s="10"/>
      <c r="G207" s="10"/>
      <c r="H207" s="10"/>
      <c r="I207" s="14">
        <f>IF(D207="","",IF(OR(D207="Ingreso",D207="Traslado entrante"),1,-1))</f>
      </c>
      <c r="J207" s="15">
        <f>IF(A207="","",YEAR(A207))</f>
      </c>
      <c r="K207" s="10"/>
      <c r="L207" s="10"/>
    </row>
    <row r="208" spans="1:12" x14ac:dyDescent="0.25">
      <c r="A208" s="16"/>
      <c r="B208" s="10"/>
      <c r="C208" s="13">
        <f>IF(B208="","",IFERROR(INDEX(Ejemplares!$B$5:$B$304,MATCH(B208,Ejemplares!$A$5:$A$304,0)),"Ejemplar no encontrado"))</f>
      </c>
      <c r="D208" s="10"/>
      <c r="E208" s="10"/>
      <c r="F208" s="10"/>
      <c r="G208" s="10"/>
      <c r="H208" s="10"/>
      <c r="I208" s="14">
        <f>IF(D208="","",IF(OR(D208="Ingreso",D208="Traslado entrante"),1,-1))</f>
      </c>
      <c r="J208" s="15">
        <f>IF(A208="","",YEAR(A208))</f>
      </c>
      <c r="K208" s="10"/>
      <c r="L208" s="10"/>
    </row>
    <row r="209" spans="1:12" x14ac:dyDescent="0.25">
      <c r="A209" s="16"/>
      <c r="B209" s="10"/>
      <c r="C209" s="13">
        <f>IF(B209="","",IFERROR(INDEX(Ejemplares!$B$5:$B$304,MATCH(B209,Ejemplares!$A$5:$A$304,0)),"Ejemplar no encontrado"))</f>
      </c>
      <c r="D209" s="10"/>
      <c r="E209" s="10"/>
      <c r="F209" s="10"/>
      <c r="G209" s="10"/>
      <c r="H209" s="10"/>
      <c r="I209" s="14">
        <f>IF(D209="","",IF(OR(D209="Ingreso",D209="Traslado entrante"),1,-1))</f>
      </c>
      <c r="J209" s="15">
        <f>IF(A209="","",YEAR(A209))</f>
      </c>
      <c r="K209" s="10"/>
      <c r="L209" s="10"/>
    </row>
    <row r="210" spans="1:12" x14ac:dyDescent="0.25">
      <c r="A210" s="16"/>
      <c r="B210" s="10"/>
      <c r="C210" s="13">
        <f>IF(B210="","",IFERROR(INDEX(Ejemplares!$B$5:$B$304,MATCH(B210,Ejemplares!$A$5:$A$304,0)),"Ejemplar no encontrado"))</f>
      </c>
      <c r="D210" s="10"/>
      <c r="E210" s="10"/>
      <c r="F210" s="10"/>
      <c r="G210" s="10"/>
      <c r="H210" s="10"/>
      <c r="I210" s="14">
        <f>IF(D210="","",IF(OR(D210="Ingreso",D210="Traslado entrante"),1,-1))</f>
      </c>
      <c r="J210" s="15">
        <f>IF(A210="","",YEAR(A210))</f>
      </c>
      <c r="K210" s="10"/>
      <c r="L210" s="10"/>
    </row>
    <row r="211" spans="1:12" x14ac:dyDescent="0.25">
      <c r="A211" s="16"/>
      <c r="B211" s="10"/>
      <c r="C211" s="13">
        <f>IF(B211="","",IFERROR(INDEX(Ejemplares!$B$5:$B$304,MATCH(B211,Ejemplares!$A$5:$A$304,0)),"Ejemplar no encontrado"))</f>
      </c>
      <c r="D211" s="10"/>
      <c r="E211" s="10"/>
      <c r="F211" s="10"/>
      <c r="G211" s="10"/>
      <c r="H211" s="10"/>
      <c r="I211" s="14">
        <f>IF(D211="","",IF(OR(D211="Ingreso",D211="Traslado entrante"),1,-1))</f>
      </c>
      <c r="J211" s="15">
        <f>IF(A211="","",YEAR(A211))</f>
      </c>
      <c r="K211" s="10"/>
      <c r="L211" s="10"/>
    </row>
    <row r="212" spans="1:12" x14ac:dyDescent="0.25">
      <c r="A212" s="16"/>
      <c r="B212" s="10"/>
      <c r="C212" s="13">
        <f>IF(B212="","",IFERROR(INDEX(Ejemplares!$B$5:$B$304,MATCH(B212,Ejemplares!$A$5:$A$304,0)),"Ejemplar no encontrado"))</f>
      </c>
      <c r="D212" s="10"/>
      <c r="E212" s="10"/>
      <c r="F212" s="10"/>
      <c r="G212" s="10"/>
      <c r="H212" s="10"/>
      <c r="I212" s="14">
        <f>IF(D212="","",IF(OR(D212="Ingreso",D212="Traslado entrante"),1,-1))</f>
      </c>
      <c r="J212" s="15">
        <f>IF(A212="","",YEAR(A212))</f>
      </c>
      <c r="K212" s="10"/>
      <c r="L212" s="10"/>
    </row>
    <row r="213" spans="1:12" x14ac:dyDescent="0.25">
      <c r="A213" s="16"/>
      <c r="B213" s="10"/>
      <c r="C213" s="13">
        <f>IF(B213="","",IFERROR(INDEX(Ejemplares!$B$5:$B$304,MATCH(B213,Ejemplares!$A$5:$A$304,0)),"Ejemplar no encontrado"))</f>
      </c>
      <c r="D213" s="10"/>
      <c r="E213" s="10"/>
      <c r="F213" s="10"/>
      <c r="G213" s="10"/>
      <c r="H213" s="10"/>
      <c r="I213" s="14">
        <f>IF(D213="","",IF(OR(D213="Ingreso",D213="Traslado entrante"),1,-1))</f>
      </c>
      <c r="J213" s="15">
        <f>IF(A213="","",YEAR(A213))</f>
      </c>
      <c r="K213" s="10"/>
      <c r="L213" s="10"/>
    </row>
    <row r="214" spans="1:12" x14ac:dyDescent="0.25">
      <c r="A214" s="16"/>
      <c r="B214" s="10"/>
      <c r="C214" s="13">
        <f>IF(B214="","",IFERROR(INDEX(Ejemplares!$B$5:$B$304,MATCH(B214,Ejemplares!$A$5:$A$304,0)),"Ejemplar no encontrado"))</f>
      </c>
      <c r="D214" s="10"/>
      <c r="E214" s="10"/>
      <c r="F214" s="10"/>
      <c r="G214" s="10"/>
      <c r="H214" s="10"/>
      <c r="I214" s="14">
        <f>IF(D214="","",IF(OR(D214="Ingreso",D214="Traslado entrante"),1,-1))</f>
      </c>
      <c r="J214" s="15">
        <f>IF(A214="","",YEAR(A214))</f>
      </c>
      <c r="K214" s="10"/>
      <c r="L214" s="10"/>
    </row>
    <row r="215" spans="1:12" x14ac:dyDescent="0.25">
      <c r="A215" s="16"/>
      <c r="B215" s="10"/>
      <c r="C215" s="13">
        <f>IF(B215="","",IFERROR(INDEX(Ejemplares!$B$5:$B$304,MATCH(B215,Ejemplares!$A$5:$A$304,0)),"Ejemplar no encontrado"))</f>
      </c>
      <c r="D215" s="10"/>
      <c r="E215" s="10"/>
      <c r="F215" s="10"/>
      <c r="G215" s="10"/>
      <c r="H215" s="10"/>
      <c r="I215" s="14">
        <f>IF(D215="","",IF(OR(D215="Ingreso",D215="Traslado entrante"),1,-1))</f>
      </c>
      <c r="J215" s="15">
        <f>IF(A215="","",YEAR(A215))</f>
      </c>
      <c r="K215" s="10"/>
      <c r="L215" s="10"/>
    </row>
    <row r="216" spans="1:12" x14ac:dyDescent="0.25">
      <c r="A216" s="16"/>
      <c r="B216" s="10"/>
      <c r="C216" s="13">
        <f>IF(B216="","",IFERROR(INDEX(Ejemplares!$B$5:$B$304,MATCH(B216,Ejemplares!$A$5:$A$304,0)),"Ejemplar no encontrado"))</f>
      </c>
      <c r="D216" s="10"/>
      <c r="E216" s="10"/>
      <c r="F216" s="10"/>
      <c r="G216" s="10"/>
      <c r="H216" s="10"/>
      <c r="I216" s="14">
        <f>IF(D216="","",IF(OR(D216="Ingreso",D216="Traslado entrante"),1,-1))</f>
      </c>
      <c r="J216" s="15">
        <f>IF(A216="","",YEAR(A216))</f>
      </c>
      <c r="K216" s="10"/>
      <c r="L216" s="10"/>
    </row>
    <row r="217" spans="1:12" x14ac:dyDescent="0.25">
      <c r="A217" s="16"/>
      <c r="B217" s="10"/>
      <c r="C217" s="13">
        <f>IF(B217="","",IFERROR(INDEX(Ejemplares!$B$5:$B$304,MATCH(B217,Ejemplares!$A$5:$A$304,0)),"Ejemplar no encontrado"))</f>
      </c>
      <c r="D217" s="10"/>
      <c r="E217" s="10"/>
      <c r="F217" s="10"/>
      <c r="G217" s="10"/>
      <c r="H217" s="10"/>
      <c r="I217" s="14">
        <f>IF(D217="","",IF(OR(D217="Ingreso",D217="Traslado entrante"),1,-1))</f>
      </c>
      <c r="J217" s="15">
        <f>IF(A217="","",YEAR(A217))</f>
      </c>
      <c r="K217" s="10"/>
      <c r="L217" s="10"/>
    </row>
    <row r="218" spans="1:12" x14ac:dyDescent="0.25">
      <c r="A218" s="16"/>
      <c r="B218" s="10"/>
      <c r="C218" s="13">
        <f>IF(B218="","",IFERROR(INDEX(Ejemplares!$B$5:$B$304,MATCH(B218,Ejemplares!$A$5:$A$304,0)),"Ejemplar no encontrado"))</f>
      </c>
      <c r="D218" s="10"/>
      <c r="E218" s="10"/>
      <c r="F218" s="10"/>
      <c r="G218" s="10"/>
      <c r="H218" s="10"/>
      <c r="I218" s="14">
        <f>IF(D218="","",IF(OR(D218="Ingreso",D218="Traslado entrante"),1,-1))</f>
      </c>
      <c r="J218" s="15">
        <f>IF(A218="","",YEAR(A218))</f>
      </c>
      <c r="K218" s="10"/>
      <c r="L218" s="10"/>
    </row>
    <row r="219" spans="1:12" x14ac:dyDescent="0.25">
      <c r="A219" s="16"/>
      <c r="B219" s="10"/>
      <c r="C219" s="13">
        <f>IF(B219="","",IFERROR(INDEX(Ejemplares!$B$5:$B$304,MATCH(B219,Ejemplares!$A$5:$A$304,0)),"Ejemplar no encontrado"))</f>
      </c>
      <c r="D219" s="10"/>
      <c r="E219" s="10"/>
      <c r="F219" s="10"/>
      <c r="G219" s="10"/>
      <c r="H219" s="10"/>
      <c r="I219" s="14">
        <f>IF(D219="","",IF(OR(D219="Ingreso",D219="Traslado entrante"),1,-1))</f>
      </c>
      <c r="J219" s="15">
        <f>IF(A219="","",YEAR(A219))</f>
      </c>
      <c r="K219" s="10"/>
      <c r="L219" s="10"/>
    </row>
    <row r="220" spans="1:12" x14ac:dyDescent="0.25">
      <c r="A220" s="16"/>
      <c r="B220" s="10"/>
      <c r="C220" s="13">
        <f>IF(B220="","",IFERROR(INDEX(Ejemplares!$B$5:$B$304,MATCH(B220,Ejemplares!$A$5:$A$304,0)),"Ejemplar no encontrado"))</f>
      </c>
      <c r="D220" s="10"/>
      <c r="E220" s="10"/>
      <c r="F220" s="10"/>
      <c r="G220" s="10"/>
      <c r="H220" s="10"/>
      <c r="I220" s="14">
        <f>IF(D220="","",IF(OR(D220="Ingreso",D220="Traslado entrante"),1,-1))</f>
      </c>
      <c r="J220" s="15">
        <f>IF(A220="","",YEAR(A220))</f>
      </c>
      <c r="K220" s="10"/>
      <c r="L220" s="10"/>
    </row>
    <row r="221" spans="1:12" x14ac:dyDescent="0.25">
      <c r="A221" s="16"/>
      <c r="B221" s="10"/>
      <c r="C221" s="13">
        <f>IF(B221="","",IFERROR(INDEX(Ejemplares!$B$5:$B$304,MATCH(B221,Ejemplares!$A$5:$A$304,0)),"Ejemplar no encontrado"))</f>
      </c>
      <c r="D221" s="10"/>
      <c r="E221" s="10"/>
      <c r="F221" s="10"/>
      <c r="G221" s="10"/>
      <c r="H221" s="10"/>
      <c r="I221" s="14">
        <f>IF(D221="","",IF(OR(D221="Ingreso",D221="Traslado entrante"),1,-1))</f>
      </c>
      <c r="J221" s="15">
        <f>IF(A221="","",YEAR(A221))</f>
      </c>
      <c r="K221" s="10"/>
      <c r="L221" s="10"/>
    </row>
    <row r="222" spans="1:12" x14ac:dyDescent="0.25">
      <c r="A222" s="16"/>
      <c r="B222" s="10"/>
      <c r="C222" s="13">
        <f>IF(B222="","",IFERROR(INDEX(Ejemplares!$B$5:$B$304,MATCH(B222,Ejemplares!$A$5:$A$304,0)),"Ejemplar no encontrado"))</f>
      </c>
      <c r="D222" s="10"/>
      <c r="E222" s="10"/>
      <c r="F222" s="10"/>
      <c r="G222" s="10"/>
      <c r="H222" s="10"/>
      <c r="I222" s="14">
        <f>IF(D222="","",IF(OR(D222="Ingreso",D222="Traslado entrante"),1,-1))</f>
      </c>
      <c r="J222" s="15">
        <f>IF(A222="","",YEAR(A222))</f>
      </c>
      <c r="K222" s="10"/>
      <c r="L222" s="10"/>
    </row>
    <row r="223" spans="1:12" x14ac:dyDescent="0.25">
      <c r="A223" s="16"/>
      <c r="B223" s="10"/>
      <c r="C223" s="13">
        <f>IF(B223="","",IFERROR(INDEX(Ejemplares!$B$5:$B$304,MATCH(B223,Ejemplares!$A$5:$A$304,0)),"Ejemplar no encontrado"))</f>
      </c>
      <c r="D223" s="10"/>
      <c r="E223" s="10"/>
      <c r="F223" s="10"/>
      <c r="G223" s="10"/>
      <c r="H223" s="10"/>
      <c r="I223" s="14">
        <f>IF(D223="","",IF(OR(D223="Ingreso",D223="Traslado entrante"),1,-1))</f>
      </c>
      <c r="J223" s="15">
        <f>IF(A223="","",YEAR(A223))</f>
      </c>
      <c r="K223" s="10"/>
      <c r="L223" s="10"/>
    </row>
    <row r="224" spans="1:12" x14ac:dyDescent="0.25">
      <c r="A224" s="16"/>
      <c r="B224" s="10"/>
      <c r="C224" s="13">
        <f>IF(B224="","",IFERROR(INDEX(Ejemplares!$B$5:$B$304,MATCH(B224,Ejemplares!$A$5:$A$304,0)),"Ejemplar no encontrado"))</f>
      </c>
      <c r="D224" s="10"/>
      <c r="E224" s="10"/>
      <c r="F224" s="10"/>
      <c r="G224" s="10"/>
      <c r="H224" s="10"/>
      <c r="I224" s="14">
        <f>IF(D224="","",IF(OR(D224="Ingreso",D224="Traslado entrante"),1,-1))</f>
      </c>
      <c r="J224" s="15">
        <f>IF(A224="","",YEAR(A224))</f>
      </c>
      <c r="K224" s="10"/>
      <c r="L224" s="10"/>
    </row>
    <row r="225" spans="1:12" x14ac:dyDescent="0.25">
      <c r="A225" s="16"/>
      <c r="B225" s="10"/>
      <c r="C225" s="13">
        <f>IF(B225="","",IFERROR(INDEX(Ejemplares!$B$5:$B$304,MATCH(B225,Ejemplares!$A$5:$A$304,0)),"Ejemplar no encontrado"))</f>
      </c>
      <c r="D225" s="10"/>
      <c r="E225" s="10"/>
      <c r="F225" s="10"/>
      <c r="G225" s="10"/>
      <c r="H225" s="10"/>
      <c r="I225" s="14">
        <f>IF(D225="","",IF(OR(D225="Ingreso",D225="Traslado entrante"),1,-1))</f>
      </c>
      <c r="J225" s="15">
        <f>IF(A225="","",YEAR(A225))</f>
      </c>
      <c r="K225" s="10"/>
      <c r="L225" s="10"/>
    </row>
    <row r="226" spans="1:12" x14ac:dyDescent="0.25">
      <c r="A226" s="16"/>
      <c r="B226" s="10"/>
      <c r="C226" s="13">
        <f>IF(B226="","",IFERROR(INDEX(Ejemplares!$B$5:$B$304,MATCH(B226,Ejemplares!$A$5:$A$304,0)),"Ejemplar no encontrado"))</f>
      </c>
      <c r="D226" s="10"/>
      <c r="E226" s="10"/>
      <c r="F226" s="10"/>
      <c r="G226" s="10"/>
      <c r="H226" s="10"/>
      <c r="I226" s="14">
        <f>IF(D226="","",IF(OR(D226="Ingreso",D226="Traslado entrante"),1,-1))</f>
      </c>
      <c r="J226" s="15">
        <f>IF(A226="","",YEAR(A226))</f>
      </c>
      <c r="K226" s="10"/>
      <c r="L226" s="10"/>
    </row>
    <row r="227" spans="1:12" x14ac:dyDescent="0.25">
      <c r="A227" s="16"/>
      <c r="B227" s="10"/>
      <c r="C227" s="13">
        <f>IF(B227="","",IFERROR(INDEX(Ejemplares!$B$5:$B$304,MATCH(B227,Ejemplares!$A$5:$A$304,0)),"Ejemplar no encontrado"))</f>
      </c>
      <c r="D227" s="10"/>
      <c r="E227" s="10"/>
      <c r="F227" s="10"/>
      <c r="G227" s="10"/>
      <c r="H227" s="10"/>
      <c r="I227" s="14">
        <f>IF(D227="","",IF(OR(D227="Ingreso",D227="Traslado entrante"),1,-1))</f>
      </c>
      <c r="J227" s="15">
        <f>IF(A227="","",YEAR(A227))</f>
      </c>
      <c r="K227" s="10"/>
      <c r="L227" s="10"/>
    </row>
    <row r="228" spans="1:12" x14ac:dyDescent="0.25">
      <c r="A228" s="16"/>
      <c r="B228" s="10"/>
      <c r="C228" s="13">
        <f>IF(B228="","",IFERROR(INDEX(Ejemplares!$B$5:$B$304,MATCH(B228,Ejemplares!$A$5:$A$304,0)),"Ejemplar no encontrado"))</f>
      </c>
      <c r="D228" s="10"/>
      <c r="E228" s="10"/>
      <c r="F228" s="10"/>
      <c r="G228" s="10"/>
      <c r="H228" s="10"/>
      <c r="I228" s="14">
        <f>IF(D228="","",IF(OR(D228="Ingreso",D228="Traslado entrante"),1,-1))</f>
      </c>
      <c r="J228" s="15">
        <f>IF(A228="","",YEAR(A228))</f>
      </c>
      <c r="K228" s="10"/>
      <c r="L228" s="10"/>
    </row>
    <row r="229" spans="1:12" x14ac:dyDescent="0.25">
      <c r="A229" s="16"/>
      <c r="B229" s="10"/>
      <c r="C229" s="13">
        <f>IF(B229="","",IFERROR(INDEX(Ejemplares!$B$5:$B$304,MATCH(B229,Ejemplares!$A$5:$A$304,0)),"Ejemplar no encontrado"))</f>
      </c>
      <c r="D229" s="10"/>
      <c r="E229" s="10"/>
      <c r="F229" s="10"/>
      <c r="G229" s="10"/>
      <c r="H229" s="10"/>
      <c r="I229" s="14">
        <f>IF(D229="","",IF(OR(D229="Ingreso",D229="Traslado entrante"),1,-1))</f>
      </c>
      <c r="J229" s="15">
        <f>IF(A229="","",YEAR(A229))</f>
      </c>
      <c r="K229" s="10"/>
      <c r="L229" s="10"/>
    </row>
    <row r="230" spans="1:12" x14ac:dyDescent="0.25">
      <c r="A230" s="16"/>
      <c r="B230" s="10"/>
      <c r="C230" s="13">
        <f>IF(B230="","",IFERROR(INDEX(Ejemplares!$B$5:$B$304,MATCH(B230,Ejemplares!$A$5:$A$304,0)),"Ejemplar no encontrado"))</f>
      </c>
      <c r="D230" s="10"/>
      <c r="E230" s="10"/>
      <c r="F230" s="10"/>
      <c r="G230" s="10"/>
      <c r="H230" s="10"/>
      <c r="I230" s="14">
        <f>IF(D230="","",IF(OR(D230="Ingreso",D230="Traslado entrante"),1,-1))</f>
      </c>
      <c r="J230" s="15">
        <f>IF(A230="","",YEAR(A230))</f>
      </c>
      <c r="K230" s="10"/>
      <c r="L230" s="10"/>
    </row>
    <row r="231" spans="1:12" x14ac:dyDescent="0.25">
      <c r="A231" s="16"/>
      <c r="B231" s="10"/>
      <c r="C231" s="13">
        <f>IF(B231="","",IFERROR(INDEX(Ejemplares!$B$5:$B$304,MATCH(B231,Ejemplares!$A$5:$A$304,0)),"Ejemplar no encontrado"))</f>
      </c>
      <c r="D231" s="10"/>
      <c r="E231" s="10"/>
      <c r="F231" s="10"/>
      <c r="G231" s="10"/>
      <c r="H231" s="10"/>
      <c r="I231" s="14">
        <f>IF(D231="","",IF(OR(D231="Ingreso",D231="Traslado entrante"),1,-1))</f>
      </c>
      <c r="J231" s="15">
        <f>IF(A231="","",YEAR(A231))</f>
      </c>
      <c r="K231" s="10"/>
      <c r="L231" s="10"/>
    </row>
    <row r="232" spans="1:12" x14ac:dyDescent="0.25">
      <c r="A232" s="16"/>
      <c r="B232" s="10"/>
      <c r="C232" s="13">
        <f>IF(B232="","",IFERROR(INDEX(Ejemplares!$B$5:$B$304,MATCH(B232,Ejemplares!$A$5:$A$304,0)),"Ejemplar no encontrado"))</f>
      </c>
      <c r="D232" s="10"/>
      <c r="E232" s="10"/>
      <c r="F232" s="10"/>
      <c r="G232" s="10"/>
      <c r="H232" s="10"/>
      <c r="I232" s="14">
        <f>IF(D232="","",IF(OR(D232="Ingreso",D232="Traslado entrante"),1,-1))</f>
      </c>
      <c r="J232" s="15">
        <f>IF(A232="","",YEAR(A232))</f>
      </c>
      <c r="K232" s="10"/>
      <c r="L232" s="10"/>
    </row>
    <row r="233" spans="1:12" x14ac:dyDescent="0.25">
      <c r="A233" s="16"/>
      <c r="B233" s="10"/>
      <c r="C233" s="13">
        <f>IF(B233="","",IFERROR(INDEX(Ejemplares!$B$5:$B$304,MATCH(B233,Ejemplares!$A$5:$A$304,0)),"Ejemplar no encontrado"))</f>
      </c>
      <c r="D233" s="10"/>
      <c r="E233" s="10"/>
      <c r="F233" s="10"/>
      <c r="G233" s="10"/>
      <c r="H233" s="10"/>
      <c r="I233" s="14">
        <f>IF(D233="","",IF(OR(D233="Ingreso",D233="Traslado entrante"),1,-1))</f>
      </c>
      <c r="J233" s="15">
        <f>IF(A233="","",YEAR(A233))</f>
      </c>
      <c r="K233" s="10"/>
      <c r="L233" s="10"/>
    </row>
    <row r="234" spans="1:12" x14ac:dyDescent="0.25">
      <c r="A234" s="16"/>
      <c r="B234" s="10"/>
      <c r="C234" s="13">
        <f>IF(B234="","",IFERROR(INDEX(Ejemplares!$B$5:$B$304,MATCH(B234,Ejemplares!$A$5:$A$304,0)),"Ejemplar no encontrado"))</f>
      </c>
      <c r="D234" s="10"/>
      <c r="E234" s="10"/>
      <c r="F234" s="10"/>
      <c r="G234" s="10"/>
      <c r="H234" s="10"/>
      <c r="I234" s="14">
        <f>IF(D234="","",IF(OR(D234="Ingreso",D234="Traslado entrante"),1,-1))</f>
      </c>
      <c r="J234" s="15">
        <f>IF(A234="","",YEAR(A234))</f>
      </c>
      <c r="K234" s="10"/>
      <c r="L234" s="10"/>
    </row>
    <row r="235" spans="1:12" x14ac:dyDescent="0.25">
      <c r="A235" s="16"/>
      <c r="B235" s="10"/>
      <c r="C235" s="13">
        <f>IF(B235="","",IFERROR(INDEX(Ejemplares!$B$5:$B$304,MATCH(B235,Ejemplares!$A$5:$A$304,0)),"Ejemplar no encontrado"))</f>
      </c>
      <c r="D235" s="10"/>
      <c r="E235" s="10"/>
      <c r="F235" s="10"/>
      <c r="G235" s="10"/>
      <c r="H235" s="10"/>
      <c r="I235" s="14">
        <f>IF(D235="","",IF(OR(D235="Ingreso",D235="Traslado entrante"),1,-1))</f>
      </c>
      <c r="J235" s="15">
        <f>IF(A235="","",YEAR(A235))</f>
      </c>
      <c r="K235" s="10"/>
      <c r="L235" s="10"/>
    </row>
    <row r="236" spans="1:12" x14ac:dyDescent="0.25">
      <c r="A236" s="16"/>
      <c r="B236" s="10"/>
      <c r="C236" s="13">
        <f>IF(B236="","",IFERROR(INDEX(Ejemplares!$B$5:$B$304,MATCH(B236,Ejemplares!$A$5:$A$304,0)),"Ejemplar no encontrado"))</f>
      </c>
      <c r="D236" s="10"/>
      <c r="E236" s="10"/>
      <c r="F236" s="10"/>
      <c r="G236" s="10"/>
      <c r="H236" s="10"/>
      <c r="I236" s="14">
        <f>IF(D236="","",IF(OR(D236="Ingreso",D236="Traslado entrante"),1,-1))</f>
      </c>
      <c r="J236" s="15">
        <f>IF(A236="","",YEAR(A236))</f>
      </c>
      <c r="K236" s="10"/>
      <c r="L236" s="10"/>
    </row>
    <row r="237" spans="1:12" x14ac:dyDescent="0.25">
      <c r="A237" s="16"/>
      <c r="B237" s="10"/>
      <c r="C237" s="13">
        <f>IF(B237="","",IFERROR(INDEX(Ejemplares!$B$5:$B$304,MATCH(B237,Ejemplares!$A$5:$A$304,0)),"Ejemplar no encontrado"))</f>
      </c>
      <c r="D237" s="10"/>
      <c r="E237" s="10"/>
      <c r="F237" s="10"/>
      <c r="G237" s="10"/>
      <c r="H237" s="10"/>
      <c r="I237" s="14">
        <f>IF(D237="","",IF(OR(D237="Ingreso",D237="Traslado entrante"),1,-1))</f>
      </c>
      <c r="J237" s="15">
        <f>IF(A237="","",YEAR(A237))</f>
      </c>
      <c r="K237" s="10"/>
      <c r="L237" s="10"/>
    </row>
    <row r="238" spans="1:12" x14ac:dyDescent="0.25">
      <c r="A238" s="16"/>
      <c r="B238" s="10"/>
      <c r="C238" s="13">
        <f>IF(B238="","",IFERROR(INDEX(Ejemplares!$B$5:$B$304,MATCH(B238,Ejemplares!$A$5:$A$304,0)),"Ejemplar no encontrado"))</f>
      </c>
      <c r="D238" s="10"/>
      <c r="E238" s="10"/>
      <c r="F238" s="10"/>
      <c r="G238" s="10"/>
      <c r="H238" s="10"/>
      <c r="I238" s="14">
        <f>IF(D238="","",IF(OR(D238="Ingreso",D238="Traslado entrante"),1,-1))</f>
      </c>
      <c r="J238" s="15">
        <f>IF(A238="","",YEAR(A238))</f>
      </c>
      <c r="K238" s="10"/>
      <c r="L238" s="10"/>
    </row>
    <row r="239" spans="1:12" x14ac:dyDescent="0.25">
      <c r="A239" s="16"/>
      <c r="B239" s="10"/>
      <c r="C239" s="13">
        <f>IF(B239="","",IFERROR(INDEX(Ejemplares!$B$5:$B$304,MATCH(B239,Ejemplares!$A$5:$A$304,0)),"Ejemplar no encontrado"))</f>
      </c>
      <c r="D239" s="10"/>
      <c r="E239" s="10"/>
      <c r="F239" s="10"/>
      <c r="G239" s="10"/>
      <c r="H239" s="10"/>
      <c r="I239" s="14">
        <f>IF(D239="","",IF(OR(D239="Ingreso",D239="Traslado entrante"),1,-1))</f>
      </c>
      <c r="J239" s="15">
        <f>IF(A239="","",YEAR(A239))</f>
      </c>
      <c r="K239" s="10"/>
      <c r="L239" s="10"/>
    </row>
    <row r="240" spans="1:12" x14ac:dyDescent="0.25">
      <c r="A240" s="16"/>
      <c r="B240" s="10"/>
      <c r="C240" s="13">
        <f>IF(B240="","",IFERROR(INDEX(Ejemplares!$B$5:$B$304,MATCH(B240,Ejemplares!$A$5:$A$304,0)),"Ejemplar no encontrado"))</f>
      </c>
      <c r="D240" s="10"/>
      <c r="E240" s="10"/>
      <c r="F240" s="10"/>
      <c r="G240" s="10"/>
      <c r="H240" s="10"/>
      <c r="I240" s="14">
        <f>IF(D240="","",IF(OR(D240="Ingreso",D240="Traslado entrante"),1,-1))</f>
      </c>
      <c r="J240" s="15">
        <f>IF(A240="","",YEAR(A240))</f>
      </c>
      <c r="K240" s="10"/>
      <c r="L240" s="10"/>
    </row>
    <row r="241" spans="1:12" x14ac:dyDescent="0.25">
      <c r="A241" s="16"/>
      <c r="B241" s="10"/>
      <c r="C241" s="13">
        <f>IF(B241="","",IFERROR(INDEX(Ejemplares!$B$5:$B$304,MATCH(B241,Ejemplares!$A$5:$A$304,0)),"Ejemplar no encontrado"))</f>
      </c>
      <c r="D241" s="10"/>
      <c r="E241" s="10"/>
      <c r="F241" s="10"/>
      <c r="G241" s="10"/>
      <c r="H241" s="10"/>
      <c r="I241" s="14">
        <f>IF(D241="","",IF(OR(D241="Ingreso",D241="Traslado entrante"),1,-1))</f>
      </c>
      <c r="J241" s="15">
        <f>IF(A241="","",YEAR(A241))</f>
      </c>
      <c r="K241" s="10"/>
      <c r="L241" s="10"/>
    </row>
    <row r="242" spans="1:12" x14ac:dyDescent="0.25">
      <c r="A242" s="16"/>
      <c r="B242" s="10"/>
      <c r="C242" s="13">
        <f>IF(B242="","",IFERROR(INDEX(Ejemplares!$B$5:$B$304,MATCH(B242,Ejemplares!$A$5:$A$304,0)),"Ejemplar no encontrado"))</f>
      </c>
      <c r="D242" s="10"/>
      <c r="E242" s="10"/>
      <c r="F242" s="10"/>
      <c r="G242" s="10"/>
      <c r="H242" s="10"/>
      <c r="I242" s="14">
        <f>IF(D242="","",IF(OR(D242="Ingreso",D242="Traslado entrante"),1,-1))</f>
      </c>
      <c r="J242" s="15">
        <f>IF(A242="","",YEAR(A242))</f>
      </c>
      <c r="K242" s="10"/>
      <c r="L242" s="10"/>
    </row>
    <row r="243" spans="1:12" x14ac:dyDescent="0.25">
      <c r="A243" s="16"/>
      <c r="B243" s="10"/>
      <c r="C243" s="13">
        <f>IF(B243="","",IFERROR(INDEX(Ejemplares!$B$5:$B$304,MATCH(B243,Ejemplares!$A$5:$A$304,0)),"Ejemplar no encontrado"))</f>
      </c>
      <c r="D243" s="10"/>
      <c r="E243" s="10"/>
      <c r="F243" s="10"/>
      <c r="G243" s="10"/>
      <c r="H243" s="10"/>
      <c r="I243" s="14">
        <f>IF(D243="","",IF(OR(D243="Ingreso",D243="Traslado entrante"),1,-1))</f>
      </c>
      <c r="J243" s="15">
        <f>IF(A243="","",YEAR(A243))</f>
      </c>
      <c r="K243" s="10"/>
      <c r="L243" s="10"/>
    </row>
    <row r="244" spans="1:12" x14ac:dyDescent="0.25">
      <c r="A244" s="16"/>
      <c r="B244" s="10"/>
      <c r="C244" s="13">
        <f>IF(B244="","",IFERROR(INDEX(Ejemplares!$B$5:$B$304,MATCH(B244,Ejemplares!$A$5:$A$304,0)),"Ejemplar no encontrado"))</f>
      </c>
      <c r="D244" s="10"/>
      <c r="E244" s="10"/>
      <c r="F244" s="10"/>
      <c r="G244" s="10"/>
      <c r="H244" s="10"/>
      <c r="I244" s="14">
        <f>IF(D244="","",IF(OR(D244="Ingreso",D244="Traslado entrante"),1,-1))</f>
      </c>
      <c r="J244" s="15">
        <f>IF(A244="","",YEAR(A244))</f>
      </c>
      <c r="K244" s="10"/>
      <c r="L244" s="10"/>
    </row>
    <row r="245" spans="1:12" x14ac:dyDescent="0.25">
      <c r="A245" s="16"/>
      <c r="B245" s="10"/>
      <c r="C245" s="13">
        <f>IF(B245="","",IFERROR(INDEX(Ejemplares!$B$5:$B$304,MATCH(B245,Ejemplares!$A$5:$A$304,0)),"Ejemplar no encontrado"))</f>
      </c>
      <c r="D245" s="10"/>
      <c r="E245" s="10"/>
      <c r="F245" s="10"/>
      <c r="G245" s="10"/>
      <c r="H245" s="10"/>
      <c r="I245" s="14">
        <f>IF(D245="","",IF(OR(D245="Ingreso",D245="Traslado entrante"),1,-1))</f>
      </c>
      <c r="J245" s="15">
        <f>IF(A245="","",YEAR(A245))</f>
      </c>
      <c r="K245" s="10"/>
      <c r="L245" s="10"/>
    </row>
    <row r="246" spans="1:12" x14ac:dyDescent="0.25">
      <c r="A246" s="16"/>
      <c r="B246" s="10"/>
      <c r="C246" s="13">
        <f>IF(B246="","",IFERROR(INDEX(Ejemplares!$B$5:$B$304,MATCH(B246,Ejemplares!$A$5:$A$304,0)),"Ejemplar no encontrado"))</f>
      </c>
      <c r="D246" s="10"/>
      <c r="E246" s="10"/>
      <c r="F246" s="10"/>
      <c r="G246" s="10"/>
      <c r="H246" s="10"/>
      <c r="I246" s="14">
        <f>IF(D246="","",IF(OR(D246="Ingreso",D246="Traslado entrante"),1,-1))</f>
      </c>
      <c r="J246" s="15">
        <f>IF(A246="","",YEAR(A246))</f>
      </c>
      <c r="K246" s="10"/>
      <c r="L246" s="10"/>
    </row>
    <row r="247" spans="1:12" x14ac:dyDescent="0.25">
      <c r="A247" s="16"/>
      <c r="B247" s="10"/>
      <c r="C247" s="13">
        <f>IF(B247="","",IFERROR(INDEX(Ejemplares!$B$5:$B$304,MATCH(B247,Ejemplares!$A$5:$A$304,0)),"Ejemplar no encontrado"))</f>
      </c>
      <c r="D247" s="10"/>
      <c r="E247" s="10"/>
      <c r="F247" s="10"/>
      <c r="G247" s="10"/>
      <c r="H247" s="10"/>
      <c r="I247" s="14">
        <f>IF(D247="","",IF(OR(D247="Ingreso",D247="Traslado entrante"),1,-1))</f>
      </c>
      <c r="J247" s="15">
        <f>IF(A247="","",YEAR(A247))</f>
      </c>
      <c r="K247" s="10"/>
      <c r="L247" s="10"/>
    </row>
    <row r="248" spans="1:12" x14ac:dyDescent="0.25">
      <c r="A248" s="16"/>
      <c r="B248" s="10"/>
      <c r="C248" s="13">
        <f>IF(B248="","",IFERROR(INDEX(Ejemplares!$B$5:$B$304,MATCH(B248,Ejemplares!$A$5:$A$304,0)),"Ejemplar no encontrado"))</f>
      </c>
      <c r="D248" s="10"/>
      <c r="E248" s="10"/>
      <c r="F248" s="10"/>
      <c r="G248" s="10"/>
      <c r="H248" s="10"/>
      <c r="I248" s="14">
        <f>IF(D248="","",IF(OR(D248="Ingreso",D248="Traslado entrante"),1,-1))</f>
      </c>
      <c r="J248" s="15">
        <f>IF(A248="","",YEAR(A248))</f>
      </c>
      <c r="K248" s="10"/>
      <c r="L248" s="10"/>
    </row>
    <row r="249" spans="1:12" x14ac:dyDescent="0.25">
      <c r="A249" s="16"/>
      <c r="B249" s="10"/>
      <c r="C249" s="13">
        <f>IF(B249="","",IFERROR(INDEX(Ejemplares!$B$5:$B$304,MATCH(B249,Ejemplares!$A$5:$A$304,0)),"Ejemplar no encontrado"))</f>
      </c>
      <c r="D249" s="10"/>
      <c r="E249" s="10"/>
      <c r="F249" s="10"/>
      <c r="G249" s="10"/>
      <c r="H249" s="10"/>
      <c r="I249" s="14">
        <f>IF(D249="","",IF(OR(D249="Ingreso",D249="Traslado entrante"),1,-1))</f>
      </c>
      <c r="J249" s="15">
        <f>IF(A249="","",YEAR(A249))</f>
      </c>
      <c r="K249" s="10"/>
      <c r="L249" s="10"/>
    </row>
    <row r="250" spans="1:12" x14ac:dyDescent="0.25">
      <c r="A250" s="16"/>
      <c r="B250" s="10"/>
      <c r="C250" s="13">
        <f>IF(B250="","",IFERROR(INDEX(Ejemplares!$B$5:$B$304,MATCH(B250,Ejemplares!$A$5:$A$304,0)),"Ejemplar no encontrado"))</f>
      </c>
      <c r="D250" s="10"/>
      <c r="E250" s="10"/>
      <c r="F250" s="10"/>
      <c r="G250" s="10"/>
      <c r="H250" s="10"/>
      <c r="I250" s="14">
        <f>IF(D250="","",IF(OR(D250="Ingreso",D250="Traslado entrante"),1,-1))</f>
      </c>
      <c r="J250" s="15">
        <f>IF(A250="","",YEAR(A250))</f>
      </c>
      <c r="K250" s="10"/>
      <c r="L250" s="10"/>
    </row>
    <row r="251" spans="1:12" x14ac:dyDescent="0.25">
      <c r="A251" s="16"/>
      <c r="B251" s="10"/>
      <c r="C251" s="13">
        <f>IF(B251="","",IFERROR(INDEX(Ejemplares!$B$5:$B$304,MATCH(B251,Ejemplares!$A$5:$A$304,0)),"Ejemplar no encontrado"))</f>
      </c>
      <c r="D251" s="10"/>
      <c r="E251" s="10"/>
      <c r="F251" s="10"/>
      <c r="G251" s="10"/>
      <c r="H251" s="10"/>
      <c r="I251" s="14">
        <f>IF(D251="","",IF(OR(D251="Ingreso",D251="Traslado entrante"),1,-1))</f>
      </c>
      <c r="J251" s="15">
        <f>IF(A251="","",YEAR(A251))</f>
      </c>
      <c r="K251" s="10"/>
      <c r="L251" s="10"/>
    </row>
    <row r="252" spans="1:12" x14ac:dyDescent="0.25">
      <c r="A252" s="16"/>
      <c r="B252" s="10"/>
      <c r="C252" s="13">
        <f>IF(B252="","",IFERROR(INDEX(Ejemplares!$B$5:$B$304,MATCH(B252,Ejemplares!$A$5:$A$304,0)),"Ejemplar no encontrado"))</f>
      </c>
      <c r="D252" s="10"/>
      <c r="E252" s="10"/>
      <c r="F252" s="10"/>
      <c r="G252" s="10"/>
      <c r="H252" s="10"/>
      <c r="I252" s="14">
        <f>IF(D252="","",IF(OR(D252="Ingreso",D252="Traslado entrante"),1,-1))</f>
      </c>
      <c r="J252" s="15">
        <f>IF(A252="","",YEAR(A252))</f>
      </c>
      <c r="K252" s="10"/>
      <c r="L252" s="10"/>
    </row>
    <row r="253" spans="1:12" x14ac:dyDescent="0.25">
      <c r="A253" s="16"/>
      <c r="B253" s="10"/>
      <c r="C253" s="13">
        <f>IF(B253="","",IFERROR(INDEX(Ejemplares!$B$5:$B$304,MATCH(B253,Ejemplares!$A$5:$A$304,0)),"Ejemplar no encontrado"))</f>
      </c>
      <c r="D253" s="10"/>
      <c r="E253" s="10"/>
      <c r="F253" s="10"/>
      <c r="G253" s="10"/>
      <c r="H253" s="10"/>
      <c r="I253" s="14">
        <f>IF(D253="","",IF(OR(D253="Ingreso",D253="Traslado entrante"),1,-1))</f>
      </c>
      <c r="J253" s="15">
        <f>IF(A253="","",YEAR(A253))</f>
      </c>
      <c r="K253" s="10"/>
      <c r="L253" s="10"/>
    </row>
    <row r="254" spans="1:12" x14ac:dyDescent="0.25">
      <c r="A254" s="16"/>
      <c r="B254" s="10"/>
      <c r="C254" s="13">
        <f>IF(B254="","",IFERROR(INDEX(Ejemplares!$B$5:$B$304,MATCH(B254,Ejemplares!$A$5:$A$304,0)),"Ejemplar no encontrado"))</f>
      </c>
      <c r="D254" s="10"/>
      <c r="E254" s="10"/>
      <c r="F254" s="10"/>
      <c r="G254" s="10"/>
      <c r="H254" s="10"/>
      <c r="I254" s="14">
        <f>IF(D254="","",IF(OR(D254="Ingreso",D254="Traslado entrante"),1,-1))</f>
      </c>
      <c r="J254" s="15">
        <f>IF(A254="","",YEAR(A254))</f>
      </c>
      <c r="K254" s="10"/>
      <c r="L254" s="10"/>
    </row>
    <row r="255" spans="1:12" x14ac:dyDescent="0.25">
      <c r="A255" s="16"/>
      <c r="B255" s="10"/>
      <c r="C255" s="13">
        <f>IF(B255="","",IFERROR(INDEX(Ejemplares!$B$5:$B$304,MATCH(B255,Ejemplares!$A$5:$A$304,0)),"Ejemplar no encontrado"))</f>
      </c>
      <c r="D255" s="10"/>
      <c r="E255" s="10"/>
      <c r="F255" s="10"/>
      <c r="G255" s="10"/>
      <c r="H255" s="10"/>
      <c r="I255" s="14">
        <f>IF(D255="","",IF(OR(D255="Ingreso",D255="Traslado entrante"),1,-1))</f>
      </c>
      <c r="J255" s="15">
        <f>IF(A255="","",YEAR(A255))</f>
      </c>
      <c r="K255" s="10"/>
      <c r="L255" s="10"/>
    </row>
    <row r="256" spans="1:12" x14ac:dyDescent="0.25">
      <c r="A256" s="16"/>
      <c r="B256" s="10"/>
      <c r="C256" s="13">
        <f>IF(B256="","",IFERROR(INDEX(Ejemplares!$B$5:$B$304,MATCH(B256,Ejemplares!$A$5:$A$304,0)),"Ejemplar no encontrado"))</f>
      </c>
      <c r="D256" s="10"/>
      <c r="E256" s="10"/>
      <c r="F256" s="10"/>
      <c r="G256" s="10"/>
      <c r="H256" s="10"/>
      <c r="I256" s="14">
        <f>IF(D256="","",IF(OR(D256="Ingreso",D256="Traslado entrante"),1,-1))</f>
      </c>
      <c r="J256" s="15">
        <f>IF(A256="","",YEAR(A256))</f>
      </c>
      <c r="K256" s="10"/>
      <c r="L256" s="10"/>
    </row>
    <row r="257" spans="1:12" x14ac:dyDescent="0.25">
      <c r="A257" s="16"/>
      <c r="B257" s="10"/>
      <c r="C257" s="13">
        <f>IF(B257="","",IFERROR(INDEX(Ejemplares!$B$5:$B$304,MATCH(B257,Ejemplares!$A$5:$A$304,0)),"Ejemplar no encontrado"))</f>
      </c>
      <c r="D257" s="10"/>
      <c r="E257" s="10"/>
      <c r="F257" s="10"/>
      <c r="G257" s="10"/>
      <c r="H257" s="10"/>
      <c r="I257" s="14">
        <f>IF(D257="","",IF(OR(D257="Ingreso",D257="Traslado entrante"),1,-1))</f>
      </c>
      <c r="J257" s="15">
        <f>IF(A257="","",YEAR(A257))</f>
      </c>
      <c r="K257" s="10"/>
      <c r="L257" s="10"/>
    </row>
    <row r="258" spans="1:12" x14ac:dyDescent="0.25">
      <c r="A258" s="16"/>
      <c r="B258" s="10"/>
      <c r="C258" s="13">
        <f>IF(B258="","",IFERROR(INDEX(Ejemplares!$B$5:$B$304,MATCH(B258,Ejemplares!$A$5:$A$304,0)),"Ejemplar no encontrado"))</f>
      </c>
      <c r="D258" s="10"/>
      <c r="E258" s="10"/>
      <c r="F258" s="10"/>
      <c r="G258" s="10"/>
      <c r="H258" s="10"/>
      <c r="I258" s="14">
        <f>IF(D258="","",IF(OR(D258="Ingreso",D258="Traslado entrante"),1,-1))</f>
      </c>
      <c r="J258" s="15">
        <f>IF(A258="","",YEAR(A258))</f>
      </c>
      <c r="K258" s="10"/>
      <c r="L258" s="10"/>
    </row>
    <row r="259" spans="1:12" x14ac:dyDescent="0.25">
      <c r="A259" s="16"/>
      <c r="B259" s="10"/>
      <c r="C259" s="13">
        <f>IF(B259="","",IFERROR(INDEX(Ejemplares!$B$5:$B$304,MATCH(B259,Ejemplares!$A$5:$A$304,0)),"Ejemplar no encontrado"))</f>
      </c>
      <c r="D259" s="10"/>
      <c r="E259" s="10"/>
      <c r="F259" s="10"/>
      <c r="G259" s="10"/>
      <c r="H259" s="10"/>
      <c r="I259" s="14">
        <f>IF(D259="","",IF(OR(D259="Ingreso",D259="Traslado entrante"),1,-1))</f>
      </c>
      <c r="J259" s="15">
        <f>IF(A259="","",YEAR(A259))</f>
      </c>
      <c r="K259" s="10"/>
      <c r="L259" s="10"/>
    </row>
    <row r="260" spans="1:12" x14ac:dyDescent="0.25">
      <c r="A260" s="16"/>
      <c r="B260" s="10"/>
      <c r="C260" s="13">
        <f>IF(B260="","",IFERROR(INDEX(Ejemplares!$B$5:$B$304,MATCH(B260,Ejemplares!$A$5:$A$304,0)),"Ejemplar no encontrado"))</f>
      </c>
      <c r="D260" s="10"/>
      <c r="E260" s="10"/>
      <c r="F260" s="10"/>
      <c r="G260" s="10"/>
      <c r="H260" s="10"/>
      <c r="I260" s="14">
        <f>IF(D260="","",IF(OR(D260="Ingreso",D260="Traslado entrante"),1,-1))</f>
      </c>
      <c r="J260" s="15">
        <f>IF(A260="","",YEAR(A260))</f>
      </c>
      <c r="K260" s="10"/>
      <c r="L260" s="10"/>
    </row>
    <row r="261" spans="1:12" x14ac:dyDescent="0.25">
      <c r="A261" s="16"/>
      <c r="B261" s="10"/>
      <c r="C261" s="13">
        <f>IF(B261="","",IFERROR(INDEX(Ejemplares!$B$5:$B$304,MATCH(B261,Ejemplares!$A$5:$A$304,0)),"Ejemplar no encontrado"))</f>
      </c>
      <c r="D261" s="10"/>
      <c r="E261" s="10"/>
      <c r="F261" s="10"/>
      <c r="G261" s="10"/>
      <c r="H261" s="10"/>
      <c r="I261" s="14">
        <f>IF(D261="","",IF(OR(D261="Ingreso",D261="Traslado entrante"),1,-1))</f>
      </c>
      <c r="J261" s="15">
        <f>IF(A261="","",YEAR(A261))</f>
      </c>
      <c r="K261" s="10"/>
      <c r="L261" s="10"/>
    </row>
    <row r="262" spans="1:12" x14ac:dyDescent="0.25">
      <c r="A262" s="16"/>
      <c r="B262" s="10"/>
      <c r="C262" s="13">
        <f>IF(B262="","",IFERROR(INDEX(Ejemplares!$B$5:$B$304,MATCH(B262,Ejemplares!$A$5:$A$304,0)),"Ejemplar no encontrado"))</f>
      </c>
      <c r="D262" s="10"/>
      <c r="E262" s="10"/>
      <c r="F262" s="10"/>
      <c r="G262" s="10"/>
      <c r="H262" s="10"/>
      <c r="I262" s="14">
        <f>IF(D262="","",IF(OR(D262="Ingreso",D262="Traslado entrante"),1,-1))</f>
      </c>
      <c r="J262" s="15">
        <f>IF(A262="","",YEAR(A262))</f>
      </c>
      <c r="K262" s="10"/>
      <c r="L262" s="10"/>
    </row>
    <row r="263" spans="1:12" x14ac:dyDescent="0.25">
      <c r="A263" s="16"/>
      <c r="B263" s="10"/>
      <c r="C263" s="13">
        <f>IF(B263="","",IFERROR(INDEX(Ejemplares!$B$5:$B$304,MATCH(B263,Ejemplares!$A$5:$A$304,0)),"Ejemplar no encontrado"))</f>
      </c>
      <c r="D263" s="10"/>
      <c r="E263" s="10"/>
      <c r="F263" s="10"/>
      <c r="G263" s="10"/>
      <c r="H263" s="10"/>
      <c r="I263" s="14">
        <f>IF(D263="","",IF(OR(D263="Ingreso",D263="Traslado entrante"),1,-1))</f>
      </c>
      <c r="J263" s="15">
        <f>IF(A263="","",YEAR(A263))</f>
      </c>
      <c r="K263" s="10"/>
      <c r="L263" s="10"/>
    </row>
    <row r="264" spans="1:12" x14ac:dyDescent="0.25">
      <c r="A264" s="16"/>
      <c r="B264" s="10"/>
      <c r="C264" s="13">
        <f>IF(B264="","",IFERROR(INDEX(Ejemplares!$B$5:$B$304,MATCH(B264,Ejemplares!$A$5:$A$304,0)),"Ejemplar no encontrado"))</f>
      </c>
      <c r="D264" s="10"/>
      <c r="E264" s="10"/>
      <c r="F264" s="10"/>
      <c r="G264" s="10"/>
      <c r="H264" s="10"/>
      <c r="I264" s="14">
        <f>IF(D264="","",IF(OR(D264="Ingreso",D264="Traslado entrante"),1,-1))</f>
      </c>
      <c r="J264" s="15">
        <f>IF(A264="","",YEAR(A264))</f>
      </c>
      <c r="K264" s="10"/>
      <c r="L264" s="10"/>
    </row>
    <row r="265" spans="1:12" x14ac:dyDescent="0.25">
      <c r="A265" s="16"/>
      <c r="B265" s="10"/>
      <c r="C265" s="13">
        <f>IF(B265="","",IFERROR(INDEX(Ejemplares!$B$5:$B$304,MATCH(B265,Ejemplares!$A$5:$A$304,0)),"Ejemplar no encontrado"))</f>
      </c>
      <c r="D265" s="10"/>
      <c r="E265" s="10"/>
      <c r="F265" s="10"/>
      <c r="G265" s="10"/>
      <c r="H265" s="10"/>
      <c r="I265" s="14">
        <f>IF(D265="","",IF(OR(D265="Ingreso",D265="Traslado entrante"),1,-1))</f>
      </c>
      <c r="J265" s="15">
        <f>IF(A265="","",YEAR(A265))</f>
      </c>
      <c r="K265" s="10"/>
      <c r="L265" s="10"/>
    </row>
    <row r="266" spans="1:12" x14ac:dyDescent="0.25">
      <c r="A266" s="16"/>
      <c r="B266" s="10"/>
      <c r="C266" s="13">
        <f>IF(B266="","",IFERROR(INDEX(Ejemplares!$B$5:$B$304,MATCH(B266,Ejemplares!$A$5:$A$304,0)),"Ejemplar no encontrado"))</f>
      </c>
      <c r="D266" s="10"/>
      <c r="E266" s="10"/>
      <c r="F266" s="10"/>
      <c r="G266" s="10"/>
      <c r="H266" s="10"/>
      <c r="I266" s="14">
        <f>IF(D266="","",IF(OR(D266="Ingreso",D266="Traslado entrante"),1,-1))</f>
      </c>
      <c r="J266" s="15">
        <f>IF(A266="","",YEAR(A266))</f>
      </c>
      <c r="K266" s="10"/>
      <c r="L266" s="10"/>
    </row>
    <row r="267" spans="1:12" x14ac:dyDescent="0.25">
      <c r="A267" s="16"/>
      <c r="B267" s="10"/>
      <c r="C267" s="13">
        <f>IF(B267="","",IFERROR(INDEX(Ejemplares!$B$5:$B$304,MATCH(B267,Ejemplares!$A$5:$A$304,0)),"Ejemplar no encontrado"))</f>
      </c>
      <c r="D267" s="10"/>
      <c r="E267" s="10"/>
      <c r="F267" s="10"/>
      <c r="G267" s="10"/>
      <c r="H267" s="10"/>
      <c r="I267" s="14">
        <f>IF(D267="","",IF(OR(D267="Ingreso",D267="Traslado entrante"),1,-1))</f>
      </c>
      <c r="J267" s="15">
        <f>IF(A267="","",YEAR(A267))</f>
      </c>
      <c r="K267" s="10"/>
      <c r="L267" s="10"/>
    </row>
    <row r="268" spans="1:12" x14ac:dyDescent="0.25">
      <c r="A268" s="16"/>
      <c r="B268" s="10"/>
      <c r="C268" s="13">
        <f>IF(B268="","",IFERROR(INDEX(Ejemplares!$B$5:$B$304,MATCH(B268,Ejemplares!$A$5:$A$304,0)),"Ejemplar no encontrado"))</f>
      </c>
      <c r="D268" s="10"/>
      <c r="E268" s="10"/>
      <c r="F268" s="10"/>
      <c r="G268" s="10"/>
      <c r="H268" s="10"/>
      <c r="I268" s="14">
        <f>IF(D268="","",IF(OR(D268="Ingreso",D268="Traslado entrante"),1,-1))</f>
      </c>
      <c r="J268" s="15">
        <f>IF(A268="","",YEAR(A268))</f>
      </c>
      <c r="K268" s="10"/>
      <c r="L268" s="10"/>
    </row>
    <row r="269" spans="1:12" x14ac:dyDescent="0.25">
      <c r="A269" s="16"/>
      <c r="B269" s="10"/>
      <c r="C269" s="13">
        <f>IF(B269="","",IFERROR(INDEX(Ejemplares!$B$5:$B$304,MATCH(B269,Ejemplares!$A$5:$A$304,0)),"Ejemplar no encontrado"))</f>
      </c>
      <c r="D269" s="10"/>
      <c r="E269" s="10"/>
      <c r="F269" s="10"/>
      <c r="G269" s="10"/>
      <c r="H269" s="10"/>
      <c r="I269" s="14">
        <f>IF(D269="","",IF(OR(D269="Ingreso",D269="Traslado entrante"),1,-1))</f>
      </c>
      <c r="J269" s="15">
        <f>IF(A269="","",YEAR(A269))</f>
      </c>
      <c r="K269" s="10"/>
      <c r="L269" s="10"/>
    </row>
    <row r="270" spans="1:12" x14ac:dyDescent="0.25">
      <c r="A270" s="16"/>
      <c r="B270" s="10"/>
      <c r="C270" s="13">
        <f>IF(B270="","",IFERROR(INDEX(Ejemplares!$B$5:$B$304,MATCH(B270,Ejemplares!$A$5:$A$304,0)),"Ejemplar no encontrado"))</f>
      </c>
      <c r="D270" s="10"/>
      <c r="E270" s="10"/>
      <c r="F270" s="10"/>
      <c r="G270" s="10"/>
      <c r="H270" s="10"/>
      <c r="I270" s="14">
        <f>IF(D270="","",IF(OR(D270="Ingreso",D270="Traslado entrante"),1,-1))</f>
      </c>
      <c r="J270" s="15">
        <f>IF(A270="","",YEAR(A270))</f>
      </c>
      <c r="K270" s="10"/>
      <c r="L270" s="10"/>
    </row>
    <row r="271" spans="1:12" x14ac:dyDescent="0.25">
      <c r="A271" s="16"/>
      <c r="B271" s="10"/>
      <c r="C271" s="13">
        <f>IF(B271="","",IFERROR(INDEX(Ejemplares!$B$5:$B$304,MATCH(B271,Ejemplares!$A$5:$A$304,0)),"Ejemplar no encontrado"))</f>
      </c>
      <c r="D271" s="10"/>
      <c r="E271" s="10"/>
      <c r="F271" s="10"/>
      <c r="G271" s="10"/>
      <c r="H271" s="10"/>
      <c r="I271" s="14">
        <f>IF(D271="","",IF(OR(D271="Ingreso",D271="Traslado entrante"),1,-1))</f>
      </c>
      <c r="J271" s="15">
        <f>IF(A271="","",YEAR(A271))</f>
      </c>
      <c r="K271" s="10"/>
      <c r="L271" s="10"/>
    </row>
    <row r="272" spans="1:12" x14ac:dyDescent="0.25">
      <c r="A272" s="16"/>
      <c r="B272" s="10"/>
      <c r="C272" s="13">
        <f>IF(B272="","",IFERROR(INDEX(Ejemplares!$B$5:$B$304,MATCH(B272,Ejemplares!$A$5:$A$304,0)),"Ejemplar no encontrado"))</f>
      </c>
      <c r="D272" s="10"/>
      <c r="E272" s="10"/>
      <c r="F272" s="10"/>
      <c r="G272" s="10"/>
      <c r="H272" s="10"/>
      <c r="I272" s="14">
        <f>IF(D272="","",IF(OR(D272="Ingreso",D272="Traslado entrante"),1,-1))</f>
      </c>
      <c r="J272" s="15">
        <f>IF(A272="","",YEAR(A272))</f>
      </c>
      <c r="K272" s="10"/>
      <c r="L272" s="10"/>
    </row>
    <row r="273" spans="1:12" x14ac:dyDescent="0.25">
      <c r="A273" s="16"/>
      <c r="B273" s="10"/>
      <c r="C273" s="13">
        <f>IF(B273="","",IFERROR(INDEX(Ejemplares!$B$5:$B$304,MATCH(B273,Ejemplares!$A$5:$A$304,0)),"Ejemplar no encontrado"))</f>
      </c>
      <c r="D273" s="10"/>
      <c r="E273" s="10"/>
      <c r="F273" s="10"/>
      <c r="G273" s="10"/>
      <c r="H273" s="10"/>
      <c r="I273" s="14">
        <f>IF(D273="","",IF(OR(D273="Ingreso",D273="Traslado entrante"),1,-1))</f>
      </c>
      <c r="J273" s="15">
        <f>IF(A273="","",YEAR(A273))</f>
      </c>
      <c r="K273" s="10"/>
      <c r="L273" s="10"/>
    </row>
    <row r="274" spans="1:12" x14ac:dyDescent="0.25">
      <c r="A274" s="16"/>
      <c r="B274" s="10"/>
      <c r="C274" s="13">
        <f>IF(B274="","",IFERROR(INDEX(Ejemplares!$B$5:$B$304,MATCH(B274,Ejemplares!$A$5:$A$304,0)),"Ejemplar no encontrado"))</f>
      </c>
      <c r="D274" s="10"/>
      <c r="E274" s="10"/>
      <c r="F274" s="10"/>
      <c r="G274" s="10"/>
      <c r="H274" s="10"/>
      <c r="I274" s="14">
        <f>IF(D274="","",IF(OR(D274="Ingreso",D274="Traslado entrante"),1,-1))</f>
      </c>
      <c r="J274" s="15">
        <f>IF(A274="","",YEAR(A274))</f>
      </c>
      <c r="K274" s="10"/>
      <c r="L274" s="10"/>
    </row>
    <row r="275" spans="1:12" x14ac:dyDescent="0.25">
      <c r="A275" s="16"/>
      <c r="B275" s="10"/>
      <c r="C275" s="13">
        <f>IF(B275="","",IFERROR(INDEX(Ejemplares!$B$5:$B$304,MATCH(B275,Ejemplares!$A$5:$A$304,0)),"Ejemplar no encontrado"))</f>
      </c>
      <c r="D275" s="10"/>
      <c r="E275" s="10"/>
      <c r="F275" s="10"/>
      <c r="G275" s="10"/>
      <c r="H275" s="10"/>
      <c r="I275" s="14">
        <f>IF(D275="","",IF(OR(D275="Ingreso",D275="Traslado entrante"),1,-1))</f>
      </c>
      <c r="J275" s="15">
        <f>IF(A275="","",YEAR(A275))</f>
      </c>
      <c r="K275" s="10"/>
      <c r="L275" s="10"/>
    </row>
    <row r="276" spans="1:12" x14ac:dyDescent="0.25">
      <c r="A276" s="16"/>
      <c r="B276" s="10"/>
      <c r="C276" s="13">
        <f>IF(B276="","",IFERROR(INDEX(Ejemplares!$B$5:$B$304,MATCH(B276,Ejemplares!$A$5:$A$304,0)),"Ejemplar no encontrado"))</f>
      </c>
      <c r="D276" s="10"/>
      <c r="E276" s="10"/>
      <c r="F276" s="10"/>
      <c r="G276" s="10"/>
      <c r="H276" s="10"/>
      <c r="I276" s="14">
        <f>IF(D276="","",IF(OR(D276="Ingreso",D276="Traslado entrante"),1,-1))</f>
      </c>
      <c r="J276" s="15">
        <f>IF(A276="","",YEAR(A276))</f>
      </c>
      <c r="K276" s="10"/>
      <c r="L276" s="10"/>
    </row>
    <row r="277" spans="1:12" x14ac:dyDescent="0.25">
      <c r="A277" s="16"/>
      <c r="B277" s="10"/>
      <c r="C277" s="13">
        <f>IF(B277="","",IFERROR(INDEX(Ejemplares!$B$5:$B$304,MATCH(B277,Ejemplares!$A$5:$A$304,0)),"Ejemplar no encontrado"))</f>
      </c>
      <c r="D277" s="10"/>
      <c r="E277" s="10"/>
      <c r="F277" s="10"/>
      <c r="G277" s="10"/>
      <c r="H277" s="10"/>
      <c r="I277" s="14">
        <f>IF(D277="","",IF(OR(D277="Ingreso",D277="Traslado entrante"),1,-1))</f>
      </c>
      <c r="J277" s="15">
        <f>IF(A277="","",YEAR(A277))</f>
      </c>
      <c r="K277" s="10"/>
      <c r="L277" s="10"/>
    </row>
    <row r="278" spans="1:12" x14ac:dyDescent="0.25">
      <c r="A278" s="16"/>
      <c r="B278" s="10"/>
      <c r="C278" s="13">
        <f>IF(B278="","",IFERROR(INDEX(Ejemplares!$B$5:$B$304,MATCH(B278,Ejemplares!$A$5:$A$304,0)),"Ejemplar no encontrado"))</f>
      </c>
      <c r="D278" s="10"/>
      <c r="E278" s="10"/>
      <c r="F278" s="10"/>
      <c r="G278" s="10"/>
      <c r="H278" s="10"/>
      <c r="I278" s="14">
        <f>IF(D278="","",IF(OR(D278="Ingreso",D278="Traslado entrante"),1,-1))</f>
      </c>
      <c r="J278" s="15">
        <f>IF(A278="","",YEAR(A278))</f>
      </c>
      <c r="K278" s="10"/>
      <c r="L278" s="10"/>
    </row>
    <row r="279" spans="1:12" x14ac:dyDescent="0.25">
      <c r="A279" s="16"/>
      <c r="B279" s="10"/>
      <c r="C279" s="13">
        <f>IF(B279="","",IFERROR(INDEX(Ejemplares!$B$5:$B$304,MATCH(B279,Ejemplares!$A$5:$A$304,0)),"Ejemplar no encontrado"))</f>
      </c>
      <c r="D279" s="10"/>
      <c r="E279" s="10"/>
      <c r="F279" s="10"/>
      <c r="G279" s="10"/>
      <c r="H279" s="10"/>
      <c r="I279" s="14">
        <f>IF(D279="","",IF(OR(D279="Ingreso",D279="Traslado entrante"),1,-1))</f>
      </c>
      <c r="J279" s="15">
        <f>IF(A279="","",YEAR(A279))</f>
      </c>
      <c r="K279" s="10"/>
      <c r="L279" s="10"/>
    </row>
    <row r="280" spans="1:12" x14ac:dyDescent="0.25">
      <c r="A280" s="16"/>
      <c r="B280" s="10"/>
      <c r="C280" s="13">
        <f>IF(B280="","",IFERROR(INDEX(Ejemplares!$B$5:$B$304,MATCH(B280,Ejemplares!$A$5:$A$304,0)),"Ejemplar no encontrado"))</f>
      </c>
      <c r="D280" s="10"/>
      <c r="E280" s="10"/>
      <c r="F280" s="10"/>
      <c r="G280" s="10"/>
      <c r="H280" s="10"/>
      <c r="I280" s="14">
        <f>IF(D280="","",IF(OR(D280="Ingreso",D280="Traslado entrante"),1,-1))</f>
      </c>
      <c r="J280" s="15">
        <f>IF(A280="","",YEAR(A280))</f>
      </c>
      <c r="K280" s="10"/>
      <c r="L280" s="10"/>
    </row>
    <row r="281" spans="1:12" x14ac:dyDescent="0.25">
      <c r="A281" s="16"/>
      <c r="B281" s="10"/>
      <c r="C281" s="13">
        <f>IF(B281="","",IFERROR(INDEX(Ejemplares!$B$5:$B$304,MATCH(B281,Ejemplares!$A$5:$A$304,0)),"Ejemplar no encontrado"))</f>
      </c>
      <c r="D281" s="10"/>
      <c r="E281" s="10"/>
      <c r="F281" s="10"/>
      <c r="G281" s="10"/>
      <c r="H281" s="10"/>
      <c r="I281" s="14">
        <f>IF(D281="","",IF(OR(D281="Ingreso",D281="Traslado entrante"),1,-1))</f>
      </c>
      <c r="J281" s="15">
        <f>IF(A281="","",YEAR(A281))</f>
      </c>
      <c r="K281" s="10"/>
      <c r="L281" s="10"/>
    </row>
    <row r="282" spans="1:12" x14ac:dyDescent="0.25">
      <c r="A282" s="16"/>
      <c r="B282" s="10"/>
      <c r="C282" s="13">
        <f>IF(B282="","",IFERROR(INDEX(Ejemplares!$B$5:$B$304,MATCH(B282,Ejemplares!$A$5:$A$304,0)),"Ejemplar no encontrado"))</f>
      </c>
      <c r="D282" s="10"/>
      <c r="E282" s="10"/>
      <c r="F282" s="10"/>
      <c r="G282" s="10"/>
      <c r="H282" s="10"/>
      <c r="I282" s="14">
        <f>IF(D282="","",IF(OR(D282="Ingreso",D282="Traslado entrante"),1,-1))</f>
      </c>
      <c r="J282" s="15">
        <f>IF(A282="","",YEAR(A282))</f>
      </c>
      <c r="K282" s="10"/>
      <c r="L282" s="10"/>
    </row>
    <row r="283" spans="1:12" x14ac:dyDescent="0.25">
      <c r="A283" s="16"/>
      <c r="B283" s="10"/>
      <c r="C283" s="13">
        <f>IF(B283="","",IFERROR(INDEX(Ejemplares!$B$5:$B$304,MATCH(B283,Ejemplares!$A$5:$A$304,0)),"Ejemplar no encontrado"))</f>
      </c>
      <c r="D283" s="10"/>
      <c r="E283" s="10"/>
      <c r="F283" s="10"/>
      <c r="G283" s="10"/>
      <c r="H283" s="10"/>
      <c r="I283" s="14">
        <f>IF(D283="","",IF(OR(D283="Ingreso",D283="Traslado entrante"),1,-1))</f>
      </c>
      <c r="J283" s="15">
        <f>IF(A283="","",YEAR(A283))</f>
      </c>
      <c r="K283" s="10"/>
      <c r="L283" s="10"/>
    </row>
    <row r="284" spans="1:12" x14ac:dyDescent="0.25">
      <c r="A284" s="16"/>
      <c r="B284" s="10"/>
      <c r="C284" s="13">
        <f>IF(B284="","",IFERROR(INDEX(Ejemplares!$B$5:$B$304,MATCH(B284,Ejemplares!$A$5:$A$304,0)),"Ejemplar no encontrado"))</f>
      </c>
      <c r="D284" s="10"/>
      <c r="E284" s="10"/>
      <c r="F284" s="10"/>
      <c r="G284" s="10"/>
      <c r="H284" s="10"/>
      <c r="I284" s="14">
        <f>IF(D284="","",IF(OR(D284="Ingreso",D284="Traslado entrante"),1,-1))</f>
      </c>
      <c r="J284" s="15">
        <f>IF(A284="","",YEAR(A284))</f>
      </c>
      <c r="K284" s="10"/>
      <c r="L284" s="10"/>
    </row>
    <row r="285" spans="1:12" x14ac:dyDescent="0.25">
      <c r="A285" s="16"/>
      <c r="B285" s="10"/>
      <c r="C285" s="13">
        <f>IF(B285="","",IFERROR(INDEX(Ejemplares!$B$5:$B$304,MATCH(B285,Ejemplares!$A$5:$A$304,0)),"Ejemplar no encontrado"))</f>
      </c>
      <c r="D285" s="10"/>
      <c r="E285" s="10"/>
      <c r="F285" s="10"/>
      <c r="G285" s="10"/>
      <c r="H285" s="10"/>
      <c r="I285" s="14">
        <f>IF(D285="","",IF(OR(D285="Ingreso",D285="Traslado entrante"),1,-1))</f>
      </c>
      <c r="J285" s="15">
        <f>IF(A285="","",YEAR(A285))</f>
      </c>
      <c r="K285" s="10"/>
      <c r="L285" s="10"/>
    </row>
    <row r="286" spans="1:12" x14ac:dyDescent="0.25">
      <c r="A286" s="16"/>
      <c r="B286" s="10"/>
      <c r="C286" s="13">
        <f>IF(B286="","",IFERROR(INDEX(Ejemplares!$B$5:$B$304,MATCH(B286,Ejemplares!$A$5:$A$304,0)),"Ejemplar no encontrado"))</f>
      </c>
      <c r="D286" s="10"/>
      <c r="E286" s="10"/>
      <c r="F286" s="10"/>
      <c r="G286" s="10"/>
      <c r="H286" s="10"/>
      <c r="I286" s="14">
        <f>IF(D286="","",IF(OR(D286="Ingreso",D286="Traslado entrante"),1,-1))</f>
      </c>
      <c r="J286" s="15">
        <f>IF(A286="","",YEAR(A286))</f>
      </c>
      <c r="K286" s="10"/>
      <c r="L286" s="10"/>
    </row>
    <row r="287" spans="1:12" x14ac:dyDescent="0.25">
      <c r="A287" s="16"/>
      <c r="B287" s="10"/>
      <c r="C287" s="13">
        <f>IF(B287="","",IFERROR(INDEX(Ejemplares!$B$5:$B$304,MATCH(B287,Ejemplares!$A$5:$A$304,0)),"Ejemplar no encontrado"))</f>
      </c>
      <c r="D287" s="10"/>
      <c r="E287" s="10"/>
      <c r="F287" s="10"/>
      <c r="G287" s="10"/>
      <c r="H287" s="10"/>
      <c r="I287" s="14">
        <f>IF(D287="","",IF(OR(D287="Ingreso",D287="Traslado entrante"),1,-1))</f>
      </c>
      <c r="J287" s="15">
        <f>IF(A287="","",YEAR(A287))</f>
      </c>
      <c r="K287" s="10"/>
      <c r="L287" s="10"/>
    </row>
    <row r="288" spans="1:12" x14ac:dyDescent="0.25">
      <c r="A288" s="16"/>
      <c r="B288" s="10"/>
      <c r="C288" s="13">
        <f>IF(B288="","",IFERROR(INDEX(Ejemplares!$B$5:$B$304,MATCH(B288,Ejemplares!$A$5:$A$304,0)),"Ejemplar no encontrado"))</f>
      </c>
      <c r="D288" s="10"/>
      <c r="E288" s="10"/>
      <c r="F288" s="10"/>
      <c r="G288" s="10"/>
      <c r="H288" s="10"/>
      <c r="I288" s="14">
        <f>IF(D288="","",IF(OR(D288="Ingreso",D288="Traslado entrante"),1,-1))</f>
      </c>
      <c r="J288" s="15">
        <f>IF(A288="","",YEAR(A288))</f>
      </c>
      <c r="K288" s="10"/>
      <c r="L288" s="10"/>
    </row>
    <row r="289" spans="1:12" x14ac:dyDescent="0.25">
      <c r="A289" s="16"/>
      <c r="B289" s="10"/>
      <c r="C289" s="13">
        <f>IF(B289="","",IFERROR(INDEX(Ejemplares!$B$5:$B$304,MATCH(B289,Ejemplares!$A$5:$A$304,0)),"Ejemplar no encontrado"))</f>
      </c>
      <c r="D289" s="10"/>
      <c r="E289" s="10"/>
      <c r="F289" s="10"/>
      <c r="G289" s="10"/>
      <c r="H289" s="10"/>
      <c r="I289" s="14">
        <f>IF(D289="","",IF(OR(D289="Ingreso",D289="Traslado entrante"),1,-1))</f>
      </c>
      <c r="J289" s="15">
        <f>IF(A289="","",YEAR(A289))</f>
      </c>
      <c r="K289" s="10"/>
      <c r="L289" s="10"/>
    </row>
    <row r="290" spans="1:12" x14ac:dyDescent="0.25">
      <c r="A290" s="16"/>
      <c r="B290" s="10"/>
      <c r="C290" s="13">
        <f>IF(B290="","",IFERROR(INDEX(Ejemplares!$B$5:$B$304,MATCH(B290,Ejemplares!$A$5:$A$304,0)),"Ejemplar no encontrado"))</f>
      </c>
      <c r="D290" s="10"/>
      <c r="E290" s="10"/>
      <c r="F290" s="10"/>
      <c r="G290" s="10"/>
      <c r="H290" s="10"/>
      <c r="I290" s="14">
        <f>IF(D290="","",IF(OR(D290="Ingreso",D290="Traslado entrante"),1,-1))</f>
      </c>
      <c r="J290" s="15">
        <f>IF(A290="","",YEAR(A290))</f>
      </c>
      <c r="K290" s="10"/>
      <c r="L290" s="10"/>
    </row>
    <row r="291" spans="1:12" x14ac:dyDescent="0.25">
      <c r="A291" s="16"/>
      <c r="B291" s="10"/>
      <c r="C291" s="13">
        <f>IF(B291="","",IFERROR(INDEX(Ejemplares!$B$5:$B$304,MATCH(B291,Ejemplares!$A$5:$A$304,0)),"Ejemplar no encontrado"))</f>
      </c>
      <c r="D291" s="10"/>
      <c r="E291" s="10"/>
      <c r="F291" s="10"/>
      <c r="G291" s="10"/>
      <c r="H291" s="10"/>
      <c r="I291" s="14">
        <f>IF(D291="","",IF(OR(D291="Ingreso",D291="Traslado entrante"),1,-1))</f>
      </c>
      <c r="J291" s="15">
        <f>IF(A291="","",YEAR(A291))</f>
      </c>
      <c r="K291" s="10"/>
      <c r="L291" s="10"/>
    </row>
    <row r="292" spans="1:12" x14ac:dyDescent="0.25">
      <c r="A292" s="16"/>
      <c r="B292" s="10"/>
      <c r="C292" s="13">
        <f>IF(B292="","",IFERROR(INDEX(Ejemplares!$B$5:$B$304,MATCH(B292,Ejemplares!$A$5:$A$304,0)),"Ejemplar no encontrado"))</f>
      </c>
      <c r="D292" s="10"/>
      <c r="E292" s="10"/>
      <c r="F292" s="10"/>
      <c r="G292" s="10"/>
      <c r="H292" s="10"/>
      <c r="I292" s="14">
        <f>IF(D292="","",IF(OR(D292="Ingreso",D292="Traslado entrante"),1,-1))</f>
      </c>
      <c r="J292" s="15">
        <f>IF(A292="","",YEAR(A292))</f>
      </c>
      <c r="K292" s="10"/>
      <c r="L292" s="10"/>
    </row>
    <row r="293" spans="1:12" x14ac:dyDescent="0.25">
      <c r="A293" s="16"/>
      <c r="B293" s="10"/>
      <c r="C293" s="13">
        <f>IF(B293="","",IFERROR(INDEX(Ejemplares!$B$5:$B$304,MATCH(B293,Ejemplares!$A$5:$A$304,0)),"Ejemplar no encontrado"))</f>
      </c>
      <c r="D293" s="10"/>
      <c r="E293" s="10"/>
      <c r="F293" s="10"/>
      <c r="G293" s="10"/>
      <c r="H293" s="10"/>
      <c r="I293" s="14">
        <f>IF(D293="","",IF(OR(D293="Ingreso",D293="Traslado entrante"),1,-1))</f>
      </c>
      <c r="J293" s="15">
        <f>IF(A293="","",YEAR(A293))</f>
      </c>
      <c r="K293" s="10"/>
      <c r="L293" s="10"/>
    </row>
    <row r="294" spans="1:12" x14ac:dyDescent="0.25">
      <c r="A294" s="16"/>
      <c r="B294" s="10"/>
      <c r="C294" s="13">
        <f>IF(B294="","",IFERROR(INDEX(Ejemplares!$B$5:$B$304,MATCH(B294,Ejemplares!$A$5:$A$304,0)),"Ejemplar no encontrado"))</f>
      </c>
      <c r="D294" s="10"/>
      <c r="E294" s="10"/>
      <c r="F294" s="10"/>
      <c r="G294" s="10"/>
      <c r="H294" s="10"/>
      <c r="I294" s="14">
        <f>IF(D294="","",IF(OR(D294="Ingreso",D294="Traslado entrante"),1,-1))</f>
      </c>
      <c r="J294" s="15">
        <f>IF(A294="","",YEAR(A294))</f>
      </c>
      <c r="K294" s="10"/>
      <c r="L294" s="10"/>
    </row>
    <row r="295" spans="1:12" x14ac:dyDescent="0.25">
      <c r="A295" s="16"/>
      <c r="B295" s="10"/>
      <c r="C295" s="13">
        <f>IF(B295="","",IFERROR(INDEX(Ejemplares!$B$5:$B$304,MATCH(B295,Ejemplares!$A$5:$A$304,0)),"Ejemplar no encontrado"))</f>
      </c>
      <c r="D295" s="10"/>
      <c r="E295" s="10"/>
      <c r="F295" s="10"/>
      <c r="G295" s="10"/>
      <c r="H295" s="10"/>
      <c r="I295" s="14">
        <f>IF(D295="","",IF(OR(D295="Ingreso",D295="Traslado entrante"),1,-1))</f>
      </c>
      <c r="J295" s="15">
        <f>IF(A295="","",YEAR(A295))</f>
      </c>
      <c r="K295" s="10"/>
      <c r="L295" s="10"/>
    </row>
    <row r="296" spans="1:12" x14ac:dyDescent="0.25">
      <c r="A296" s="16"/>
      <c r="B296" s="10"/>
      <c r="C296" s="13">
        <f>IF(B296="","",IFERROR(INDEX(Ejemplares!$B$5:$B$304,MATCH(B296,Ejemplares!$A$5:$A$304,0)),"Ejemplar no encontrado"))</f>
      </c>
      <c r="D296" s="10"/>
      <c r="E296" s="10"/>
      <c r="F296" s="10"/>
      <c r="G296" s="10"/>
      <c r="H296" s="10"/>
      <c r="I296" s="14">
        <f>IF(D296="","",IF(OR(D296="Ingreso",D296="Traslado entrante"),1,-1))</f>
      </c>
      <c r="J296" s="15">
        <f>IF(A296="","",YEAR(A296))</f>
      </c>
      <c r="K296" s="10"/>
      <c r="L296" s="10"/>
    </row>
    <row r="297" spans="1:12" x14ac:dyDescent="0.25">
      <c r="A297" s="16"/>
      <c r="B297" s="10"/>
      <c r="C297" s="13">
        <f>IF(B297="","",IFERROR(INDEX(Ejemplares!$B$5:$B$304,MATCH(B297,Ejemplares!$A$5:$A$304,0)),"Ejemplar no encontrado"))</f>
      </c>
      <c r="D297" s="10"/>
      <c r="E297" s="10"/>
      <c r="F297" s="10"/>
      <c r="G297" s="10"/>
      <c r="H297" s="10"/>
      <c r="I297" s="14">
        <f>IF(D297="","",IF(OR(D297="Ingreso",D297="Traslado entrante"),1,-1))</f>
      </c>
      <c r="J297" s="15">
        <f>IF(A297="","",YEAR(A297))</f>
      </c>
      <c r="K297" s="10"/>
      <c r="L297" s="10"/>
    </row>
    <row r="298" spans="1:12" x14ac:dyDescent="0.25">
      <c r="A298" s="16"/>
      <c r="B298" s="10"/>
      <c r="C298" s="13">
        <f>IF(B298="","",IFERROR(INDEX(Ejemplares!$B$5:$B$304,MATCH(B298,Ejemplares!$A$5:$A$304,0)),"Ejemplar no encontrado"))</f>
      </c>
      <c r="D298" s="10"/>
      <c r="E298" s="10"/>
      <c r="F298" s="10"/>
      <c r="G298" s="10"/>
      <c r="H298" s="10"/>
      <c r="I298" s="14">
        <f>IF(D298="","",IF(OR(D298="Ingreso",D298="Traslado entrante"),1,-1))</f>
      </c>
      <c r="J298" s="15">
        <f>IF(A298="","",YEAR(A298))</f>
      </c>
      <c r="K298" s="10"/>
      <c r="L298" s="10"/>
    </row>
    <row r="299" spans="1:12" x14ac:dyDescent="0.25">
      <c r="A299" s="16"/>
      <c r="B299" s="10"/>
      <c r="C299" s="13">
        <f>IF(B299="","",IFERROR(INDEX(Ejemplares!$B$5:$B$304,MATCH(B299,Ejemplares!$A$5:$A$304,0)),"Ejemplar no encontrado"))</f>
      </c>
      <c r="D299" s="10"/>
      <c r="E299" s="10"/>
      <c r="F299" s="10"/>
      <c r="G299" s="10"/>
      <c r="H299" s="10"/>
      <c r="I299" s="14">
        <f>IF(D299="","",IF(OR(D299="Ingreso",D299="Traslado entrante"),1,-1))</f>
      </c>
      <c r="J299" s="15">
        <f>IF(A299="","",YEAR(A299))</f>
      </c>
      <c r="K299" s="10"/>
      <c r="L299" s="10"/>
    </row>
    <row r="300" spans="1:12" x14ac:dyDescent="0.25">
      <c r="A300" s="16"/>
      <c r="B300" s="10"/>
      <c r="C300" s="13">
        <f>IF(B300="","",IFERROR(INDEX(Ejemplares!$B$5:$B$304,MATCH(B300,Ejemplares!$A$5:$A$304,0)),"Ejemplar no encontrado"))</f>
      </c>
      <c r="D300" s="10"/>
      <c r="E300" s="10"/>
      <c r="F300" s="10"/>
      <c r="G300" s="10"/>
      <c r="H300" s="10"/>
      <c r="I300" s="14">
        <f>IF(D300="","",IF(OR(D300="Ingreso",D300="Traslado entrante"),1,-1))</f>
      </c>
      <c r="J300" s="15">
        <f>IF(A300="","",YEAR(A300))</f>
      </c>
      <c r="K300" s="10"/>
      <c r="L300" s="10"/>
    </row>
    <row r="301" spans="1:12" x14ac:dyDescent="0.25">
      <c r="A301" s="16"/>
      <c r="B301" s="10"/>
      <c r="C301" s="13">
        <f>IF(B301="","",IFERROR(INDEX(Ejemplares!$B$5:$B$304,MATCH(B301,Ejemplares!$A$5:$A$304,0)),"Ejemplar no encontrado"))</f>
      </c>
      <c r="D301" s="10"/>
      <c r="E301" s="10"/>
      <c r="F301" s="10"/>
      <c r="G301" s="10"/>
      <c r="H301" s="10"/>
      <c r="I301" s="14">
        <f>IF(D301="","",IF(OR(D301="Ingreso",D301="Traslado entrante"),1,-1))</f>
      </c>
      <c r="J301" s="15">
        <f>IF(A301="","",YEAR(A301))</f>
      </c>
      <c r="K301" s="10"/>
      <c r="L301" s="10"/>
    </row>
    <row r="302" spans="1:12" x14ac:dyDescent="0.25">
      <c r="A302" s="16"/>
      <c r="B302" s="10"/>
      <c r="C302" s="13">
        <f>IF(B302="","",IFERROR(INDEX(Ejemplares!$B$5:$B$304,MATCH(B302,Ejemplares!$A$5:$A$304,0)),"Ejemplar no encontrado"))</f>
      </c>
      <c r="D302" s="10"/>
      <c r="E302" s="10"/>
      <c r="F302" s="10"/>
      <c r="G302" s="10"/>
      <c r="H302" s="10"/>
      <c r="I302" s="14">
        <f>IF(D302="","",IF(OR(D302="Ingreso",D302="Traslado entrante"),1,-1))</f>
      </c>
      <c r="J302" s="15">
        <f>IF(A302="","",YEAR(A302))</f>
      </c>
      <c r="K302" s="10"/>
      <c r="L302" s="10"/>
    </row>
    <row r="303" spans="1:12" x14ac:dyDescent="0.25">
      <c r="A303" s="16"/>
      <c r="B303" s="10"/>
      <c r="C303" s="13">
        <f>IF(B303="","",IFERROR(INDEX(Ejemplares!$B$5:$B$304,MATCH(B303,Ejemplares!$A$5:$A$304,0)),"Ejemplar no encontrado"))</f>
      </c>
      <c r="D303" s="10"/>
      <c r="E303" s="10"/>
      <c r="F303" s="10"/>
      <c r="G303" s="10"/>
      <c r="H303" s="10"/>
      <c r="I303" s="14">
        <f>IF(D303="","",IF(OR(D303="Ingreso",D303="Traslado entrante"),1,-1))</f>
      </c>
      <c r="J303" s="15">
        <f>IF(A303="","",YEAR(A303))</f>
      </c>
      <c r="K303" s="10"/>
      <c r="L303" s="10"/>
    </row>
    <row r="304" spans="1:12" x14ac:dyDescent="0.25">
      <c r="A304" s="16"/>
      <c r="B304" s="10"/>
      <c r="C304" s="13">
        <f>IF(B304="","",IFERROR(INDEX(Ejemplares!$B$5:$B$304,MATCH(B304,Ejemplares!$A$5:$A$304,0)),"Ejemplar no encontrado"))</f>
      </c>
      <c r="D304" s="10"/>
      <c r="E304" s="10"/>
      <c r="F304" s="10"/>
      <c r="G304" s="10"/>
      <c r="H304" s="10"/>
      <c r="I304" s="14">
        <f>IF(D304="","",IF(OR(D304="Ingreso",D304="Traslado entrante"),1,-1))</f>
      </c>
      <c r="J304" s="15">
        <f>IF(A304="","",YEAR(A304))</f>
      </c>
      <c r="K304" s="10"/>
      <c r="L304" s="10"/>
    </row>
    <row r="305" spans="1:12" x14ac:dyDescent="0.25">
      <c r="A305" s="16"/>
      <c r="B305" s="10"/>
      <c r="C305" s="13">
        <f>IF(B305="","",IFERROR(INDEX(Ejemplares!$B$5:$B$304,MATCH(B305,Ejemplares!$A$5:$A$304,0)),"Ejemplar no encontrado"))</f>
      </c>
      <c r="D305" s="10"/>
      <c r="E305" s="10"/>
      <c r="F305" s="10"/>
      <c r="G305" s="10"/>
      <c r="H305" s="10"/>
      <c r="I305" s="14">
        <f>IF(D305="","",IF(OR(D305="Ingreso",D305="Traslado entrante"),1,-1))</f>
      </c>
      <c r="J305" s="15">
        <f>IF(A305="","",YEAR(A305))</f>
      </c>
      <c r="K305" s="10"/>
      <c r="L305" s="10"/>
    </row>
    <row r="306" spans="1:12" x14ac:dyDescent="0.25">
      <c r="A306" s="16"/>
      <c r="B306" s="10"/>
      <c r="C306" s="13">
        <f>IF(B306="","",IFERROR(INDEX(Ejemplares!$B$5:$B$304,MATCH(B306,Ejemplares!$A$5:$A$304,0)),"Ejemplar no encontrado"))</f>
      </c>
      <c r="D306" s="10"/>
      <c r="E306" s="10"/>
      <c r="F306" s="10"/>
      <c r="G306" s="10"/>
      <c r="H306" s="10"/>
      <c r="I306" s="14">
        <f>IF(D306="","",IF(OR(D306="Ingreso",D306="Traslado entrante"),1,-1))</f>
      </c>
      <c r="J306" s="15">
        <f>IF(A306="","",YEAR(A306))</f>
      </c>
      <c r="K306" s="10"/>
      <c r="L306" s="10"/>
    </row>
    <row r="307" spans="1:12" x14ac:dyDescent="0.25">
      <c r="A307" s="16"/>
      <c r="B307" s="10"/>
      <c r="C307" s="13">
        <f>IF(B307="","",IFERROR(INDEX(Ejemplares!$B$5:$B$304,MATCH(B307,Ejemplares!$A$5:$A$304,0)),"Ejemplar no encontrado"))</f>
      </c>
      <c r="D307" s="10"/>
      <c r="E307" s="10"/>
      <c r="F307" s="10"/>
      <c r="G307" s="10"/>
      <c r="H307" s="10"/>
      <c r="I307" s="14">
        <f>IF(D307="","",IF(OR(D307="Ingreso",D307="Traslado entrante"),1,-1))</f>
      </c>
      <c r="J307" s="15">
        <f>IF(A307="","",YEAR(A307))</f>
      </c>
      <c r="K307" s="10"/>
      <c r="L307" s="10"/>
    </row>
    <row r="308" spans="1:12" x14ac:dyDescent="0.25">
      <c r="A308" s="16"/>
      <c r="B308" s="10"/>
      <c r="C308" s="13">
        <f>IF(B308="","",IFERROR(INDEX(Ejemplares!$B$5:$B$304,MATCH(B308,Ejemplares!$A$5:$A$304,0)),"Ejemplar no encontrado"))</f>
      </c>
      <c r="D308" s="10"/>
      <c r="E308" s="10"/>
      <c r="F308" s="10"/>
      <c r="G308" s="10"/>
      <c r="H308" s="10"/>
      <c r="I308" s="14">
        <f>IF(D308="","",IF(OR(D308="Ingreso",D308="Traslado entrante"),1,-1))</f>
      </c>
      <c r="J308" s="15">
        <f>IF(A308="","",YEAR(A308))</f>
      </c>
      <c r="K308" s="10"/>
      <c r="L308" s="10"/>
    </row>
    <row r="309" spans="1:12" x14ac:dyDescent="0.25">
      <c r="A309" s="16"/>
      <c r="B309" s="10"/>
      <c r="C309" s="13">
        <f>IF(B309="","",IFERROR(INDEX(Ejemplares!$B$5:$B$304,MATCH(B309,Ejemplares!$A$5:$A$304,0)),"Ejemplar no encontrado"))</f>
      </c>
      <c r="D309" s="10"/>
      <c r="E309" s="10"/>
      <c r="F309" s="10"/>
      <c r="G309" s="10"/>
      <c r="H309" s="10"/>
      <c r="I309" s="14">
        <f>IF(D309="","",IF(OR(D309="Ingreso",D309="Traslado entrante"),1,-1))</f>
      </c>
      <c r="J309" s="15">
        <f>IF(A309="","",YEAR(A309))</f>
      </c>
      <c r="K309" s="10"/>
      <c r="L309" s="10"/>
    </row>
    <row r="310" spans="1:12" x14ac:dyDescent="0.25">
      <c r="A310" s="16"/>
      <c r="B310" s="10"/>
      <c r="C310" s="13">
        <f>IF(B310="","",IFERROR(INDEX(Ejemplares!$B$5:$B$304,MATCH(B310,Ejemplares!$A$5:$A$304,0)),"Ejemplar no encontrado"))</f>
      </c>
      <c r="D310" s="10"/>
      <c r="E310" s="10"/>
      <c r="F310" s="10"/>
      <c r="G310" s="10"/>
      <c r="H310" s="10"/>
      <c r="I310" s="14">
        <f>IF(D310="","",IF(OR(D310="Ingreso",D310="Traslado entrante"),1,-1))</f>
      </c>
      <c r="J310" s="15">
        <f>IF(A310="","",YEAR(A310))</f>
      </c>
      <c r="K310" s="10"/>
      <c r="L310" s="10"/>
    </row>
    <row r="311" spans="1:12" x14ac:dyDescent="0.25">
      <c r="A311" s="16"/>
      <c r="B311" s="10"/>
      <c r="C311" s="13">
        <f>IF(B311="","",IFERROR(INDEX(Ejemplares!$B$5:$B$304,MATCH(B311,Ejemplares!$A$5:$A$304,0)),"Ejemplar no encontrado"))</f>
      </c>
      <c r="D311" s="10"/>
      <c r="E311" s="10"/>
      <c r="F311" s="10"/>
      <c r="G311" s="10"/>
      <c r="H311" s="10"/>
      <c r="I311" s="14">
        <f>IF(D311="","",IF(OR(D311="Ingreso",D311="Traslado entrante"),1,-1))</f>
      </c>
      <c r="J311" s="15">
        <f>IF(A311="","",YEAR(A311))</f>
      </c>
      <c r="K311" s="10"/>
      <c r="L311" s="10"/>
    </row>
    <row r="312" spans="1:12" x14ac:dyDescent="0.25">
      <c r="A312" s="16"/>
      <c r="B312" s="10"/>
      <c r="C312" s="13">
        <f>IF(B312="","",IFERROR(INDEX(Ejemplares!$B$5:$B$304,MATCH(B312,Ejemplares!$A$5:$A$304,0)),"Ejemplar no encontrado"))</f>
      </c>
      <c r="D312" s="10"/>
      <c r="E312" s="10"/>
      <c r="F312" s="10"/>
      <c r="G312" s="10"/>
      <c r="H312" s="10"/>
      <c r="I312" s="14">
        <f>IF(D312="","",IF(OR(D312="Ingreso",D312="Traslado entrante"),1,-1))</f>
      </c>
      <c r="J312" s="15">
        <f>IF(A312="","",YEAR(A312))</f>
      </c>
      <c r="K312" s="10"/>
      <c r="L312" s="10"/>
    </row>
    <row r="313" spans="1:12" x14ac:dyDescent="0.25">
      <c r="A313" s="16"/>
      <c r="B313" s="10"/>
      <c r="C313" s="13">
        <f>IF(B313="","",IFERROR(INDEX(Ejemplares!$B$5:$B$304,MATCH(B313,Ejemplares!$A$5:$A$304,0)),"Ejemplar no encontrado"))</f>
      </c>
      <c r="D313" s="10"/>
      <c r="E313" s="10"/>
      <c r="F313" s="10"/>
      <c r="G313" s="10"/>
      <c r="H313" s="10"/>
      <c r="I313" s="14">
        <f>IF(D313="","",IF(OR(D313="Ingreso",D313="Traslado entrante"),1,-1))</f>
      </c>
      <c r="J313" s="15">
        <f>IF(A313="","",YEAR(A313))</f>
      </c>
      <c r="K313" s="10"/>
      <c r="L313" s="10"/>
    </row>
    <row r="314" spans="1:12" x14ac:dyDescent="0.25">
      <c r="A314" s="16"/>
      <c r="B314" s="10"/>
      <c r="C314" s="13">
        <f>IF(B314="","",IFERROR(INDEX(Ejemplares!$B$5:$B$304,MATCH(B314,Ejemplares!$A$5:$A$304,0)),"Ejemplar no encontrado"))</f>
      </c>
      <c r="D314" s="10"/>
      <c r="E314" s="10"/>
      <c r="F314" s="10"/>
      <c r="G314" s="10"/>
      <c r="H314" s="10"/>
      <c r="I314" s="14">
        <f>IF(D314="","",IF(OR(D314="Ingreso",D314="Traslado entrante"),1,-1))</f>
      </c>
      <c r="J314" s="15">
        <f>IF(A314="","",YEAR(A314))</f>
      </c>
      <c r="K314" s="10"/>
      <c r="L314" s="10"/>
    </row>
    <row r="315" spans="1:12" x14ac:dyDescent="0.25">
      <c r="A315" s="16"/>
      <c r="B315" s="10"/>
      <c r="C315" s="13">
        <f>IF(B315="","",IFERROR(INDEX(Ejemplares!$B$5:$B$304,MATCH(B315,Ejemplares!$A$5:$A$304,0)),"Ejemplar no encontrado"))</f>
      </c>
      <c r="D315" s="10"/>
      <c r="E315" s="10"/>
      <c r="F315" s="10"/>
      <c r="G315" s="10"/>
      <c r="H315" s="10"/>
      <c r="I315" s="14">
        <f>IF(D315="","",IF(OR(D315="Ingreso",D315="Traslado entrante"),1,-1))</f>
      </c>
      <c r="J315" s="15">
        <f>IF(A315="","",YEAR(A315))</f>
      </c>
      <c r="K315" s="10"/>
      <c r="L315" s="10"/>
    </row>
    <row r="316" spans="1:12" x14ac:dyDescent="0.25">
      <c r="A316" s="16"/>
      <c r="B316" s="10"/>
      <c r="C316" s="13">
        <f>IF(B316="","",IFERROR(INDEX(Ejemplares!$B$5:$B$304,MATCH(B316,Ejemplares!$A$5:$A$304,0)),"Ejemplar no encontrado"))</f>
      </c>
      <c r="D316" s="10"/>
      <c r="E316" s="10"/>
      <c r="F316" s="10"/>
      <c r="G316" s="10"/>
      <c r="H316" s="10"/>
      <c r="I316" s="14">
        <f>IF(D316="","",IF(OR(D316="Ingreso",D316="Traslado entrante"),1,-1))</f>
      </c>
      <c r="J316" s="15">
        <f>IF(A316="","",YEAR(A316))</f>
      </c>
      <c r="K316" s="10"/>
      <c r="L316" s="10"/>
    </row>
    <row r="317" spans="1:12" x14ac:dyDescent="0.25">
      <c r="A317" s="16"/>
      <c r="B317" s="10"/>
      <c r="C317" s="13">
        <f>IF(B317="","",IFERROR(INDEX(Ejemplares!$B$5:$B$304,MATCH(B317,Ejemplares!$A$5:$A$304,0)),"Ejemplar no encontrado"))</f>
      </c>
      <c r="D317" s="10"/>
      <c r="E317" s="10"/>
      <c r="F317" s="10"/>
      <c r="G317" s="10"/>
      <c r="H317" s="10"/>
      <c r="I317" s="14">
        <f>IF(D317="","",IF(OR(D317="Ingreso",D317="Traslado entrante"),1,-1))</f>
      </c>
      <c r="J317" s="15">
        <f>IF(A317="","",YEAR(A317))</f>
      </c>
      <c r="K317" s="10"/>
      <c r="L317" s="10"/>
    </row>
    <row r="318" spans="1:12" x14ac:dyDescent="0.25">
      <c r="A318" s="16"/>
      <c r="B318" s="10"/>
      <c r="C318" s="13">
        <f>IF(B318="","",IFERROR(INDEX(Ejemplares!$B$5:$B$304,MATCH(B318,Ejemplares!$A$5:$A$304,0)),"Ejemplar no encontrado"))</f>
      </c>
      <c r="D318" s="10"/>
      <c r="E318" s="10"/>
      <c r="F318" s="10"/>
      <c r="G318" s="10"/>
      <c r="H318" s="10"/>
      <c r="I318" s="14">
        <f>IF(D318="","",IF(OR(D318="Ingreso",D318="Traslado entrante"),1,-1))</f>
      </c>
      <c r="J318" s="15">
        <f>IF(A318="","",YEAR(A318))</f>
      </c>
      <c r="K318" s="10"/>
      <c r="L318" s="10"/>
    </row>
    <row r="319" spans="1:12" x14ac:dyDescent="0.25">
      <c r="A319" s="16"/>
      <c r="B319" s="10"/>
      <c r="C319" s="13">
        <f>IF(B319="","",IFERROR(INDEX(Ejemplares!$B$5:$B$304,MATCH(B319,Ejemplares!$A$5:$A$304,0)),"Ejemplar no encontrado"))</f>
      </c>
      <c r="D319" s="10"/>
      <c r="E319" s="10"/>
      <c r="F319" s="10"/>
      <c r="G319" s="10"/>
      <c r="H319" s="10"/>
      <c r="I319" s="14">
        <f>IF(D319="","",IF(OR(D319="Ingreso",D319="Traslado entrante"),1,-1))</f>
      </c>
      <c r="J319" s="15">
        <f>IF(A319="","",YEAR(A319))</f>
      </c>
      <c r="K319" s="10"/>
      <c r="L319" s="10"/>
    </row>
    <row r="320" spans="1:12" x14ac:dyDescent="0.25">
      <c r="A320" s="16"/>
      <c r="B320" s="10"/>
      <c r="C320" s="13">
        <f>IF(B320="","",IFERROR(INDEX(Ejemplares!$B$5:$B$304,MATCH(B320,Ejemplares!$A$5:$A$304,0)),"Ejemplar no encontrado"))</f>
      </c>
      <c r="D320" s="10"/>
      <c r="E320" s="10"/>
      <c r="F320" s="10"/>
      <c r="G320" s="10"/>
      <c r="H320" s="10"/>
      <c r="I320" s="14">
        <f>IF(D320="","",IF(OR(D320="Ingreso",D320="Traslado entrante"),1,-1))</f>
      </c>
      <c r="J320" s="15">
        <f>IF(A320="","",YEAR(A320))</f>
      </c>
      <c r="K320" s="10"/>
      <c r="L320" s="10"/>
    </row>
    <row r="321" spans="1:12" x14ac:dyDescent="0.25">
      <c r="A321" s="16"/>
      <c r="B321" s="10"/>
      <c r="C321" s="13">
        <f>IF(B321="","",IFERROR(INDEX(Ejemplares!$B$5:$B$304,MATCH(B321,Ejemplares!$A$5:$A$304,0)),"Ejemplar no encontrado"))</f>
      </c>
      <c r="D321" s="10"/>
      <c r="E321" s="10"/>
      <c r="F321" s="10"/>
      <c r="G321" s="10"/>
      <c r="H321" s="10"/>
      <c r="I321" s="14">
        <f>IF(D321="","",IF(OR(D321="Ingreso",D321="Traslado entrante"),1,-1))</f>
      </c>
      <c r="J321" s="15">
        <f>IF(A321="","",YEAR(A321))</f>
      </c>
      <c r="K321" s="10"/>
      <c r="L321" s="10"/>
    </row>
    <row r="322" spans="1:12" x14ac:dyDescent="0.25">
      <c r="A322" s="16"/>
      <c r="B322" s="10"/>
      <c r="C322" s="13">
        <f>IF(B322="","",IFERROR(INDEX(Ejemplares!$B$5:$B$304,MATCH(B322,Ejemplares!$A$5:$A$304,0)),"Ejemplar no encontrado"))</f>
      </c>
      <c r="D322" s="10"/>
      <c r="E322" s="10"/>
      <c r="F322" s="10"/>
      <c r="G322" s="10"/>
      <c r="H322" s="10"/>
      <c r="I322" s="14">
        <f>IF(D322="","",IF(OR(D322="Ingreso",D322="Traslado entrante"),1,-1))</f>
      </c>
      <c r="J322" s="15">
        <f>IF(A322="","",YEAR(A322))</f>
      </c>
      <c r="K322" s="10"/>
      <c r="L322" s="10"/>
    </row>
    <row r="323" spans="1:12" x14ac:dyDescent="0.25">
      <c r="A323" s="16"/>
      <c r="B323" s="10"/>
      <c r="C323" s="13">
        <f>IF(B323="","",IFERROR(INDEX(Ejemplares!$B$5:$B$304,MATCH(B323,Ejemplares!$A$5:$A$304,0)),"Ejemplar no encontrado"))</f>
      </c>
      <c r="D323" s="10"/>
      <c r="E323" s="10"/>
      <c r="F323" s="10"/>
      <c r="G323" s="10"/>
      <c r="H323" s="10"/>
      <c r="I323" s="14">
        <f>IF(D323="","",IF(OR(D323="Ingreso",D323="Traslado entrante"),1,-1))</f>
      </c>
      <c r="J323" s="15">
        <f>IF(A323="","",YEAR(A323))</f>
      </c>
      <c r="K323" s="10"/>
      <c r="L323" s="10"/>
    </row>
    <row r="324" spans="1:12" x14ac:dyDescent="0.25">
      <c r="A324" s="16"/>
      <c r="B324" s="10"/>
      <c r="C324" s="13">
        <f>IF(B324="","",IFERROR(INDEX(Ejemplares!$B$5:$B$304,MATCH(B324,Ejemplares!$A$5:$A$304,0)),"Ejemplar no encontrado"))</f>
      </c>
      <c r="D324" s="10"/>
      <c r="E324" s="10"/>
      <c r="F324" s="10"/>
      <c r="G324" s="10"/>
      <c r="H324" s="10"/>
      <c r="I324" s="14">
        <f>IF(D324="","",IF(OR(D324="Ingreso",D324="Traslado entrante"),1,-1))</f>
      </c>
      <c r="J324" s="15">
        <f>IF(A324="","",YEAR(A324))</f>
      </c>
      <c r="K324" s="10"/>
      <c r="L324" s="10"/>
    </row>
    <row r="325" spans="1:12" x14ac:dyDescent="0.25">
      <c r="A325" s="16"/>
      <c r="B325" s="10"/>
      <c r="C325" s="13">
        <f>IF(B325="","",IFERROR(INDEX(Ejemplares!$B$5:$B$304,MATCH(B325,Ejemplares!$A$5:$A$304,0)),"Ejemplar no encontrado"))</f>
      </c>
      <c r="D325" s="10"/>
      <c r="E325" s="10"/>
      <c r="F325" s="10"/>
      <c r="G325" s="10"/>
      <c r="H325" s="10"/>
      <c r="I325" s="14">
        <f>IF(D325="","",IF(OR(D325="Ingreso",D325="Traslado entrante"),1,-1))</f>
      </c>
      <c r="J325" s="15">
        <f>IF(A325="","",YEAR(A325))</f>
      </c>
      <c r="K325" s="10"/>
      <c r="L325" s="10"/>
    </row>
    <row r="326" spans="1:12" x14ac:dyDescent="0.25">
      <c r="A326" s="16"/>
      <c r="B326" s="10"/>
      <c r="C326" s="13">
        <f>IF(B326="","",IFERROR(INDEX(Ejemplares!$B$5:$B$304,MATCH(B326,Ejemplares!$A$5:$A$304,0)),"Ejemplar no encontrado"))</f>
      </c>
      <c r="D326" s="10"/>
      <c r="E326" s="10"/>
      <c r="F326" s="10"/>
      <c r="G326" s="10"/>
      <c r="H326" s="10"/>
      <c r="I326" s="14">
        <f>IF(D326="","",IF(OR(D326="Ingreso",D326="Traslado entrante"),1,-1))</f>
      </c>
      <c r="J326" s="15">
        <f>IF(A326="","",YEAR(A326))</f>
      </c>
      <c r="K326" s="10"/>
      <c r="L326" s="10"/>
    </row>
    <row r="327" spans="1:12" x14ac:dyDescent="0.25">
      <c r="A327" s="16"/>
      <c r="B327" s="10"/>
      <c r="C327" s="13">
        <f>IF(B327="","",IFERROR(INDEX(Ejemplares!$B$5:$B$304,MATCH(B327,Ejemplares!$A$5:$A$304,0)),"Ejemplar no encontrado"))</f>
      </c>
      <c r="D327" s="10"/>
      <c r="E327" s="10"/>
      <c r="F327" s="10"/>
      <c r="G327" s="10"/>
      <c r="H327" s="10"/>
      <c r="I327" s="14">
        <f>IF(D327="","",IF(OR(D327="Ingreso",D327="Traslado entrante"),1,-1))</f>
      </c>
      <c r="J327" s="15">
        <f>IF(A327="","",YEAR(A327))</f>
      </c>
      <c r="K327" s="10"/>
      <c r="L327" s="10"/>
    </row>
    <row r="328" spans="1:12" x14ac:dyDescent="0.25">
      <c r="A328" s="16"/>
      <c r="B328" s="10"/>
      <c r="C328" s="13">
        <f>IF(B328="","",IFERROR(INDEX(Ejemplares!$B$5:$B$304,MATCH(B328,Ejemplares!$A$5:$A$304,0)),"Ejemplar no encontrado"))</f>
      </c>
      <c r="D328" s="10"/>
      <c r="E328" s="10"/>
      <c r="F328" s="10"/>
      <c r="G328" s="10"/>
      <c r="H328" s="10"/>
      <c r="I328" s="14">
        <f>IF(D328="","",IF(OR(D328="Ingreso",D328="Traslado entrante"),1,-1))</f>
      </c>
      <c r="J328" s="15">
        <f>IF(A328="","",YEAR(A328))</f>
      </c>
      <c r="K328" s="10"/>
      <c r="L328" s="10"/>
    </row>
    <row r="329" spans="1:12" x14ac:dyDescent="0.25">
      <c r="A329" s="16"/>
      <c r="B329" s="10"/>
      <c r="C329" s="13">
        <f>IF(B329="","",IFERROR(INDEX(Ejemplares!$B$5:$B$304,MATCH(B329,Ejemplares!$A$5:$A$304,0)),"Ejemplar no encontrado"))</f>
      </c>
      <c r="D329" s="10"/>
      <c r="E329" s="10"/>
      <c r="F329" s="10"/>
      <c r="G329" s="10"/>
      <c r="H329" s="10"/>
      <c r="I329" s="14">
        <f>IF(D329="","",IF(OR(D329="Ingreso",D329="Traslado entrante"),1,-1))</f>
      </c>
      <c r="J329" s="15">
        <f>IF(A329="","",YEAR(A329))</f>
      </c>
      <c r="K329" s="10"/>
      <c r="L329" s="10"/>
    </row>
    <row r="330" spans="1:12" x14ac:dyDescent="0.25">
      <c r="A330" s="16"/>
      <c r="B330" s="10"/>
      <c r="C330" s="13">
        <f>IF(B330="","",IFERROR(INDEX(Ejemplares!$B$5:$B$304,MATCH(B330,Ejemplares!$A$5:$A$304,0)),"Ejemplar no encontrado"))</f>
      </c>
      <c r="D330" s="10"/>
      <c r="E330" s="10"/>
      <c r="F330" s="10"/>
      <c r="G330" s="10"/>
      <c r="H330" s="10"/>
      <c r="I330" s="14">
        <f>IF(D330="","",IF(OR(D330="Ingreso",D330="Traslado entrante"),1,-1))</f>
      </c>
      <c r="J330" s="15">
        <f>IF(A330="","",YEAR(A330))</f>
      </c>
      <c r="K330" s="10"/>
      <c r="L330" s="10"/>
    </row>
    <row r="331" spans="1:12" x14ac:dyDescent="0.25">
      <c r="A331" s="16"/>
      <c r="B331" s="10"/>
      <c r="C331" s="13">
        <f>IF(B331="","",IFERROR(INDEX(Ejemplares!$B$5:$B$304,MATCH(B331,Ejemplares!$A$5:$A$304,0)),"Ejemplar no encontrado"))</f>
      </c>
      <c r="D331" s="10"/>
      <c r="E331" s="10"/>
      <c r="F331" s="10"/>
      <c r="G331" s="10"/>
      <c r="H331" s="10"/>
      <c r="I331" s="14">
        <f>IF(D331="","",IF(OR(D331="Ingreso",D331="Traslado entrante"),1,-1))</f>
      </c>
      <c r="J331" s="15">
        <f>IF(A331="","",YEAR(A331))</f>
      </c>
      <c r="K331" s="10"/>
      <c r="L331" s="10"/>
    </row>
    <row r="332" spans="1:12" x14ac:dyDescent="0.25">
      <c r="A332" s="16"/>
      <c r="B332" s="10"/>
      <c r="C332" s="13">
        <f>IF(B332="","",IFERROR(INDEX(Ejemplares!$B$5:$B$304,MATCH(B332,Ejemplares!$A$5:$A$304,0)),"Ejemplar no encontrado"))</f>
      </c>
      <c r="D332" s="10"/>
      <c r="E332" s="10"/>
      <c r="F332" s="10"/>
      <c r="G332" s="10"/>
      <c r="H332" s="10"/>
      <c r="I332" s="14">
        <f>IF(D332="","",IF(OR(D332="Ingreso",D332="Traslado entrante"),1,-1))</f>
      </c>
      <c r="J332" s="15">
        <f>IF(A332="","",YEAR(A332))</f>
      </c>
      <c r="K332" s="10"/>
      <c r="L332" s="10"/>
    </row>
    <row r="333" spans="1:12" x14ac:dyDescent="0.25">
      <c r="A333" s="16"/>
      <c r="B333" s="10"/>
      <c r="C333" s="13">
        <f>IF(B333="","",IFERROR(INDEX(Ejemplares!$B$5:$B$304,MATCH(B333,Ejemplares!$A$5:$A$304,0)),"Ejemplar no encontrado"))</f>
      </c>
      <c r="D333" s="10"/>
      <c r="E333" s="10"/>
      <c r="F333" s="10"/>
      <c r="G333" s="10"/>
      <c r="H333" s="10"/>
      <c r="I333" s="14">
        <f>IF(D333="","",IF(OR(D333="Ingreso",D333="Traslado entrante"),1,-1))</f>
      </c>
      <c r="J333" s="15">
        <f>IF(A333="","",YEAR(A333))</f>
      </c>
      <c r="K333" s="10"/>
      <c r="L333" s="10"/>
    </row>
    <row r="334" spans="1:12" x14ac:dyDescent="0.25">
      <c r="A334" s="16"/>
      <c r="B334" s="10"/>
      <c r="C334" s="13">
        <f>IF(B334="","",IFERROR(INDEX(Ejemplares!$B$5:$B$304,MATCH(B334,Ejemplares!$A$5:$A$304,0)),"Ejemplar no encontrado"))</f>
      </c>
      <c r="D334" s="10"/>
      <c r="E334" s="10"/>
      <c r="F334" s="10"/>
      <c r="G334" s="10"/>
      <c r="H334" s="10"/>
      <c r="I334" s="14">
        <f>IF(D334="","",IF(OR(D334="Ingreso",D334="Traslado entrante"),1,-1))</f>
      </c>
      <c r="J334" s="15">
        <f>IF(A334="","",YEAR(A334))</f>
      </c>
      <c r="K334" s="10"/>
      <c r="L334" s="10"/>
    </row>
    <row r="335" spans="1:12" x14ac:dyDescent="0.25">
      <c r="A335" s="16"/>
      <c r="B335" s="10"/>
      <c r="C335" s="13">
        <f>IF(B335="","",IFERROR(INDEX(Ejemplares!$B$5:$B$304,MATCH(B335,Ejemplares!$A$5:$A$304,0)),"Ejemplar no encontrado"))</f>
      </c>
      <c r="D335" s="10"/>
      <c r="E335" s="10"/>
      <c r="F335" s="10"/>
      <c r="G335" s="10"/>
      <c r="H335" s="10"/>
      <c r="I335" s="14">
        <f>IF(D335="","",IF(OR(D335="Ingreso",D335="Traslado entrante"),1,-1))</f>
      </c>
      <c r="J335" s="15">
        <f>IF(A335="","",YEAR(A335))</f>
      </c>
      <c r="K335" s="10"/>
      <c r="L335" s="10"/>
    </row>
    <row r="336" spans="1:12" x14ac:dyDescent="0.25">
      <c r="A336" s="16"/>
      <c r="B336" s="10"/>
      <c r="C336" s="13">
        <f>IF(B336="","",IFERROR(INDEX(Ejemplares!$B$5:$B$304,MATCH(B336,Ejemplares!$A$5:$A$304,0)),"Ejemplar no encontrado"))</f>
      </c>
      <c r="D336" s="10"/>
      <c r="E336" s="10"/>
      <c r="F336" s="10"/>
      <c r="G336" s="10"/>
      <c r="H336" s="10"/>
      <c r="I336" s="14">
        <f>IF(D336="","",IF(OR(D336="Ingreso",D336="Traslado entrante"),1,-1))</f>
      </c>
      <c r="J336" s="15">
        <f>IF(A336="","",YEAR(A336))</f>
      </c>
      <c r="K336" s="10"/>
      <c r="L336" s="10"/>
    </row>
    <row r="337" spans="1:12" x14ac:dyDescent="0.25">
      <c r="A337" s="16"/>
      <c r="B337" s="10"/>
      <c r="C337" s="13">
        <f>IF(B337="","",IFERROR(INDEX(Ejemplares!$B$5:$B$304,MATCH(B337,Ejemplares!$A$5:$A$304,0)),"Ejemplar no encontrado"))</f>
      </c>
      <c r="D337" s="10"/>
      <c r="E337" s="10"/>
      <c r="F337" s="10"/>
      <c r="G337" s="10"/>
      <c r="H337" s="10"/>
      <c r="I337" s="14">
        <f>IF(D337="","",IF(OR(D337="Ingreso",D337="Traslado entrante"),1,-1))</f>
      </c>
      <c r="J337" s="15">
        <f>IF(A337="","",YEAR(A337))</f>
      </c>
      <c r="K337" s="10"/>
      <c r="L337" s="10"/>
    </row>
    <row r="338" spans="1:12" x14ac:dyDescent="0.25">
      <c r="A338" s="16"/>
      <c r="B338" s="10"/>
      <c r="C338" s="13">
        <f>IF(B338="","",IFERROR(INDEX(Ejemplares!$B$5:$B$304,MATCH(B338,Ejemplares!$A$5:$A$304,0)),"Ejemplar no encontrado"))</f>
      </c>
      <c r="D338" s="10"/>
      <c r="E338" s="10"/>
      <c r="F338" s="10"/>
      <c r="G338" s="10"/>
      <c r="H338" s="10"/>
      <c r="I338" s="14">
        <f>IF(D338="","",IF(OR(D338="Ingreso",D338="Traslado entrante"),1,-1))</f>
      </c>
      <c r="J338" s="15">
        <f>IF(A338="","",YEAR(A338))</f>
      </c>
      <c r="K338" s="10"/>
      <c r="L338" s="10"/>
    </row>
    <row r="339" spans="1:12" x14ac:dyDescent="0.25">
      <c r="A339" s="16"/>
      <c r="B339" s="10"/>
      <c r="C339" s="13">
        <f>IF(B339="","",IFERROR(INDEX(Ejemplares!$B$5:$B$304,MATCH(B339,Ejemplares!$A$5:$A$304,0)),"Ejemplar no encontrado"))</f>
      </c>
      <c r="D339" s="10"/>
      <c r="E339" s="10"/>
      <c r="F339" s="10"/>
      <c r="G339" s="10"/>
      <c r="H339" s="10"/>
      <c r="I339" s="14">
        <f>IF(D339="","",IF(OR(D339="Ingreso",D339="Traslado entrante"),1,-1))</f>
      </c>
      <c r="J339" s="15">
        <f>IF(A339="","",YEAR(A339))</f>
      </c>
      <c r="K339" s="10"/>
      <c r="L339" s="10"/>
    </row>
    <row r="340" spans="1:12" x14ac:dyDescent="0.25">
      <c r="A340" s="16"/>
      <c r="B340" s="10"/>
      <c r="C340" s="13">
        <f>IF(B340="","",IFERROR(INDEX(Ejemplares!$B$5:$B$304,MATCH(B340,Ejemplares!$A$5:$A$304,0)),"Ejemplar no encontrado"))</f>
      </c>
      <c r="D340" s="10"/>
      <c r="E340" s="10"/>
      <c r="F340" s="10"/>
      <c r="G340" s="10"/>
      <c r="H340" s="10"/>
      <c r="I340" s="14">
        <f>IF(D340="","",IF(OR(D340="Ingreso",D340="Traslado entrante"),1,-1))</f>
      </c>
      <c r="J340" s="15">
        <f>IF(A340="","",YEAR(A340))</f>
      </c>
      <c r="K340" s="10"/>
      <c r="L340" s="10"/>
    </row>
    <row r="341" spans="1:12" x14ac:dyDescent="0.25">
      <c r="A341" s="16"/>
      <c r="B341" s="10"/>
      <c r="C341" s="13">
        <f>IF(B341="","",IFERROR(INDEX(Ejemplares!$B$5:$B$304,MATCH(B341,Ejemplares!$A$5:$A$304,0)),"Ejemplar no encontrado"))</f>
      </c>
      <c r="D341" s="10"/>
      <c r="E341" s="10"/>
      <c r="F341" s="10"/>
      <c r="G341" s="10"/>
      <c r="H341" s="10"/>
      <c r="I341" s="14">
        <f>IF(D341="","",IF(OR(D341="Ingreso",D341="Traslado entrante"),1,-1))</f>
      </c>
      <c r="J341" s="15">
        <f>IF(A341="","",YEAR(A341))</f>
      </c>
      <c r="K341" s="10"/>
      <c r="L341" s="10"/>
    </row>
    <row r="342" spans="1:12" x14ac:dyDescent="0.25">
      <c r="A342" s="16"/>
      <c r="B342" s="10"/>
      <c r="C342" s="13">
        <f>IF(B342="","",IFERROR(INDEX(Ejemplares!$B$5:$B$304,MATCH(B342,Ejemplares!$A$5:$A$304,0)),"Ejemplar no encontrado"))</f>
      </c>
      <c r="D342" s="10"/>
      <c r="E342" s="10"/>
      <c r="F342" s="10"/>
      <c r="G342" s="10"/>
      <c r="H342" s="10"/>
      <c r="I342" s="14">
        <f>IF(D342="","",IF(OR(D342="Ingreso",D342="Traslado entrante"),1,-1))</f>
      </c>
      <c r="J342" s="15">
        <f>IF(A342="","",YEAR(A342))</f>
      </c>
      <c r="K342" s="10"/>
      <c r="L342" s="10"/>
    </row>
    <row r="343" spans="1:12" x14ac:dyDescent="0.25">
      <c r="A343" s="16"/>
      <c r="B343" s="10"/>
      <c r="C343" s="13">
        <f>IF(B343="","",IFERROR(INDEX(Ejemplares!$B$5:$B$304,MATCH(B343,Ejemplares!$A$5:$A$304,0)),"Ejemplar no encontrado"))</f>
      </c>
      <c r="D343" s="10"/>
      <c r="E343" s="10"/>
      <c r="F343" s="10"/>
      <c r="G343" s="10"/>
      <c r="H343" s="10"/>
      <c r="I343" s="14">
        <f>IF(D343="","",IF(OR(D343="Ingreso",D343="Traslado entrante"),1,-1))</f>
      </c>
      <c r="J343" s="15">
        <f>IF(A343="","",YEAR(A343))</f>
      </c>
      <c r="K343" s="10"/>
      <c r="L343" s="10"/>
    </row>
    <row r="344" spans="1:12" x14ac:dyDescent="0.25">
      <c r="A344" s="16"/>
      <c r="B344" s="10"/>
      <c r="C344" s="13">
        <f>IF(B344="","",IFERROR(INDEX(Ejemplares!$B$5:$B$304,MATCH(B344,Ejemplares!$A$5:$A$304,0)),"Ejemplar no encontrado"))</f>
      </c>
      <c r="D344" s="10"/>
      <c r="E344" s="10"/>
      <c r="F344" s="10"/>
      <c r="G344" s="10"/>
      <c r="H344" s="10"/>
      <c r="I344" s="14">
        <f>IF(D344="","",IF(OR(D344="Ingreso",D344="Traslado entrante"),1,-1))</f>
      </c>
      <c r="J344" s="15">
        <f>IF(A344="","",YEAR(A344))</f>
      </c>
      <c r="K344" s="10"/>
      <c r="L344" s="10"/>
    </row>
    <row r="345" spans="1:12" x14ac:dyDescent="0.25">
      <c r="A345" s="16"/>
      <c r="B345" s="10"/>
      <c r="C345" s="13">
        <f>IF(B345="","",IFERROR(INDEX(Ejemplares!$B$5:$B$304,MATCH(B345,Ejemplares!$A$5:$A$304,0)),"Ejemplar no encontrado"))</f>
      </c>
      <c r="D345" s="10"/>
      <c r="E345" s="10"/>
      <c r="F345" s="10"/>
      <c r="G345" s="10"/>
      <c r="H345" s="10"/>
      <c r="I345" s="14">
        <f>IF(D345="","",IF(OR(D345="Ingreso",D345="Traslado entrante"),1,-1))</f>
      </c>
      <c r="J345" s="15">
        <f>IF(A345="","",YEAR(A345))</f>
      </c>
      <c r="K345" s="10"/>
      <c r="L345" s="10"/>
    </row>
    <row r="346" spans="1:12" x14ac:dyDescent="0.25">
      <c r="A346" s="16"/>
      <c r="B346" s="10"/>
      <c r="C346" s="13">
        <f>IF(B346="","",IFERROR(INDEX(Ejemplares!$B$5:$B$304,MATCH(B346,Ejemplares!$A$5:$A$304,0)),"Ejemplar no encontrado"))</f>
      </c>
      <c r="D346" s="10"/>
      <c r="E346" s="10"/>
      <c r="F346" s="10"/>
      <c r="G346" s="10"/>
      <c r="H346" s="10"/>
      <c r="I346" s="14">
        <f>IF(D346="","",IF(OR(D346="Ingreso",D346="Traslado entrante"),1,-1))</f>
      </c>
      <c r="J346" s="15">
        <f>IF(A346="","",YEAR(A346))</f>
      </c>
      <c r="K346" s="10"/>
      <c r="L346" s="10"/>
    </row>
    <row r="347" spans="1:12" x14ac:dyDescent="0.25">
      <c r="A347" s="16"/>
      <c r="B347" s="10"/>
      <c r="C347" s="13">
        <f>IF(B347="","",IFERROR(INDEX(Ejemplares!$B$5:$B$304,MATCH(B347,Ejemplares!$A$5:$A$304,0)),"Ejemplar no encontrado"))</f>
      </c>
      <c r="D347" s="10"/>
      <c r="E347" s="10"/>
      <c r="F347" s="10"/>
      <c r="G347" s="10"/>
      <c r="H347" s="10"/>
      <c r="I347" s="14">
        <f>IF(D347="","",IF(OR(D347="Ingreso",D347="Traslado entrante"),1,-1))</f>
      </c>
      <c r="J347" s="15">
        <f>IF(A347="","",YEAR(A347))</f>
      </c>
      <c r="K347" s="10"/>
      <c r="L347" s="10"/>
    </row>
    <row r="348" spans="1:12" x14ac:dyDescent="0.25">
      <c r="A348" s="16"/>
      <c r="B348" s="10"/>
      <c r="C348" s="13">
        <f>IF(B348="","",IFERROR(INDEX(Ejemplares!$B$5:$B$304,MATCH(B348,Ejemplares!$A$5:$A$304,0)),"Ejemplar no encontrado"))</f>
      </c>
      <c r="D348" s="10"/>
      <c r="E348" s="10"/>
      <c r="F348" s="10"/>
      <c r="G348" s="10"/>
      <c r="H348" s="10"/>
      <c r="I348" s="14">
        <f>IF(D348="","",IF(OR(D348="Ingreso",D348="Traslado entrante"),1,-1))</f>
      </c>
      <c r="J348" s="15">
        <f>IF(A348="","",YEAR(A348))</f>
      </c>
      <c r="K348" s="10"/>
      <c r="L348" s="10"/>
    </row>
    <row r="349" spans="1:12" x14ac:dyDescent="0.25">
      <c r="A349" s="16"/>
      <c r="B349" s="10"/>
      <c r="C349" s="13">
        <f>IF(B349="","",IFERROR(INDEX(Ejemplares!$B$5:$B$304,MATCH(B349,Ejemplares!$A$5:$A$304,0)),"Ejemplar no encontrado"))</f>
      </c>
      <c r="D349" s="10"/>
      <c r="E349" s="10"/>
      <c r="F349" s="10"/>
      <c r="G349" s="10"/>
      <c r="H349" s="10"/>
      <c r="I349" s="14">
        <f>IF(D349="","",IF(OR(D349="Ingreso",D349="Traslado entrante"),1,-1))</f>
      </c>
      <c r="J349" s="15">
        <f>IF(A349="","",YEAR(A349))</f>
      </c>
      <c r="K349" s="10"/>
      <c r="L349" s="10"/>
    </row>
    <row r="350" spans="1:12" x14ac:dyDescent="0.25">
      <c r="A350" s="16"/>
      <c r="B350" s="10"/>
      <c r="C350" s="13">
        <f>IF(B350="","",IFERROR(INDEX(Ejemplares!$B$5:$B$304,MATCH(B350,Ejemplares!$A$5:$A$304,0)),"Ejemplar no encontrado"))</f>
      </c>
      <c r="D350" s="10"/>
      <c r="E350" s="10"/>
      <c r="F350" s="10"/>
      <c r="G350" s="10"/>
      <c r="H350" s="10"/>
      <c r="I350" s="14">
        <f>IF(D350="","",IF(OR(D350="Ingreso",D350="Traslado entrante"),1,-1))</f>
      </c>
      <c r="J350" s="15">
        <f>IF(A350="","",YEAR(A350))</f>
      </c>
      <c r="K350" s="10"/>
      <c r="L350" s="10"/>
    </row>
    <row r="351" spans="1:12" x14ac:dyDescent="0.25">
      <c r="A351" s="16"/>
      <c r="B351" s="10"/>
      <c r="C351" s="13">
        <f>IF(B351="","",IFERROR(INDEX(Ejemplares!$B$5:$B$304,MATCH(B351,Ejemplares!$A$5:$A$304,0)),"Ejemplar no encontrado"))</f>
      </c>
      <c r="D351" s="10"/>
      <c r="E351" s="10"/>
      <c r="F351" s="10"/>
      <c r="G351" s="10"/>
      <c r="H351" s="10"/>
      <c r="I351" s="14">
        <f>IF(D351="","",IF(OR(D351="Ingreso",D351="Traslado entrante"),1,-1))</f>
      </c>
      <c r="J351" s="15">
        <f>IF(A351="","",YEAR(A351))</f>
      </c>
      <c r="K351" s="10"/>
      <c r="L351" s="10"/>
    </row>
    <row r="352" spans="1:12" x14ac:dyDescent="0.25">
      <c r="A352" s="16"/>
      <c r="B352" s="10"/>
      <c r="C352" s="13">
        <f>IF(B352="","",IFERROR(INDEX(Ejemplares!$B$5:$B$304,MATCH(B352,Ejemplares!$A$5:$A$304,0)),"Ejemplar no encontrado"))</f>
      </c>
      <c r="D352" s="10"/>
      <c r="E352" s="10"/>
      <c r="F352" s="10"/>
      <c r="G352" s="10"/>
      <c r="H352" s="10"/>
      <c r="I352" s="14">
        <f>IF(D352="","",IF(OR(D352="Ingreso",D352="Traslado entrante"),1,-1))</f>
      </c>
      <c r="J352" s="15">
        <f>IF(A352="","",YEAR(A352))</f>
      </c>
      <c r="K352" s="10"/>
      <c r="L352" s="10"/>
    </row>
    <row r="353" spans="1:12" x14ac:dyDescent="0.25">
      <c r="A353" s="16"/>
      <c r="B353" s="10"/>
      <c r="C353" s="13">
        <f>IF(B353="","",IFERROR(INDEX(Ejemplares!$B$5:$B$304,MATCH(B353,Ejemplares!$A$5:$A$304,0)),"Ejemplar no encontrado"))</f>
      </c>
      <c r="D353" s="10"/>
      <c r="E353" s="10"/>
      <c r="F353" s="10"/>
      <c r="G353" s="10"/>
      <c r="H353" s="10"/>
      <c r="I353" s="14">
        <f>IF(D353="","",IF(OR(D353="Ingreso",D353="Traslado entrante"),1,-1))</f>
      </c>
      <c r="J353" s="15">
        <f>IF(A353="","",YEAR(A353))</f>
      </c>
      <c r="K353" s="10"/>
      <c r="L353" s="10"/>
    </row>
    <row r="354" spans="1:12" x14ac:dyDescent="0.25">
      <c r="A354" s="16"/>
      <c r="B354" s="10"/>
      <c r="C354" s="13">
        <f>IF(B354="","",IFERROR(INDEX(Ejemplares!$B$5:$B$304,MATCH(B354,Ejemplares!$A$5:$A$304,0)),"Ejemplar no encontrado"))</f>
      </c>
      <c r="D354" s="10"/>
      <c r="E354" s="10"/>
      <c r="F354" s="10"/>
      <c r="G354" s="10"/>
      <c r="H354" s="10"/>
      <c r="I354" s="14">
        <f>IF(D354="","",IF(OR(D354="Ingreso",D354="Traslado entrante"),1,-1))</f>
      </c>
      <c r="J354" s="15">
        <f>IF(A354="","",YEAR(A354))</f>
      </c>
      <c r="K354" s="10"/>
      <c r="L354" s="10"/>
    </row>
    <row r="355" spans="1:12" x14ac:dyDescent="0.25">
      <c r="A355" s="16"/>
      <c r="B355" s="10"/>
      <c r="C355" s="13">
        <f>IF(B355="","",IFERROR(INDEX(Ejemplares!$B$5:$B$304,MATCH(B355,Ejemplares!$A$5:$A$304,0)),"Ejemplar no encontrado"))</f>
      </c>
      <c r="D355" s="10"/>
      <c r="E355" s="10"/>
      <c r="F355" s="10"/>
      <c r="G355" s="10"/>
      <c r="H355" s="10"/>
      <c r="I355" s="14">
        <f>IF(D355="","",IF(OR(D355="Ingreso",D355="Traslado entrante"),1,-1))</f>
      </c>
      <c r="J355" s="15">
        <f>IF(A355="","",YEAR(A355))</f>
      </c>
      <c r="K355" s="10"/>
      <c r="L355" s="10"/>
    </row>
    <row r="356" spans="1:12" x14ac:dyDescent="0.25">
      <c r="A356" s="16"/>
      <c r="B356" s="10"/>
      <c r="C356" s="13">
        <f>IF(B356="","",IFERROR(INDEX(Ejemplares!$B$5:$B$304,MATCH(B356,Ejemplares!$A$5:$A$304,0)),"Ejemplar no encontrado"))</f>
      </c>
      <c r="D356" s="10"/>
      <c r="E356" s="10"/>
      <c r="F356" s="10"/>
      <c r="G356" s="10"/>
      <c r="H356" s="10"/>
      <c r="I356" s="14">
        <f>IF(D356="","",IF(OR(D356="Ingreso",D356="Traslado entrante"),1,-1))</f>
      </c>
      <c r="J356" s="15">
        <f>IF(A356="","",YEAR(A356))</f>
      </c>
      <c r="K356" s="10"/>
      <c r="L356" s="10"/>
    </row>
    <row r="357" spans="1:12" x14ac:dyDescent="0.25">
      <c r="A357" s="16"/>
      <c r="B357" s="10"/>
      <c r="C357" s="13">
        <f>IF(B357="","",IFERROR(INDEX(Ejemplares!$B$5:$B$304,MATCH(B357,Ejemplares!$A$5:$A$304,0)),"Ejemplar no encontrado"))</f>
      </c>
      <c r="D357" s="10"/>
      <c r="E357" s="10"/>
      <c r="F357" s="10"/>
      <c r="G357" s="10"/>
      <c r="H357" s="10"/>
      <c r="I357" s="14">
        <f>IF(D357="","",IF(OR(D357="Ingreso",D357="Traslado entrante"),1,-1))</f>
      </c>
      <c r="J357" s="15">
        <f>IF(A357="","",YEAR(A357))</f>
      </c>
      <c r="K357" s="10"/>
      <c r="L357" s="10"/>
    </row>
    <row r="358" spans="1:12" x14ac:dyDescent="0.25">
      <c r="A358" s="16"/>
      <c r="B358" s="10"/>
      <c r="C358" s="13">
        <f>IF(B358="","",IFERROR(INDEX(Ejemplares!$B$5:$B$304,MATCH(B358,Ejemplares!$A$5:$A$304,0)),"Ejemplar no encontrado"))</f>
      </c>
      <c r="D358" s="10"/>
      <c r="E358" s="10"/>
      <c r="F358" s="10"/>
      <c r="G358" s="10"/>
      <c r="H358" s="10"/>
      <c r="I358" s="14">
        <f>IF(D358="","",IF(OR(D358="Ingreso",D358="Traslado entrante"),1,-1))</f>
      </c>
      <c r="J358" s="15">
        <f>IF(A358="","",YEAR(A358))</f>
      </c>
      <c r="K358" s="10"/>
      <c r="L358" s="10"/>
    </row>
    <row r="359" spans="1:12" x14ac:dyDescent="0.25">
      <c r="A359" s="16"/>
      <c r="B359" s="10"/>
      <c r="C359" s="13">
        <f>IF(B359="","",IFERROR(INDEX(Ejemplares!$B$5:$B$304,MATCH(B359,Ejemplares!$A$5:$A$304,0)),"Ejemplar no encontrado"))</f>
      </c>
      <c r="D359" s="10"/>
      <c r="E359" s="10"/>
      <c r="F359" s="10"/>
      <c r="G359" s="10"/>
      <c r="H359" s="10"/>
      <c r="I359" s="14">
        <f>IF(D359="","",IF(OR(D359="Ingreso",D359="Traslado entrante"),1,-1))</f>
      </c>
      <c r="J359" s="15">
        <f>IF(A359="","",YEAR(A359))</f>
      </c>
      <c r="K359" s="10"/>
      <c r="L359" s="10"/>
    </row>
    <row r="360" spans="1:12" x14ac:dyDescent="0.25">
      <c r="A360" s="16"/>
      <c r="B360" s="10"/>
      <c r="C360" s="13">
        <f>IF(B360="","",IFERROR(INDEX(Ejemplares!$B$5:$B$304,MATCH(B360,Ejemplares!$A$5:$A$304,0)),"Ejemplar no encontrado"))</f>
      </c>
      <c r="D360" s="10"/>
      <c r="E360" s="10"/>
      <c r="F360" s="10"/>
      <c r="G360" s="10"/>
      <c r="H360" s="10"/>
      <c r="I360" s="14">
        <f>IF(D360="","",IF(OR(D360="Ingreso",D360="Traslado entrante"),1,-1))</f>
      </c>
      <c r="J360" s="15">
        <f>IF(A360="","",YEAR(A360))</f>
      </c>
      <c r="K360" s="10"/>
      <c r="L360" s="10"/>
    </row>
    <row r="361" spans="1:12" x14ac:dyDescent="0.25">
      <c r="A361" s="16"/>
      <c r="B361" s="10"/>
      <c r="C361" s="13">
        <f>IF(B361="","",IFERROR(INDEX(Ejemplares!$B$5:$B$304,MATCH(B361,Ejemplares!$A$5:$A$304,0)),"Ejemplar no encontrado"))</f>
      </c>
      <c r="D361" s="10"/>
      <c r="E361" s="10"/>
      <c r="F361" s="10"/>
      <c r="G361" s="10"/>
      <c r="H361" s="10"/>
      <c r="I361" s="14">
        <f>IF(D361="","",IF(OR(D361="Ingreso",D361="Traslado entrante"),1,-1))</f>
      </c>
      <c r="J361" s="15">
        <f>IF(A361="","",YEAR(A361))</f>
      </c>
      <c r="K361" s="10"/>
      <c r="L361" s="10"/>
    </row>
    <row r="362" spans="1:12" x14ac:dyDescent="0.25">
      <c r="A362" s="16"/>
      <c r="B362" s="10"/>
      <c r="C362" s="13">
        <f>IF(B362="","",IFERROR(INDEX(Ejemplares!$B$5:$B$304,MATCH(B362,Ejemplares!$A$5:$A$304,0)),"Ejemplar no encontrado"))</f>
      </c>
      <c r="D362" s="10"/>
      <c r="E362" s="10"/>
      <c r="F362" s="10"/>
      <c r="G362" s="10"/>
      <c r="H362" s="10"/>
      <c r="I362" s="14">
        <f>IF(D362="","",IF(OR(D362="Ingreso",D362="Traslado entrante"),1,-1))</f>
      </c>
      <c r="J362" s="15">
        <f>IF(A362="","",YEAR(A362))</f>
      </c>
      <c r="K362" s="10"/>
      <c r="L362" s="10"/>
    </row>
    <row r="363" spans="1:12" x14ac:dyDescent="0.25">
      <c r="A363" s="16"/>
      <c r="B363" s="10"/>
      <c r="C363" s="13">
        <f>IF(B363="","",IFERROR(INDEX(Ejemplares!$B$5:$B$304,MATCH(B363,Ejemplares!$A$5:$A$304,0)),"Ejemplar no encontrado"))</f>
      </c>
      <c r="D363" s="10"/>
      <c r="E363" s="10"/>
      <c r="F363" s="10"/>
      <c r="G363" s="10"/>
      <c r="H363" s="10"/>
      <c r="I363" s="14">
        <f>IF(D363="","",IF(OR(D363="Ingreso",D363="Traslado entrante"),1,-1))</f>
      </c>
      <c r="J363" s="15">
        <f>IF(A363="","",YEAR(A363))</f>
      </c>
      <c r="K363" s="10"/>
      <c r="L363" s="10"/>
    </row>
    <row r="364" spans="1:12" x14ac:dyDescent="0.25">
      <c r="A364" s="16"/>
      <c r="B364" s="10"/>
      <c r="C364" s="13">
        <f>IF(B364="","",IFERROR(INDEX(Ejemplares!$B$5:$B$304,MATCH(B364,Ejemplares!$A$5:$A$304,0)),"Ejemplar no encontrado"))</f>
      </c>
      <c r="D364" s="10"/>
      <c r="E364" s="10"/>
      <c r="F364" s="10"/>
      <c r="G364" s="10"/>
      <c r="H364" s="10"/>
      <c r="I364" s="14">
        <f>IF(D364="","",IF(OR(D364="Ingreso",D364="Traslado entrante"),1,-1))</f>
      </c>
      <c r="J364" s="15">
        <f>IF(A364="","",YEAR(A364))</f>
      </c>
      <c r="K364" s="10"/>
      <c r="L364" s="10"/>
    </row>
    <row r="365" spans="1:12" x14ac:dyDescent="0.25">
      <c r="A365" s="16"/>
      <c r="B365" s="10"/>
      <c r="C365" s="13">
        <f>IF(B365="","",IFERROR(INDEX(Ejemplares!$B$5:$B$304,MATCH(B365,Ejemplares!$A$5:$A$304,0)),"Ejemplar no encontrado"))</f>
      </c>
      <c r="D365" s="10"/>
      <c r="E365" s="10"/>
      <c r="F365" s="10"/>
      <c r="G365" s="10"/>
      <c r="H365" s="10"/>
      <c r="I365" s="14">
        <f>IF(D365="","",IF(OR(D365="Ingreso",D365="Traslado entrante"),1,-1))</f>
      </c>
      <c r="J365" s="15">
        <f>IF(A365="","",YEAR(A365))</f>
      </c>
      <c r="K365" s="10"/>
      <c r="L365" s="10"/>
    </row>
    <row r="366" spans="1:12" x14ac:dyDescent="0.25">
      <c r="A366" s="16"/>
      <c r="B366" s="10"/>
      <c r="C366" s="13">
        <f>IF(B366="","",IFERROR(INDEX(Ejemplares!$B$5:$B$304,MATCH(B366,Ejemplares!$A$5:$A$304,0)),"Ejemplar no encontrado"))</f>
      </c>
      <c r="D366" s="10"/>
      <c r="E366" s="10"/>
      <c r="F366" s="10"/>
      <c r="G366" s="10"/>
      <c r="H366" s="10"/>
      <c r="I366" s="14">
        <f>IF(D366="","",IF(OR(D366="Ingreso",D366="Traslado entrante"),1,-1))</f>
      </c>
      <c r="J366" s="15">
        <f>IF(A366="","",YEAR(A366))</f>
      </c>
      <c r="K366" s="10"/>
      <c r="L366" s="10"/>
    </row>
    <row r="367" spans="1:12" x14ac:dyDescent="0.25">
      <c r="A367" s="16"/>
      <c r="B367" s="10"/>
      <c r="C367" s="13">
        <f>IF(B367="","",IFERROR(INDEX(Ejemplares!$B$5:$B$304,MATCH(B367,Ejemplares!$A$5:$A$304,0)),"Ejemplar no encontrado"))</f>
      </c>
      <c r="D367" s="10"/>
      <c r="E367" s="10"/>
      <c r="F367" s="10"/>
      <c r="G367" s="10"/>
      <c r="H367" s="10"/>
      <c r="I367" s="14">
        <f>IF(D367="","",IF(OR(D367="Ingreso",D367="Traslado entrante"),1,-1))</f>
      </c>
      <c r="J367" s="15">
        <f>IF(A367="","",YEAR(A367))</f>
      </c>
      <c r="K367" s="10"/>
      <c r="L367" s="10"/>
    </row>
    <row r="368" spans="1:12" x14ac:dyDescent="0.25">
      <c r="A368" s="16"/>
      <c r="B368" s="10"/>
      <c r="C368" s="13">
        <f>IF(B368="","",IFERROR(INDEX(Ejemplares!$B$5:$B$304,MATCH(B368,Ejemplares!$A$5:$A$304,0)),"Ejemplar no encontrado"))</f>
      </c>
      <c r="D368" s="10"/>
      <c r="E368" s="10"/>
      <c r="F368" s="10"/>
      <c r="G368" s="10"/>
      <c r="H368" s="10"/>
      <c r="I368" s="14">
        <f>IF(D368="","",IF(OR(D368="Ingreso",D368="Traslado entrante"),1,-1))</f>
      </c>
      <c r="J368" s="15">
        <f>IF(A368="","",YEAR(A368))</f>
      </c>
      <c r="K368" s="10"/>
      <c r="L368" s="10"/>
    </row>
    <row r="369" spans="1:12" x14ac:dyDescent="0.25">
      <c r="A369" s="16"/>
      <c r="B369" s="10"/>
      <c r="C369" s="13">
        <f>IF(B369="","",IFERROR(INDEX(Ejemplares!$B$5:$B$304,MATCH(B369,Ejemplares!$A$5:$A$304,0)),"Ejemplar no encontrado"))</f>
      </c>
      <c r="D369" s="10"/>
      <c r="E369" s="10"/>
      <c r="F369" s="10"/>
      <c r="G369" s="10"/>
      <c r="H369" s="10"/>
      <c r="I369" s="14">
        <f>IF(D369="","",IF(OR(D369="Ingreso",D369="Traslado entrante"),1,-1))</f>
      </c>
      <c r="J369" s="15">
        <f>IF(A369="","",YEAR(A369))</f>
      </c>
      <c r="K369" s="10"/>
      <c r="L369" s="10"/>
    </row>
    <row r="370" spans="1:12" x14ac:dyDescent="0.25">
      <c r="A370" s="16"/>
      <c r="B370" s="10"/>
      <c r="C370" s="13">
        <f>IF(B370="","",IFERROR(INDEX(Ejemplares!$B$5:$B$304,MATCH(B370,Ejemplares!$A$5:$A$304,0)),"Ejemplar no encontrado"))</f>
      </c>
      <c r="D370" s="10"/>
      <c r="E370" s="10"/>
      <c r="F370" s="10"/>
      <c r="G370" s="10"/>
      <c r="H370" s="10"/>
      <c r="I370" s="14">
        <f>IF(D370="","",IF(OR(D370="Ingreso",D370="Traslado entrante"),1,-1))</f>
      </c>
      <c r="J370" s="15">
        <f>IF(A370="","",YEAR(A370))</f>
      </c>
      <c r="K370" s="10"/>
      <c r="L370" s="10"/>
    </row>
    <row r="371" spans="1:12" x14ac:dyDescent="0.25">
      <c r="A371" s="16"/>
      <c r="B371" s="10"/>
      <c r="C371" s="13">
        <f>IF(B371="","",IFERROR(INDEX(Ejemplares!$B$5:$B$304,MATCH(B371,Ejemplares!$A$5:$A$304,0)),"Ejemplar no encontrado"))</f>
      </c>
      <c r="D371" s="10"/>
      <c r="E371" s="10"/>
      <c r="F371" s="10"/>
      <c r="G371" s="10"/>
      <c r="H371" s="10"/>
      <c r="I371" s="14">
        <f>IF(D371="","",IF(OR(D371="Ingreso",D371="Traslado entrante"),1,-1))</f>
      </c>
      <c r="J371" s="15">
        <f>IF(A371="","",YEAR(A371))</f>
      </c>
      <c r="K371" s="10"/>
      <c r="L371" s="10"/>
    </row>
    <row r="372" spans="1:12" x14ac:dyDescent="0.25">
      <c r="A372" s="16"/>
      <c r="B372" s="10"/>
      <c r="C372" s="13">
        <f>IF(B372="","",IFERROR(INDEX(Ejemplares!$B$5:$B$304,MATCH(B372,Ejemplares!$A$5:$A$304,0)),"Ejemplar no encontrado"))</f>
      </c>
      <c r="D372" s="10"/>
      <c r="E372" s="10"/>
      <c r="F372" s="10"/>
      <c r="G372" s="10"/>
      <c r="H372" s="10"/>
      <c r="I372" s="14">
        <f>IF(D372="","",IF(OR(D372="Ingreso",D372="Traslado entrante"),1,-1))</f>
      </c>
      <c r="J372" s="15">
        <f>IF(A372="","",YEAR(A372))</f>
      </c>
      <c r="K372" s="10"/>
      <c r="L372" s="10"/>
    </row>
    <row r="373" spans="1:12" x14ac:dyDescent="0.25">
      <c r="A373" s="16"/>
      <c r="B373" s="10"/>
      <c r="C373" s="13">
        <f>IF(B373="","",IFERROR(INDEX(Ejemplares!$B$5:$B$304,MATCH(B373,Ejemplares!$A$5:$A$304,0)),"Ejemplar no encontrado"))</f>
      </c>
      <c r="D373" s="10"/>
      <c r="E373" s="10"/>
      <c r="F373" s="10"/>
      <c r="G373" s="10"/>
      <c r="H373" s="10"/>
      <c r="I373" s="14">
        <f>IF(D373="","",IF(OR(D373="Ingreso",D373="Traslado entrante"),1,-1))</f>
      </c>
      <c r="J373" s="15">
        <f>IF(A373="","",YEAR(A373))</f>
      </c>
      <c r="K373" s="10"/>
      <c r="L373" s="10"/>
    </row>
    <row r="374" spans="1:12" x14ac:dyDescent="0.25">
      <c r="A374" s="16"/>
      <c r="B374" s="10"/>
      <c r="C374" s="13">
        <f>IF(B374="","",IFERROR(INDEX(Ejemplares!$B$5:$B$304,MATCH(B374,Ejemplares!$A$5:$A$304,0)),"Ejemplar no encontrado"))</f>
      </c>
      <c r="D374" s="10"/>
      <c r="E374" s="10"/>
      <c r="F374" s="10"/>
      <c r="G374" s="10"/>
      <c r="H374" s="10"/>
      <c r="I374" s="14">
        <f>IF(D374="","",IF(OR(D374="Ingreso",D374="Traslado entrante"),1,-1))</f>
      </c>
      <c r="J374" s="15">
        <f>IF(A374="","",YEAR(A374))</f>
      </c>
      <c r="K374" s="10"/>
      <c r="L374" s="10"/>
    </row>
    <row r="375" spans="1:12" x14ac:dyDescent="0.25">
      <c r="A375" s="16"/>
      <c r="B375" s="10"/>
      <c r="C375" s="13">
        <f>IF(B375="","",IFERROR(INDEX(Ejemplares!$B$5:$B$304,MATCH(B375,Ejemplares!$A$5:$A$304,0)),"Ejemplar no encontrado"))</f>
      </c>
      <c r="D375" s="10"/>
      <c r="E375" s="10"/>
      <c r="F375" s="10"/>
      <c r="G375" s="10"/>
      <c r="H375" s="10"/>
      <c r="I375" s="14">
        <f>IF(D375="","",IF(OR(D375="Ingreso",D375="Traslado entrante"),1,-1))</f>
      </c>
      <c r="J375" s="15">
        <f>IF(A375="","",YEAR(A375))</f>
      </c>
      <c r="K375" s="10"/>
      <c r="L375" s="10"/>
    </row>
    <row r="376" spans="1:12" x14ac:dyDescent="0.25">
      <c r="A376" s="16"/>
      <c r="B376" s="10"/>
      <c r="C376" s="13">
        <f>IF(B376="","",IFERROR(INDEX(Ejemplares!$B$5:$B$304,MATCH(B376,Ejemplares!$A$5:$A$304,0)),"Ejemplar no encontrado"))</f>
      </c>
      <c r="D376" s="10"/>
      <c r="E376" s="10"/>
      <c r="F376" s="10"/>
      <c r="G376" s="10"/>
      <c r="H376" s="10"/>
      <c r="I376" s="14">
        <f>IF(D376="","",IF(OR(D376="Ingreso",D376="Traslado entrante"),1,-1))</f>
      </c>
      <c r="J376" s="15">
        <f>IF(A376="","",YEAR(A376))</f>
      </c>
      <c r="K376" s="10"/>
      <c r="L376" s="10"/>
    </row>
    <row r="377" spans="1:12" x14ac:dyDescent="0.25">
      <c r="A377" s="16"/>
      <c r="B377" s="10"/>
      <c r="C377" s="13">
        <f>IF(B377="","",IFERROR(INDEX(Ejemplares!$B$5:$B$304,MATCH(B377,Ejemplares!$A$5:$A$304,0)),"Ejemplar no encontrado"))</f>
      </c>
      <c r="D377" s="10"/>
      <c r="E377" s="10"/>
      <c r="F377" s="10"/>
      <c r="G377" s="10"/>
      <c r="H377" s="10"/>
      <c r="I377" s="14">
        <f>IF(D377="","",IF(OR(D377="Ingreso",D377="Traslado entrante"),1,-1))</f>
      </c>
      <c r="J377" s="15">
        <f>IF(A377="","",YEAR(A377))</f>
      </c>
      <c r="K377" s="10"/>
      <c r="L377" s="10"/>
    </row>
    <row r="378" spans="1:12" x14ac:dyDescent="0.25">
      <c r="A378" s="16"/>
      <c r="B378" s="10"/>
      <c r="C378" s="13">
        <f>IF(B378="","",IFERROR(INDEX(Ejemplares!$B$5:$B$304,MATCH(B378,Ejemplares!$A$5:$A$304,0)),"Ejemplar no encontrado"))</f>
      </c>
      <c r="D378" s="10"/>
      <c r="E378" s="10"/>
      <c r="F378" s="10"/>
      <c r="G378" s="10"/>
      <c r="H378" s="10"/>
      <c r="I378" s="14">
        <f>IF(D378="","",IF(OR(D378="Ingreso",D378="Traslado entrante"),1,-1))</f>
      </c>
      <c r="J378" s="15">
        <f>IF(A378="","",YEAR(A378))</f>
      </c>
      <c r="K378" s="10"/>
      <c r="L378" s="10"/>
    </row>
    <row r="379" spans="1:12" x14ac:dyDescent="0.25">
      <c r="A379" s="16"/>
      <c r="B379" s="10"/>
      <c r="C379" s="13">
        <f>IF(B379="","",IFERROR(INDEX(Ejemplares!$B$5:$B$304,MATCH(B379,Ejemplares!$A$5:$A$304,0)),"Ejemplar no encontrado"))</f>
      </c>
      <c r="D379" s="10"/>
      <c r="E379" s="10"/>
      <c r="F379" s="10"/>
      <c r="G379" s="10"/>
      <c r="H379" s="10"/>
      <c r="I379" s="14">
        <f>IF(D379="","",IF(OR(D379="Ingreso",D379="Traslado entrante"),1,-1))</f>
      </c>
      <c r="J379" s="15">
        <f>IF(A379="","",YEAR(A379))</f>
      </c>
      <c r="K379" s="10"/>
      <c r="L379" s="10"/>
    </row>
    <row r="380" spans="1:12" x14ac:dyDescent="0.25">
      <c r="A380" s="16"/>
      <c r="B380" s="10"/>
      <c r="C380" s="13">
        <f>IF(B380="","",IFERROR(INDEX(Ejemplares!$B$5:$B$304,MATCH(B380,Ejemplares!$A$5:$A$304,0)),"Ejemplar no encontrado"))</f>
      </c>
      <c r="D380" s="10"/>
      <c r="E380" s="10"/>
      <c r="F380" s="10"/>
      <c r="G380" s="10"/>
      <c r="H380" s="10"/>
      <c r="I380" s="14">
        <f>IF(D380="","",IF(OR(D380="Ingreso",D380="Traslado entrante"),1,-1))</f>
      </c>
      <c r="J380" s="15">
        <f>IF(A380="","",YEAR(A380))</f>
      </c>
      <c r="K380" s="10"/>
      <c r="L380" s="10"/>
    </row>
    <row r="381" spans="1:12" x14ac:dyDescent="0.25">
      <c r="A381" s="16"/>
      <c r="B381" s="10"/>
      <c r="C381" s="13">
        <f>IF(B381="","",IFERROR(INDEX(Ejemplares!$B$5:$B$304,MATCH(B381,Ejemplares!$A$5:$A$304,0)),"Ejemplar no encontrado"))</f>
      </c>
      <c r="D381" s="10"/>
      <c r="E381" s="10"/>
      <c r="F381" s="10"/>
      <c r="G381" s="10"/>
      <c r="H381" s="10"/>
      <c r="I381" s="14">
        <f>IF(D381="","",IF(OR(D381="Ingreso",D381="Traslado entrante"),1,-1))</f>
      </c>
      <c r="J381" s="15">
        <f>IF(A381="","",YEAR(A381))</f>
      </c>
      <c r="K381" s="10"/>
      <c r="L381" s="10"/>
    </row>
    <row r="382" spans="1:12" x14ac:dyDescent="0.25">
      <c r="A382" s="16"/>
      <c r="B382" s="10"/>
      <c r="C382" s="13">
        <f>IF(B382="","",IFERROR(INDEX(Ejemplares!$B$5:$B$304,MATCH(B382,Ejemplares!$A$5:$A$304,0)),"Ejemplar no encontrado"))</f>
      </c>
      <c r="D382" s="10"/>
      <c r="E382" s="10"/>
      <c r="F382" s="10"/>
      <c r="G382" s="10"/>
      <c r="H382" s="10"/>
      <c r="I382" s="14">
        <f>IF(D382="","",IF(OR(D382="Ingreso",D382="Traslado entrante"),1,-1))</f>
      </c>
      <c r="J382" s="15">
        <f>IF(A382="","",YEAR(A382))</f>
      </c>
      <c r="K382" s="10"/>
      <c r="L382" s="10"/>
    </row>
    <row r="383" spans="1:12" x14ac:dyDescent="0.25">
      <c r="A383" s="16"/>
      <c r="B383" s="10"/>
      <c r="C383" s="13">
        <f>IF(B383="","",IFERROR(INDEX(Ejemplares!$B$5:$B$304,MATCH(B383,Ejemplares!$A$5:$A$304,0)),"Ejemplar no encontrado"))</f>
      </c>
      <c r="D383" s="10"/>
      <c r="E383" s="10"/>
      <c r="F383" s="10"/>
      <c r="G383" s="10"/>
      <c r="H383" s="10"/>
      <c r="I383" s="14">
        <f>IF(D383="","",IF(OR(D383="Ingreso",D383="Traslado entrante"),1,-1))</f>
      </c>
      <c r="J383" s="15">
        <f>IF(A383="","",YEAR(A383))</f>
      </c>
      <c r="K383" s="10"/>
      <c r="L383" s="10"/>
    </row>
    <row r="384" spans="1:12" x14ac:dyDescent="0.25">
      <c r="A384" s="16"/>
      <c r="B384" s="10"/>
      <c r="C384" s="13">
        <f>IF(B384="","",IFERROR(INDEX(Ejemplares!$B$5:$B$304,MATCH(B384,Ejemplares!$A$5:$A$304,0)),"Ejemplar no encontrado"))</f>
      </c>
      <c r="D384" s="10"/>
      <c r="E384" s="10"/>
      <c r="F384" s="10"/>
      <c r="G384" s="10"/>
      <c r="H384" s="10"/>
      <c r="I384" s="14">
        <f>IF(D384="","",IF(OR(D384="Ingreso",D384="Traslado entrante"),1,-1))</f>
      </c>
      <c r="J384" s="15">
        <f>IF(A384="","",YEAR(A384))</f>
      </c>
      <c r="K384" s="10"/>
      <c r="L384" s="10"/>
    </row>
    <row r="385" spans="1:12" x14ac:dyDescent="0.25">
      <c r="A385" s="16"/>
      <c r="B385" s="10"/>
      <c r="C385" s="13">
        <f>IF(B385="","",IFERROR(INDEX(Ejemplares!$B$5:$B$304,MATCH(B385,Ejemplares!$A$5:$A$304,0)),"Ejemplar no encontrado"))</f>
      </c>
      <c r="D385" s="10"/>
      <c r="E385" s="10"/>
      <c r="F385" s="10"/>
      <c r="G385" s="10"/>
      <c r="H385" s="10"/>
      <c r="I385" s="14">
        <f>IF(D385="","",IF(OR(D385="Ingreso",D385="Traslado entrante"),1,-1))</f>
      </c>
      <c r="J385" s="15">
        <f>IF(A385="","",YEAR(A385))</f>
      </c>
      <c r="K385" s="10"/>
      <c r="L385" s="10"/>
    </row>
    <row r="386" spans="1:12" x14ac:dyDescent="0.25">
      <c r="A386" s="16"/>
      <c r="B386" s="10"/>
      <c r="C386" s="13">
        <f>IF(B386="","",IFERROR(INDEX(Ejemplares!$B$5:$B$304,MATCH(B386,Ejemplares!$A$5:$A$304,0)),"Ejemplar no encontrado"))</f>
      </c>
      <c r="D386" s="10"/>
      <c r="E386" s="10"/>
      <c r="F386" s="10"/>
      <c r="G386" s="10"/>
      <c r="H386" s="10"/>
      <c r="I386" s="14">
        <f>IF(D386="","",IF(OR(D386="Ingreso",D386="Traslado entrante"),1,-1))</f>
      </c>
      <c r="J386" s="15">
        <f>IF(A386="","",YEAR(A386))</f>
      </c>
      <c r="K386" s="10"/>
      <c r="L386" s="10"/>
    </row>
    <row r="387" spans="1:12" x14ac:dyDescent="0.25">
      <c r="A387" s="16"/>
      <c r="B387" s="10"/>
      <c r="C387" s="13">
        <f>IF(B387="","",IFERROR(INDEX(Ejemplares!$B$5:$B$304,MATCH(B387,Ejemplares!$A$5:$A$304,0)),"Ejemplar no encontrado"))</f>
      </c>
      <c r="D387" s="10"/>
      <c r="E387" s="10"/>
      <c r="F387" s="10"/>
      <c r="G387" s="10"/>
      <c r="H387" s="10"/>
      <c r="I387" s="14">
        <f>IF(D387="","",IF(OR(D387="Ingreso",D387="Traslado entrante"),1,-1))</f>
      </c>
      <c r="J387" s="15">
        <f>IF(A387="","",YEAR(A387))</f>
      </c>
      <c r="K387" s="10"/>
      <c r="L387" s="10"/>
    </row>
    <row r="388" spans="1:12" x14ac:dyDescent="0.25">
      <c r="A388" s="16"/>
      <c r="B388" s="10"/>
      <c r="C388" s="13">
        <f>IF(B388="","",IFERROR(INDEX(Ejemplares!$B$5:$B$304,MATCH(B388,Ejemplares!$A$5:$A$304,0)),"Ejemplar no encontrado"))</f>
      </c>
      <c r="D388" s="10"/>
      <c r="E388" s="10"/>
      <c r="F388" s="10"/>
      <c r="G388" s="10"/>
      <c r="H388" s="10"/>
      <c r="I388" s="14">
        <f>IF(D388="","",IF(OR(D388="Ingreso",D388="Traslado entrante"),1,-1))</f>
      </c>
      <c r="J388" s="15">
        <f>IF(A388="","",YEAR(A388))</f>
      </c>
      <c r="K388" s="10"/>
      <c r="L388" s="10"/>
    </row>
    <row r="389" spans="1:12" x14ac:dyDescent="0.25">
      <c r="A389" s="16"/>
      <c r="B389" s="10"/>
      <c r="C389" s="13">
        <f>IF(B389="","",IFERROR(INDEX(Ejemplares!$B$5:$B$304,MATCH(B389,Ejemplares!$A$5:$A$304,0)),"Ejemplar no encontrado"))</f>
      </c>
      <c r="D389" s="10"/>
      <c r="E389" s="10"/>
      <c r="F389" s="10"/>
      <c r="G389" s="10"/>
      <c r="H389" s="10"/>
      <c r="I389" s="14">
        <f>IF(D389="","",IF(OR(D389="Ingreso",D389="Traslado entrante"),1,-1))</f>
      </c>
      <c r="J389" s="15">
        <f>IF(A389="","",YEAR(A389))</f>
      </c>
      <c r="K389" s="10"/>
      <c r="L389" s="10"/>
    </row>
    <row r="390" spans="1:12" x14ac:dyDescent="0.25">
      <c r="A390" s="16"/>
      <c r="B390" s="10"/>
      <c r="C390" s="13">
        <f>IF(B390="","",IFERROR(INDEX(Ejemplares!$B$5:$B$304,MATCH(B390,Ejemplares!$A$5:$A$304,0)),"Ejemplar no encontrado"))</f>
      </c>
      <c r="D390" s="10"/>
      <c r="E390" s="10"/>
      <c r="F390" s="10"/>
      <c r="G390" s="10"/>
      <c r="H390" s="10"/>
      <c r="I390" s="14">
        <f>IF(D390="","",IF(OR(D390="Ingreso",D390="Traslado entrante"),1,-1))</f>
      </c>
      <c r="J390" s="15">
        <f>IF(A390="","",YEAR(A390))</f>
      </c>
      <c r="K390" s="10"/>
      <c r="L390" s="10"/>
    </row>
    <row r="391" spans="1:12" x14ac:dyDescent="0.25">
      <c r="A391" s="16"/>
      <c r="B391" s="10"/>
      <c r="C391" s="13">
        <f>IF(B391="","",IFERROR(INDEX(Ejemplares!$B$5:$B$304,MATCH(B391,Ejemplares!$A$5:$A$304,0)),"Ejemplar no encontrado"))</f>
      </c>
      <c r="D391" s="10"/>
      <c r="E391" s="10"/>
      <c r="F391" s="10"/>
      <c r="G391" s="10"/>
      <c r="H391" s="10"/>
      <c r="I391" s="14">
        <f>IF(D391="","",IF(OR(D391="Ingreso",D391="Traslado entrante"),1,-1))</f>
      </c>
      <c r="J391" s="15">
        <f>IF(A391="","",YEAR(A391))</f>
      </c>
      <c r="K391" s="10"/>
      <c r="L391" s="10"/>
    </row>
    <row r="392" spans="1:12" x14ac:dyDescent="0.25">
      <c r="A392" s="16"/>
      <c r="B392" s="10"/>
      <c r="C392" s="13">
        <f>IF(B392="","",IFERROR(INDEX(Ejemplares!$B$5:$B$304,MATCH(B392,Ejemplares!$A$5:$A$304,0)),"Ejemplar no encontrado"))</f>
      </c>
      <c r="D392" s="10"/>
      <c r="E392" s="10"/>
      <c r="F392" s="10"/>
      <c r="G392" s="10"/>
      <c r="H392" s="10"/>
      <c r="I392" s="14">
        <f>IF(D392="","",IF(OR(D392="Ingreso",D392="Traslado entrante"),1,-1))</f>
      </c>
      <c r="J392" s="15">
        <f>IF(A392="","",YEAR(A392))</f>
      </c>
      <c r="K392" s="10"/>
      <c r="L392" s="10"/>
    </row>
    <row r="393" spans="1:12" x14ac:dyDescent="0.25">
      <c r="A393" s="16"/>
      <c r="B393" s="10"/>
      <c r="C393" s="13">
        <f>IF(B393="","",IFERROR(INDEX(Ejemplares!$B$5:$B$304,MATCH(B393,Ejemplares!$A$5:$A$304,0)),"Ejemplar no encontrado"))</f>
      </c>
      <c r="D393" s="10"/>
      <c r="E393" s="10"/>
      <c r="F393" s="10"/>
      <c r="G393" s="10"/>
      <c r="H393" s="10"/>
      <c r="I393" s="14">
        <f>IF(D393="","",IF(OR(D393="Ingreso",D393="Traslado entrante"),1,-1))</f>
      </c>
      <c r="J393" s="15">
        <f>IF(A393="","",YEAR(A393))</f>
      </c>
      <c r="K393" s="10"/>
      <c r="L393" s="10"/>
    </row>
    <row r="394" spans="1:12" x14ac:dyDescent="0.25">
      <c r="A394" s="16"/>
      <c r="B394" s="10"/>
      <c r="C394" s="13">
        <f>IF(B394="","",IFERROR(INDEX(Ejemplares!$B$5:$B$304,MATCH(B394,Ejemplares!$A$5:$A$304,0)),"Ejemplar no encontrado"))</f>
      </c>
      <c r="D394" s="10"/>
      <c r="E394" s="10"/>
      <c r="F394" s="10"/>
      <c r="G394" s="10"/>
      <c r="H394" s="10"/>
      <c r="I394" s="14">
        <f>IF(D394="","",IF(OR(D394="Ingreso",D394="Traslado entrante"),1,-1))</f>
      </c>
      <c r="J394" s="15">
        <f>IF(A394="","",YEAR(A394))</f>
      </c>
      <c r="K394" s="10"/>
      <c r="L394" s="10"/>
    </row>
    <row r="395" spans="1:12" x14ac:dyDescent="0.25">
      <c r="A395" s="16"/>
      <c r="B395" s="10"/>
      <c r="C395" s="13">
        <f>IF(B395="","",IFERROR(INDEX(Ejemplares!$B$5:$B$304,MATCH(B395,Ejemplares!$A$5:$A$304,0)),"Ejemplar no encontrado"))</f>
      </c>
      <c r="D395" s="10"/>
      <c r="E395" s="10"/>
      <c r="F395" s="10"/>
      <c r="G395" s="10"/>
      <c r="H395" s="10"/>
      <c r="I395" s="14">
        <f>IF(D395="","",IF(OR(D395="Ingreso",D395="Traslado entrante"),1,-1))</f>
      </c>
      <c r="J395" s="15">
        <f>IF(A395="","",YEAR(A395))</f>
      </c>
      <c r="K395" s="10"/>
      <c r="L395" s="10"/>
    </row>
    <row r="396" spans="1:12" x14ac:dyDescent="0.25">
      <c r="A396" s="16"/>
      <c r="B396" s="10"/>
      <c r="C396" s="13">
        <f>IF(B396="","",IFERROR(INDEX(Ejemplares!$B$5:$B$304,MATCH(B396,Ejemplares!$A$5:$A$304,0)),"Ejemplar no encontrado"))</f>
      </c>
      <c r="D396" s="10"/>
      <c r="E396" s="10"/>
      <c r="F396" s="10"/>
      <c r="G396" s="10"/>
      <c r="H396" s="10"/>
      <c r="I396" s="14">
        <f>IF(D396="","",IF(OR(D396="Ingreso",D396="Traslado entrante"),1,-1))</f>
      </c>
      <c r="J396" s="15">
        <f>IF(A396="","",YEAR(A396))</f>
      </c>
      <c r="K396" s="10"/>
      <c r="L396" s="10"/>
    </row>
    <row r="397" spans="1:12" x14ac:dyDescent="0.25">
      <c r="A397" s="16"/>
      <c r="B397" s="10"/>
      <c r="C397" s="13">
        <f>IF(B397="","",IFERROR(INDEX(Ejemplares!$B$5:$B$304,MATCH(B397,Ejemplares!$A$5:$A$304,0)),"Ejemplar no encontrado"))</f>
      </c>
      <c r="D397" s="10"/>
      <c r="E397" s="10"/>
      <c r="F397" s="10"/>
      <c r="G397" s="10"/>
      <c r="H397" s="10"/>
      <c r="I397" s="14">
        <f>IF(D397="","",IF(OR(D397="Ingreso",D397="Traslado entrante"),1,-1))</f>
      </c>
      <c r="J397" s="15">
        <f>IF(A397="","",YEAR(A397))</f>
      </c>
      <c r="K397" s="10"/>
      <c r="L397" s="10"/>
    </row>
    <row r="398" spans="1:12" x14ac:dyDescent="0.25">
      <c r="A398" s="16"/>
      <c r="B398" s="10"/>
      <c r="C398" s="13">
        <f>IF(B398="","",IFERROR(INDEX(Ejemplares!$B$5:$B$304,MATCH(B398,Ejemplares!$A$5:$A$304,0)),"Ejemplar no encontrado"))</f>
      </c>
      <c r="D398" s="10"/>
      <c r="E398" s="10"/>
      <c r="F398" s="10"/>
      <c r="G398" s="10"/>
      <c r="H398" s="10"/>
      <c r="I398" s="14">
        <f>IF(D398="","",IF(OR(D398="Ingreso",D398="Traslado entrante"),1,-1))</f>
      </c>
      <c r="J398" s="15">
        <f>IF(A398="","",YEAR(A398))</f>
      </c>
      <c r="K398" s="10"/>
      <c r="L398" s="10"/>
    </row>
    <row r="399" spans="1:12" x14ac:dyDescent="0.25">
      <c r="A399" s="16"/>
      <c r="B399" s="10"/>
      <c r="C399" s="13">
        <f>IF(B399="","",IFERROR(INDEX(Ejemplares!$B$5:$B$304,MATCH(B399,Ejemplares!$A$5:$A$304,0)),"Ejemplar no encontrado"))</f>
      </c>
      <c r="D399" s="10"/>
      <c r="E399" s="10"/>
      <c r="F399" s="10"/>
      <c r="G399" s="10"/>
      <c r="H399" s="10"/>
      <c r="I399" s="14">
        <f>IF(D399="","",IF(OR(D399="Ingreso",D399="Traslado entrante"),1,-1))</f>
      </c>
      <c r="J399" s="15">
        <f>IF(A399="","",YEAR(A399))</f>
      </c>
      <c r="K399" s="10"/>
      <c r="L399" s="10"/>
    </row>
    <row r="400" spans="1:12" x14ac:dyDescent="0.25">
      <c r="A400" s="16"/>
      <c r="B400" s="10"/>
      <c r="C400" s="13">
        <f>IF(B400="","",IFERROR(INDEX(Ejemplares!$B$5:$B$304,MATCH(B400,Ejemplares!$A$5:$A$304,0)),"Ejemplar no encontrado"))</f>
      </c>
      <c r="D400" s="10"/>
      <c r="E400" s="10"/>
      <c r="F400" s="10"/>
      <c r="G400" s="10"/>
      <c r="H400" s="10"/>
      <c r="I400" s="14">
        <f>IF(D400="","",IF(OR(D400="Ingreso",D400="Traslado entrante"),1,-1))</f>
      </c>
      <c r="J400" s="15">
        <f>IF(A400="","",YEAR(A400))</f>
      </c>
      <c r="K400" s="10"/>
      <c r="L400" s="10"/>
    </row>
    <row r="401" spans="1:12" x14ac:dyDescent="0.25">
      <c r="A401" s="16"/>
      <c r="B401" s="10"/>
      <c r="C401" s="13">
        <f>IF(B401="","",IFERROR(INDEX(Ejemplares!$B$5:$B$304,MATCH(B401,Ejemplares!$A$5:$A$304,0)),"Ejemplar no encontrado"))</f>
      </c>
      <c r="D401" s="10"/>
      <c r="E401" s="10"/>
      <c r="F401" s="10"/>
      <c r="G401" s="10"/>
      <c r="H401" s="10"/>
      <c r="I401" s="14">
        <f>IF(D401="","",IF(OR(D401="Ingreso",D401="Traslado entrante"),1,-1))</f>
      </c>
      <c r="J401" s="15">
        <f>IF(A401="","",YEAR(A401))</f>
      </c>
      <c r="K401" s="10"/>
      <c r="L401" s="10"/>
    </row>
    <row r="402" spans="1:12" x14ac:dyDescent="0.25">
      <c r="A402" s="16"/>
      <c r="B402" s="10"/>
      <c r="C402" s="13">
        <f>IF(B402="","",IFERROR(INDEX(Ejemplares!$B$5:$B$304,MATCH(B402,Ejemplares!$A$5:$A$304,0)),"Ejemplar no encontrado"))</f>
      </c>
      <c r="D402" s="10"/>
      <c r="E402" s="10"/>
      <c r="F402" s="10"/>
      <c r="G402" s="10"/>
      <c r="H402" s="10"/>
      <c r="I402" s="14">
        <f>IF(D402="","",IF(OR(D402="Ingreso",D402="Traslado entrante"),1,-1))</f>
      </c>
      <c r="J402" s="15">
        <f>IF(A402="","",YEAR(A402))</f>
      </c>
      <c r="K402" s="10"/>
      <c r="L402" s="10"/>
    </row>
    <row r="403" spans="1:12" x14ac:dyDescent="0.25">
      <c r="A403" s="16"/>
      <c r="B403" s="10"/>
      <c r="C403" s="13">
        <f>IF(B403="","",IFERROR(INDEX(Ejemplares!$B$5:$B$304,MATCH(B403,Ejemplares!$A$5:$A$304,0)),"Ejemplar no encontrado"))</f>
      </c>
      <c r="D403" s="10"/>
      <c r="E403" s="10"/>
      <c r="F403" s="10"/>
      <c r="G403" s="10"/>
      <c r="H403" s="10"/>
      <c r="I403" s="14">
        <f>IF(D403="","",IF(OR(D403="Ingreso",D403="Traslado entrante"),1,-1))</f>
      </c>
      <c r="J403" s="15">
        <f>IF(A403="","",YEAR(A403))</f>
      </c>
      <c r="K403" s="10"/>
      <c r="L403" s="10"/>
    </row>
    <row r="404" spans="1:12" x14ac:dyDescent="0.25">
      <c r="A404" s="16"/>
      <c r="B404" s="10"/>
      <c r="C404" s="13">
        <f>IF(B404="","",IFERROR(INDEX(Ejemplares!$B$5:$B$304,MATCH(B404,Ejemplares!$A$5:$A$304,0)),"Ejemplar no encontrado"))</f>
      </c>
      <c r="D404" s="10"/>
      <c r="E404" s="10"/>
      <c r="F404" s="10"/>
      <c r="G404" s="10"/>
      <c r="H404" s="10"/>
      <c r="I404" s="14">
        <f>IF(D404="","",IF(OR(D404="Ingreso",D404="Traslado entrante"),1,-1))</f>
      </c>
      <c r="J404" s="15">
        <f>IF(A404="","",YEAR(A404))</f>
      </c>
      <c r="K404" s="10"/>
      <c r="L404" s="10"/>
    </row>
    <row r="405" spans="1:12" x14ac:dyDescent="0.25">
      <c r="A405" s="16"/>
      <c r="B405" s="10"/>
      <c r="C405" s="13">
        <f>IF(B405="","",IFERROR(INDEX(Ejemplares!$B$5:$B$304,MATCH(B405,Ejemplares!$A$5:$A$304,0)),"Ejemplar no encontrado"))</f>
      </c>
      <c r="D405" s="10"/>
      <c r="E405" s="10"/>
      <c r="F405" s="10"/>
      <c r="G405" s="10"/>
      <c r="H405" s="10"/>
      <c r="I405" s="14">
        <f>IF(D405="","",IF(OR(D405="Ingreso",D405="Traslado entrante"),1,-1))</f>
      </c>
      <c r="J405" s="15">
        <f>IF(A405="","",YEAR(A405))</f>
      </c>
      <c r="K405" s="10"/>
      <c r="L405" s="10"/>
    </row>
    <row r="406" spans="1:12" x14ac:dyDescent="0.25">
      <c r="A406" s="16"/>
      <c r="B406" s="10"/>
      <c r="C406" s="13">
        <f>IF(B406="","",IFERROR(INDEX(Ejemplares!$B$5:$B$304,MATCH(B406,Ejemplares!$A$5:$A$304,0)),"Ejemplar no encontrado"))</f>
      </c>
      <c r="D406" s="10"/>
      <c r="E406" s="10"/>
      <c r="F406" s="10"/>
      <c r="G406" s="10"/>
      <c r="H406" s="10"/>
      <c r="I406" s="14">
        <f>IF(D406="","",IF(OR(D406="Ingreso",D406="Traslado entrante"),1,-1))</f>
      </c>
      <c r="J406" s="15">
        <f>IF(A406="","",YEAR(A406))</f>
      </c>
      <c r="K406" s="10"/>
      <c r="L406" s="10"/>
    </row>
    <row r="407" spans="1:12" x14ac:dyDescent="0.25">
      <c r="A407" s="16"/>
      <c r="B407" s="10"/>
      <c r="C407" s="13">
        <f>IF(B407="","",IFERROR(INDEX(Ejemplares!$B$5:$B$304,MATCH(B407,Ejemplares!$A$5:$A$304,0)),"Ejemplar no encontrado"))</f>
      </c>
      <c r="D407" s="10"/>
      <c r="E407" s="10"/>
      <c r="F407" s="10"/>
      <c r="G407" s="10"/>
      <c r="H407" s="10"/>
      <c r="I407" s="14">
        <f>IF(D407="","",IF(OR(D407="Ingreso",D407="Traslado entrante"),1,-1))</f>
      </c>
      <c r="J407" s="15">
        <f>IF(A407="","",YEAR(A407))</f>
      </c>
      <c r="K407" s="10"/>
      <c r="L407" s="10"/>
    </row>
    <row r="408" spans="1:12" x14ac:dyDescent="0.25">
      <c r="A408" s="16"/>
      <c r="B408" s="10"/>
      <c r="C408" s="13">
        <f>IF(B408="","",IFERROR(INDEX(Ejemplares!$B$5:$B$304,MATCH(B408,Ejemplares!$A$5:$A$304,0)),"Ejemplar no encontrado"))</f>
      </c>
      <c r="D408" s="10"/>
      <c r="E408" s="10"/>
      <c r="F408" s="10"/>
      <c r="G408" s="10"/>
      <c r="H408" s="10"/>
      <c r="I408" s="14">
        <f>IF(D408="","",IF(OR(D408="Ingreso",D408="Traslado entrante"),1,-1))</f>
      </c>
      <c r="J408" s="15">
        <f>IF(A408="","",YEAR(A408))</f>
      </c>
      <c r="K408" s="10"/>
      <c r="L408" s="10"/>
    </row>
    <row r="409" spans="1:12" x14ac:dyDescent="0.25">
      <c r="A409" s="16"/>
      <c r="B409" s="10"/>
      <c r="C409" s="13">
        <f>IF(B409="","",IFERROR(INDEX(Ejemplares!$B$5:$B$304,MATCH(B409,Ejemplares!$A$5:$A$304,0)),"Ejemplar no encontrado"))</f>
      </c>
      <c r="D409" s="10"/>
      <c r="E409" s="10"/>
      <c r="F409" s="10"/>
      <c r="G409" s="10"/>
      <c r="H409" s="10"/>
      <c r="I409" s="14">
        <f>IF(D409="","",IF(OR(D409="Ingreso",D409="Traslado entrante"),1,-1))</f>
      </c>
      <c r="J409" s="15">
        <f>IF(A409="","",YEAR(A409))</f>
      </c>
      <c r="K409" s="10"/>
      <c r="L409" s="10"/>
    </row>
    <row r="410" spans="1:12" x14ac:dyDescent="0.25">
      <c r="A410" s="16"/>
      <c r="B410" s="10"/>
      <c r="C410" s="13">
        <f>IF(B410="","",IFERROR(INDEX(Ejemplares!$B$5:$B$304,MATCH(B410,Ejemplares!$A$5:$A$304,0)),"Ejemplar no encontrado"))</f>
      </c>
      <c r="D410" s="10"/>
      <c r="E410" s="10"/>
      <c r="F410" s="10"/>
      <c r="G410" s="10"/>
      <c r="H410" s="10"/>
      <c r="I410" s="14">
        <f>IF(D410="","",IF(OR(D410="Ingreso",D410="Traslado entrante"),1,-1))</f>
      </c>
      <c r="J410" s="15">
        <f>IF(A410="","",YEAR(A410))</f>
      </c>
      <c r="K410" s="10"/>
      <c r="L410" s="10"/>
    </row>
    <row r="411" spans="1:12" x14ac:dyDescent="0.25">
      <c r="A411" s="16"/>
      <c r="B411" s="10"/>
      <c r="C411" s="13">
        <f>IF(B411="","",IFERROR(INDEX(Ejemplares!$B$5:$B$304,MATCH(B411,Ejemplares!$A$5:$A$304,0)),"Ejemplar no encontrado"))</f>
      </c>
      <c r="D411" s="10"/>
      <c r="E411" s="10"/>
      <c r="F411" s="10"/>
      <c r="G411" s="10"/>
      <c r="H411" s="10"/>
      <c r="I411" s="14">
        <f>IF(D411="","",IF(OR(D411="Ingreso",D411="Traslado entrante"),1,-1))</f>
      </c>
      <c r="J411" s="15">
        <f>IF(A411="","",YEAR(A411))</f>
      </c>
      <c r="K411" s="10"/>
      <c r="L411" s="10"/>
    </row>
    <row r="412" spans="1:12" x14ac:dyDescent="0.25">
      <c r="A412" s="16"/>
      <c r="B412" s="10"/>
      <c r="C412" s="13">
        <f>IF(B412="","",IFERROR(INDEX(Ejemplares!$B$5:$B$304,MATCH(B412,Ejemplares!$A$5:$A$304,0)),"Ejemplar no encontrado"))</f>
      </c>
      <c r="D412" s="10"/>
      <c r="E412" s="10"/>
      <c r="F412" s="10"/>
      <c r="G412" s="10"/>
      <c r="H412" s="10"/>
      <c r="I412" s="14">
        <f>IF(D412="","",IF(OR(D412="Ingreso",D412="Traslado entrante"),1,-1))</f>
      </c>
      <c r="J412" s="15">
        <f>IF(A412="","",YEAR(A412))</f>
      </c>
      <c r="K412" s="10"/>
      <c r="L412" s="10"/>
    </row>
    <row r="413" spans="1:12" x14ac:dyDescent="0.25">
      <c r="A413" s="16"/>
      <c r="B413" s="10"/>
      <c r="C413" s="13">
        <f>IF(B413="","",IFERROR(INDEX(Ejemplares!$B$5:$B$304,MATCH(B413,Ejemplares!$A$5:$A$304,0)),"Ejemplar no encontrado"))</f>
      </c>
      <c r="D413" s="10"/>
      <c r="E413" s="10"/>
      <c r="F413" s="10"/>
      <c r="G413" s="10"/>
      <c r="H413" s="10"/>
      <c r="I413" s="14">
        <f>IF(D413="","",IF(OR(D413="Ingreso",D413="Traslado entrante"),1,-1))</f>
      </c>
      <c r="J413" s="15">
        <f>IF(A413="","",YEAR(A413))</f>
      </c>
      <c r="K413" s="10"/>
      <c r="L413" s="10"/>
    </row>
    <row r="414" spans="1:12" x14ac:dyDescent="0.25">
      <c r="A414" s="16"/>
      <c r="B414" s="10"/>
      <c r="C414" s="13">
        <f>IF(B414="","",IFERROR(INDEX(Ejemplares!$B$5:$B$304,MATCH(B414,Ejemplares!$A$5:$A$304,0)),"Ejemplar no encontrado"))</f>
      </c>
      <c r="D414" s="10"/>
      <c r="E414" s="10"/>
      <c r="F414" s="10"/>
      <c r="G414" s="10"/>
      <c r="H414" s="10"/>
      <c r="I414" s="14">
        <f>IF(D414="","",IF(OR(D414="Ingreso",D414="Traslado entrante"),1,-1))</f>
      </c>
      <c r="J414" s="15">
        <f>IF(A414="","",YEAR(A414))</f>
      </c>
      <c r="K414" s="10"/>
      <c r="L414" s="10"/>
    </row>
    <row r="415" spans="1:12" x14ac:dyDescent="0.25">
      <c r="A415" s="16"/>
      <c r="B415" s="10"/>
      <c r="C415" s="13">
        <f>IF(B415="","",IFERROR(INDEX(Ejemplares!$B$5:$B$304,MATCH(B415,Ejemplares!$A$5:$A$304,0)),"Ejemplar no encontrado"))</f>
      </c>
      <c r="D415" s="10"/>
      <c r="E415" s="10"/>
      <c r="F415" s="10"/>
      <c r="G415" s="10"/>
      <c r="H415" s="10"/>
      <c r="I415" s="14">
        <f>IF(D415="","",IF(OR(D415="Ingreso",D415="Traslado entrante"),1,-1))</f>
      </c>
      <c r="J415" s="15">
        <f>IF(A415="","",YEAR(A415))</f>
      </c>
      <c r="K415" s="10"/>
      <c r="L415" s="10"/>
    </row>
    <row r="416" spans="1:12" x14ac:dyDescent="0.25">
      <c r="A416" s="16"/>
      <c r="B416" s="10"/>
      <c r="C416" s="13">
        <f>IF(B416="","",IFERROR(INDEX(Ejemplares!$B$5:$B$304,MATCH(B416,Ejemplares!$A$5:$A$304,0)),"Ejemplar no encontrado"))</f>
      </c>
      <c r="D416" s="10"/>
      <c r="E416" s="10"/>
      <c r="F416" s="10"/>
      <c r="G416" s="10"/>
      <c r="H416" s="10"/>
      <c r="I416" s="14">
        <f>IF(D416="","",IF(OR(D416="Ingreso",D416="Traslado entrante"),1,-1))</f>
      </c>
      <c r="J416" s="15">
        <f>IF(A416="","",YEAR(A416))</f>
      </c>
      <c r="K416" s="10"/>
      <c r="L416" s="10"/>
    </row>
    <row r="417" spans="1:12" x14ac:dyDescent="0.25">
      <c r="A417" s="16"/>
      <c r="B417" s="10"/>
      <c r="C417" s="13">
        <f>IF(B417="","",IFERROR(INDEX(Ejemplares!$B$5:$B$304,MATCH(B417,Ejemplares!$A$5:$A$304,0)),"Ejemplar no encontrado"))</f>
      </c>
      <c r="D417" s="10"/>
      <c r="E417" s="10"/>
      <c r="F417" s="10"/>
      <c r="G417" s="10"/>
      <c r="H417" s="10"/>
      <c r="I417" s="14">
        <f>IF(D417="","",IF(OR(D417="Ingreso",D417="Traslado entrante"),1,-1))</f>
      </c>
      <c r="J417" s="15">
        <f>IF(A417="","",YEAR(A417))</f>
      </c>
      <c r="K417" s="10"/>
      <c r="L417" s="10"/>
    </row>
    <row r="418" spans="1:12" x14ac:dyDescent="0.25">
      <c r="A418" s="16"/>
      <c r="B418" s="10"/>
      <c r="C418" s="13">
        <f>IF(B418="","",IFERROR(INDEX(Ejemplares!$B$5:$B$304,MATCH(B418,Ejemplares!$A$5:$A$304,0)),"Ejemplar no encontrado"))</f>
      </c>
      <c r="D418" s="10"/>
      <c r="E418" s="10"/>
      <c r="F418" s="10"/>
      <c r="G418" s="10"/>
      <c r="H418" s="10"/>
      <c r="I418" s="14">
        <f>IF(D418="","",IF(OR(D418="Ingreso",D418="Traslado entrante"),1,-1))</f>
      </c>
      <c r="J418" s="15">
        <f>IF(A418="","",YEAR(A418))</f>
      </c>
      <c r="K418" s="10"/>
      <c r="L418" s="10"/>
    </row>
    <row r="419" spans="1:12" x14ac:dyDescent="0.25">
      <c r="A419" s="16"/>
      <c r="B419" s="10"/>
      <c r="C419" s="13">
        <f>IF(B419="","",IFERROR(INDEX(Ejemplares!$B$5:$B$304,MATCH(B419,Ejemplares!$A$5:$A$304,0)),"Ejemplar no encontrado"))</f>
      </c>
      <c r="D419" s="10"/>
      <c r="E419" s="10"/>
      <c r="F419" s="10"/>
      <c r="G419" s="10"/>
      <c r="H419" s="10"/>
      <c r="I419" s="14">
        <f>IF(D419="","",IF(OR(D419="Ingreso",D419="Traslado entrante"),1,-1))</f>
      </c>
      <c r="J419" s="15">
        <f>IF(A419="","",YEAR(A419))</f>
      </c>
      <c r="K419" s="10"/>
      <c r="L419" s="10"/>
    </row>
    <row r="420" spans="1:12" x14ac:dyDescent="0.25">
      <c r="A420" s="16"/>
      <c r="B420" s="10"/>
      <c r="C420" s="13">
        <f>IF(B420="","",IFERROR(INDEX(Ejemplares!$B$5:$B$304,MATCH(B420,Ejemplares!$A$5:$A$304,0)),"Ejemplar no encontrado"))</f>
      </c>
      <c r="D420" s="10"/>
      <c r="E420" s="10"/>
      <c r="F420" s="10"/>
      <c r="G420" s="10"/>
      <c r="H420" s="10"/>
      <c r="I420" s="14">
        <f>IF(D420="","",IF(OR(D420="Ingreso",D420="Traslado entrante"),1,-1))</f>
      </c>
      <c r="J420" s="15">
        <f>IF(A420="","",YEAR(A420))</f>
      </c>
      <c r="K420" s="10"/>
      <c r="L420" s="10"/>
    </row>
    <row r="421" spans="1:12" x14ac:dyDescent="0.25">
      <c r="A421" s="16"/>
      <c r="B421" s="10"/>
      <c r="C421" s="13">
        <f>IF(B421="","",IFERROR(INDEX(Ejemplares!$B$5:$B$304,MATCH(B421,Ejemplares!$A$5:$A$304,0)),"Ejemplar no encontrado"))</f>
      </c>
      <c r="D421" s="10"/>
      <c r="E421" s="10"/>
      <c r="F421" s="10"/>
      <c r="G421" s="10"/>
      <c r="H421" s="10"/>
      <c r="I421" s="14">
        <f>IF(D421="","",IF(OR(D421="Ingreso",D421="Traslado entrante"),1,-1))</f>
      </c>
      <c r="J421" s="15">
        <f>IF(A421="","",YEAR(A421))</f>
      </c>
      <c r="K421" s="10"/>
      <c r="L421" s="10"/>
    </row>
    <row r="422" spans="1:12" x14ac:dyDescent="0.25">
      <c r="A422" s="16"/>
      <c r="B422" s="10"/>
      <c r="C422" s="13">
        <f>IF(B422="","",IFERROR(INDEX(Ejemplares!$B$5:$B$304,MATCH(B422,Ejemplares!$A$5:$A$304,0)),"Ejemplar no encontrado"))</f>
      </c>
      <c r="D422" s="10"/>
      <c r="E422" s="10"/>
      <c r="F422" s="10"/>
      <c r="G422" s="10"/>
      <c r="H422" s="10"/>
      <c r="I422" s="14">
        <f>IF(D422="","",IF(OR(D422="Ingreso",D422="Traslado entrante"),1,-1))</f>
      </c>
      <c r="J422" s="15">
        <f>IF(A422="","",YEAR(A422))</f>
      </c>
      <c r="K422" s="10"/>
      <c r="L422" s="10"/>
    </row>
    <row r="423" spans="1:12" x14ac:dyDescent="0.25">
      <c r="A423" s="16"/>
      <c r="B423" s="10"/>
      <c r="C423" s="13">
        <f>IF(B423="","",IFERROR(INDEX(Ejemplares!$B$5:$B$304,MATCH(B423,Ejemplares!$A$5:$A$304,0)),"Ejemplar no encontrado"))</f>
      </c>
      <c r="D423" s="10"/>
      <c r="E423" s="10"/>
      <c r="F423" s="10"/>
      <c r="G423" s="10"/>
      <c r="H423" s="10"/>
      <c r="I423" s="14">
        <f>IF(D423="","",IF(OR(D423="Ingreso",D423="Traslado entrante"),1,-1))</f>
      </c>
      <c r="J423" s="15">
        <f>IF(A423="","",YEAR(A423))</f>
      </c>
      <c r="K423" s="10"/>
      <c r="L423" s="10"/>
    </row>
    <row r="424" spans="1:12" x14ac:dyDescent="0.25">
      <c r="A424" s="16"/>
      <c r="B424" s="10"/>
      <c r="C424" s="13">
        <f>IF(B424="","",IFERROR(INDEX(Ejemplares!$B$5:$B$304,MATCH(B424,Ejemplares!$A$5:$A$304,0)),"Ejemplar no encontrado"))</f>
      </c>
      <c r="D424" s="10"/>
      <c r="E424" s="10"/>
      <c r="F424" s="10"/>
      <c r="G424" s="10"/>
      <c r="H424" s="10"/>
      <c r="I424" s="14">
        <f>IF(D424="","",IF(OR(D424="Ingreso",D424="Traslado entrante"),1,-1))</f>
      </c>
      <c r="J424" s="15">
        <f>IF(A424="","",YEAR(A424))</f>
      </c>
      <c r="K424" s="10"/>
      <c r="L424" s="10"/>
    </row>
    <row r="425" spans="1:12" x14ac:dyDescent="0.25">
      <c r="A425" s="16"/>
      <c r="B425" s="10"/>
      <c r="C425" s="13">
        <f>IF(B425="","",IFERROR(INDEX(Ejemplares!$B$5:$B$304,MATCH(B425,Ejemplares!$A$5:$A$304,0)),"Ejemplar no encontrado"))</f>
      </c>
      <c r="D425" s="10"/>
      <c r="E425" s="10"/>
      <c r="F425" s="10"/>
      <c r="G425" s="10"/>
      <c r="H425" s="10"/>
      <c r="I425" s="14">
        <f>IF(D425="","",IF(OR(D425="Ingreso",D425="Traslado entrante"),1,-1))</f>
      </c>
      <c r="J425" s="15">
        <f>IF(A425="","",YEAR(A425))</f>
      </c>
      <c r="K425" s="10"/>
      <c r="L425" s="10"/>
    </row>
    <row r="426" spans="1:12" x14ac:dyDescent="0.25">
      <c r="A426" s="16"/>
      <c r="B426" s="10"/>
      <c r="C426" s="13">
        <f>IF(B426="","",IFERROR(INDEX(Ejemplares!$B$5:$B$304,MATCH(B426,Ejemplares!$A$5:$A$304,0)),"Ejemplar no encontrado"))</f>
      </c>
      <c r="D426" s="10"/>
      <c r="E426" s="10"/>
      <c r="F426" s="10"/>
      <c r="G426" s="10"/>
      <c r="H426" s="10"/>
      <c r="I426" s="14">
        <f>IF(D426="","",IF(OR(D426="Ingreso",D426="Traslado entrante"),1,-1))</f>
      </c>
      <c r="J426" s="15">
        <f>IF(A426="","",YEAR(A426))</f>
      </c>
      <c r="K426" s="10"/>
      <c r="L426" s="10"/>
    </row>
    <row r="427" spans="1:12" x14ac:dyDescent="0.25">
      <c r="A427" s="16"/>
      <c r="B427" s="10"/>
      <c r="C427" s="13">
        <f>IF(B427="","",IFERROR(INDEX(Ejemplares!$B$5:$B$304,MATCH(B427,Ejemplares!$A$5:$A$304,0)),"Ejemplar no encontrado"))</f>
      </c>
      <c r="D427" s="10"/>
      <c r="E427" s="10"/>
      <c r="F427" s="10"/>
      <c r="G427" s="10"/>
      <c r="H427" s="10"/>
      <c r="I427" s="14">
        <f>IF(D427="","",IF(OR(D427="Ingreso",D427="Traslado entrante"),1,-1))</f>
      </c>
      <c r="J427" s="15">
        <f>IF(A427="","",YEAR(A427))</f>
      </c>
      <c r="K427" s="10"/>
      <c r="L427" s="10"/>
    </row>
    <row r="428" spans="1:12" x14ac:dyDescent="0.25">
      <c r="A428" s="16"/>
      <c r="B428" s="10"/>
      <c r="C428" s="13">
        <f>IF(B428="","",IFERROR(INDEX(Ejemplares!$B$5:$B$304,MATCH(B428,Ejemplares!$A$5:$A$304,0)),"Ejemplar no encontrado"))</f>
      </c>
      <c r="D428" s="10"/>
      <c r="E428" s="10"/>
      <c r="F428" s="10"/>
      <c r="G428" s="10"/>
      <c r="H428" s="10"/>
      <c r="I428" s="14">
        <f>IF(D428="","",IF(OR(D428="Ingreso",D428="Traslado entrante"),1,-1))</f>
      </c>
      <c r="J428" s="15">
        <f>IF(A428="","",YEAR(A428))</f>
      </c>
      <c r="K428" s="10"/>
      <c r="L428" s="10"/>
    </row>
    <row r="429" spans="1:12" x14ac:dyDescent="0.25">
      <c r="A429" s="16"/>
      <c r="B429" s="10"/>
      <c r="C429" s="13">
        <f>IF(B429="","",IFERROR(INDEX(Ejemplares!$B$5:$B$304,MATCH(B429,Ejemplares!$A$5:$A$304,0)),"Ejemplar no encontrado"))</f>
      </c>
      <c r="D429" s="10"/>
      <c r="E429" s="10"/>
      <c r="F429" s="10"/>
      <c r="G429" s="10"/>
      <c r="H429" s="10"/>
      <c r="I429" s="14">
        <f>IF(D429="","",IF(OR(D429="Ingreso",D429="Traslado entrante"),1,-1))</f>
      </c>
      <c r="J429" s="15">
        <f>IF(A429="","",YEAR(A429))</f>
      </c>
      <c r="K429" s="10"/>
      <c r="L429" s="10"/>
    </row>
    <row r="430" spans="1:12" x14ac:dyDescent="0.25">
      <c r="A430" s="16"/>
      <c r="B430" s="10"/>
      <c r="C430" s="13">
        <f>IF(B430="","",IFERROR(INDEX(Ejemplares!$B$5:$B$304,MATCH(B430,Ejemplares!$A$5:$A$304,0)),"Ejemplar no encontrado"))</f>
      </c>
      <c r="D430" s="10"/>
      <c r="E430" s="10"/>
      <c r="F430" s="10"/>
      <c r="G430" s="10"/>
      <c r="H430" s="10"/>
      <c r="I430" s="14">
        <f>IF(D430="","",IF(OR(D430="Ingreso",D430="Traslado entrante"),1,-1))</f>
      </c>
      <c r="J430" s="15">
        <f>IF(A430="","",YEAR(A430))</f>
      </c>
      <c r="K430" s="10"/>
      <c r="L430" s="10"/>
    </row>
    <row r="431" spans="1:12" x14ac:dyDescent="0.25">
      <c r="A431" s="16"/>
      <c r="B431" s="10"/>
      <c r="C431" s="13">
        <f>IF(B431="","",IFERROR(INDEX(Ejemplares!$B$5:$B$304,MATCH(B431,Ejemplares!$A$5:$A$304,0)),"Ejemplar no encontrado"))</f>
      </c>
      <c r="D431" s="10"/>
      <c r="E431" s="10"/>
      <c r="F431" s="10"/>
      <c r="G431" s="10"/>
      <c r="H431" s="10"/>
      <c r="I431" s="14">
        <f>IF(D431="","",IF(OR(D431="Ingreso",D431="Traslado entrante"),1,-1))</f>
      </c>
      <c r="J431" s="15">
        <f>IF(A431="","",YEAR(A431))</f>
      </c>
      <c r="K431" s="10"/>
      <c r="L431" s="10"/>
    </row>
    <row r="432" spans="1:12" x14ac:dyDescent="0.25">
      <c r="A432" s="16"/>
      <c r="B432" s="10"/>
      <c r="C432" s="13">
        <f>IF(B432="","",IFERROR(INDEX(Ejemplares!$B$5:$B$304,MATCH(B432,Ejemplares!$A$5:$A$304,0)),"Ejemplar no encontrado"))</f>
      </c>
      <c r="D432" s="10"/>
      <c r="E432" s="10"/>
      <c r="F432" s="10"/>
      <c r="G432" s="10"/>
      <c r="H432" s="10"/>
      <c r="I432" s="14">
        <f>IF(D432="","",IF(OR(D432="Ingreso",D432="Traslado entrante"),1,-1))</f>
      </c>
      <c r="J432" s="15">
        <f>IF(A432="","",YEAR(A432))</f>
      </c>
      <c r="K432" s="10"/>
      <c r="L432" s="10"/>
    </row>
    <row r="433" spans="1:12" x14ac:dyDescent="0.25">
      <c r="A433" s="16"/>
      <c r="B433" s="10"/>
      <c r="C433" s="13">
        <f>IF(B433="","",IFERROR(INDEX(Ejemplares!$B$5:$B$304,MATCH(B433,Ejemplares!$A$5:$A$304,0)),"Ejemplar no encontrado"))</f>
      </c>
      <c r="D433" s="10"/>
      <c r="E433" s="10"/>
      <c r="F433" s="10"/>
      <c r="G433" s="10"/>
      <c r="H433" s="10"/>
      <c r="I433" s="14">
        <f>IF(D433="","",IF(OR(D433="Ingreso",D433="Traslado entrante"),1,-1))</f>
      </c>
      <c r="J433" s="15">
        <f>IF(A433="","",YEAR(A433))</f>
      </c>
      <c r="K433" s="10"/>
      <c r="L433" s="10"/>
    </row>
    <row r="434" spans="1:12" x14ac:dyDescent="0.25">
      <c r="A434" s="16"/>
      <c r="B434" s="10"/>
      <c r="C434" s="13">
        <f>IF(B434="","",IFERROR(INDEX(Ejemplares!$B$5:$B$304,MATCH(B434,Ejemplares!$A$5:$A$304,0)),"Ejemplar no encontrado"))</f>
      </c>
      <c r="D434" s="10"/>
      <c r="E434" s="10"/>
      <c r="F434" s="10"/>
      <c r="G434" s="10"/>
      <c r="H434" s="10"/>
      <c r="I434" s="14">
        <f>IF(D434="","",IF(OR(D434="Ingreso",D434="Traslado entrante"),1,-1))</f>
      </c>
      <c r="J434" s="15">
        <f>IF(A434="","",YEAR(A434))</f>
      </c>
      <c r="K434" s="10"/>
      <c r="L434" s="10"/>
    </row>
    <row r="435" spans="1:12" x14ac:dyDescent="0.25">
      <c r="A435" s="16"/>
      <c r="B435" s="10"/>
      <c r="C435" s="13">
        <f>IF(B435="","",IFERROR(INDEX(Ejemplares!$B$5:$B$304,MATCH(B435,Ejemplares!$A$5:$A$304,0)),"Ejemplar no encontrado"))</f>
      </c>
      <c r="D435" s="10"/>
      <c r="E435" s="10"/>
      <c r="F435" s="10"/>
      <c r="G435" s="10"/>
      <c r="H435" s="10"/>
      <c r="I435" s="14">
        <f>IF(D435="","",IF(OR(D435="Ingreso",D435="Traslado entrante"),1,-1))</f>
      </c>
      <c r="J435" s="15">
        <f>IF(A435="","",YEAR(A435))</f>
      </c>
      <c r="K435" s="10"/>
      <c r="L435" s="10"/>
    </row>
    <row r="436" spans="1:12" x14ac:dyDescent="0.25">
      <c r="A436" s="16"/>
      <c r="B436" s="10"/>
      <c r="C436" s="13">
        <f>IF(B436="","",IFERROR(INDEX(Ejemplares!$B$5:$B$304,MATCH(B436,Ejemplares!$A$5:$A$304,0)),"Ejemplar no encontrado"))</f>
      </c>
      <c r="D436" s="10"/>
      <c r="E436" s="10"/>
      <c r="F436" s="10"/>
      <c r="G436" s="10"/>
      <c r="H436" s="10"/>
      <c r="I436" s="14">
        <f>IF(D436="","",IF(OR(D436="Ingreso",D436="Traslado entrante"),1,-1))</f>
      </c>
      <c r="J436" s="15">
        <f>IF(A436="","",YEAR(A436))</f>
      </c>
      <c r="K436" s="10"/>
      <c r="L436" s="10"/>
    </row>
    <row r="437" spans="1:12" x14ac:dyDescent="0.25">
      <c r="A437" s="16"/>
      <c r="B437" s="10"/>
      <c r="C437" s="13">
        <f>IF(B437="","",IFERROR(INDEX(Ejemplares!$B$5:$B$304,MATCH(B437,Ejemplares!$A$5:$A$304,0)),"Ejemplar no encontrado"))</f>
      </c>
      <c r="D437" s="10"/>
      <c r="E437" s="10"/>
      <c r="F437" s="10"/>
      <c r="G437" s="10"/>
      <c r="H437" s="10"/>
      <c r="I437" s="14">
        <f>IF(D437="","",IF(OR(D437="Ingreso",D437="Traslado entrante"),1,-1))</f>
      </c>
      <c r="J437" s="15">
        <f>IF(A437="","",YEAR(A437))</f>
      </c>
      <c r="K437" s="10"/>
      <c r="L437" s="10"/>
    </row>
    <row r="438" spans="1:12" x14ac:dyDescent="0.25">
      <c r="A438" s="16"/>
      <c r="B438" s="10"/>
      <c r="C438" s="13">
        <f>IF(B438="","",IFERROR(INDEX(Ejemplares!$B$5:$B$304,MATCH(B438,Ejemplares!$A$5:$A$304,0)),"Ejemplar no encontrado"))</f>
      </c>
      <c r="D438" s="10"/>
      <c r="E438" s="10"/>
      <c r="F438" s="10"/>
      <c r="G438" s="10"/>
      <c r="H438" s="10"/>
      <c r="I438" s="14">
        <f>IF(D438="","",IF(OR(D438="Ingreso",D438="Traslado entrante"),1,-1))</f>
      </c>
      <c r="J438" s="15">
        <f>IF(A438="","",YEAR(A438))</f>
      </c>
      <c r="K438" s="10"/>
      <c r="L438" s="10"/>
    </row>
    <row r="439" spans="1:12" x14ac:dyDescent="0.25">
      <c r="A439" s="16"/>
      <c r="B439" s="10"/>
      <c r="C439" s="13">
        <f>IF(B439="","",IFERROR(INDEX(Ejemplares!$B$5:$B$304,MATCH(B439,Ejemplares!$A$5:$A$304,0)),"Ejemplar no encontrado"))</f>
      </c>
      <c r="D439" s="10"/>
      <c r="E439" s="10"/>
      <c r="F439" s="10"/>
      <c r="G439" s="10"/>
      <c r="H439" s="10"/>
      <c r="I439" s="14">
        <f>IF(D439="","",IF(OR(D439="Ingreso",D439="Traslado entrante"),1,-1))</f>
      </c>
      <c r="J439" s="15">
        <f>IF(A439="","",YEAR(A439))</f>
      </c>
      <c r="K439" s="10"/>
      <c r="L439" s="10"/>
    </row>
    <row r="440" spans="1:12" x14ac:dyDescent="0.25">
      <c r="A440" s="16"/>
      <c r="B440" s="10"/>
      <c r="C440" s="13">
        <f>IF(B440="","",IFERROR(INDEX(Ejemplares!$B$5:$B$304,MATCH(B440,Ejemplares!$A$5:$A$304,0)),"Ejemplar no encontrado"))</f>
      </c>
      <c r="D440" s="10"/>
      <c r="E440" s="10"/>
      <c r="F440" s="10"/>
      <c r="G440" s="10"/>
      <c r="H440" s="10"/>
      <c r="I440" s="14">
        <f>IF(D440="","",IF(OR(D440="Ingreso",D440="Traslado entrante"),1,-1))</f>
      </c>
      <c r="J440" s="15">
        <f>IF(A440="","",YEAR(A440))</f>
      </c>
      <c r="K440" s="10"/>
      <c r="L440" s="10"/>
    </row>
    <row r="441" spans="1:12" x14ac:dyDescent="0.25">
      <c r="A441" s="16"/>
      <c r="B441" s="10"/>
      <c r="C441" s="13">
        <f>IF(B441="","",IFERROR(INDEX(Ejemplares!$B$5:$B$304,MATCH(B441,Ejemplares!$A$5:$A$304,0)),"Ejemplar no encontrado"))</f>
      </c>
      <c r="D441" s="10"/>
      <c r="E441" s="10"/>
      <c r="F441" s="10"/>
      <c r="G441" s="10"/>
      <c r="H441" s="10"/>
      <c r="I441" s="14">
        <f>IF(D441="","",IF(OR(D441="Ingreso",D441="Traslado entrante"),1,-1))</f>
      </c>
      <c r="J441" s="15">
        <f>IF(A441="","",YEAR(A441))</f>
      </c>
      <c r="K441" s="10"/>
      <c r="L441" s="10"/>
    </row>
    <row r="442" spans="1:12" x14ac:dyDescent="0.25">
      <c r="A442" s="16"/>
      <c r="B442" s="10"/>
      <c r="C442" s="13">
        <f>IF(B442="","",IFERROR(INDEX(Ejemplares!$B$5:$B$304,MATCH(B442,Ejemplares!$A$5:$A$304,0)),"Ejemplar no encontrado"))</f>
      </c>
      <c r="D442" s="10"/>
      <c r="E442" s="10"/>
      <c r="F442" s="10"/>
      <c r="G442" s="10"/>
      <c r="H442" s="10"/>
      <c r="I442" s="14">
        <f>IF(D442="","",IF(OR(D442="Ingreso",D442="Traslado entrante"),1,-1))</f>
      </c>
      <c r="J442" s="15">
        <f>IF(A442="","",YEAR(A442))</f>
      </c>
      <c r="K442" s="10"/>
      <c r="L442" s="10"/>
    </row>
    <row r="443" spans="1:12" x14ac:dyDescent="0.25">
      <c r="A443" s="16"/>
      <c r="B443" s="10"/>
      <c r="C443" s="13">
        <f>IF(B443="","",IFERROR(INDEX(Ejemplares!$B$5:$B$304,MATCH(B443,Ejemplares!$A$5:$A$304,0)),"Ejemplar no encontrado"))</f>
      </c>
      <c r="D443" s="10"/>
      <c r="E443" s="10"/>
      <c r="F443" s="10"/>
      <c r="G443" s="10"/>
      <c r="H443" s="10"/>
      <c r="I443" s="14">
        <f>IF(D443="","",IF(OR(D443="Ingreso",D443="Traslado entrante"),1,-1))</f>
      </c>
      <c r="J443" s="15">
        <f>IF(A443="","",YEAR(A443))</f>
      </c>
      <c r="K443" s="10"/>
      <c r="L443" s="10"/>
    </row>
    <row r="444" spans="1:12" x14ac:dyDescent="0.25">
      <c r="A444" s="16"/>
      <c r="B444" s="10"/>
      <c r="C444" s="13">
        <f>IF(B444="","",IFERROR(INDEX(Ejemplares!$B$5:$B$304,MATCH(B444,Ejemplares!$A$5:$A$304,0)),"Ejemplar no encontrado"))</f>
      </c>
      <c r="D444" s="10"/>
      <c r="E444" s="10"/>
      <c r="F444" s="10"/>
      <c r="G444" s="10"/>
      <c r="H444" s="10"/>
      <c r="I444" s="14">
        <f>IF(D444="","",IF(OR(D444="Ingreso",D444="Traslado entrante"),1,-1))</f>
      </c>
      <c r="J444" s="15">
        <f>IF(A444="","",YEAR(A444))</f>
      </c>
      <c r="K444" s="10"/>
      <c r="L444" s="10"/>
    </row>
    <row r="445" spans="1:12" x14ac:dyDescent="0.25">
      <c r="A445" s="16"/>
      <c r="B445" s="10"/>
      <c r="C445" s="13">
        <f>IF(B445="","",IFERROR(INDEX(Ejemplares!$B$5:$B$304,MATCH(B445,Ejemplares!$A$5:$A$304,0)),"Ejemplar no encontrado"))</f>
      </c>
      <c r="D445" s="10"/>
      <c r="E445" s="10"/>
      <c r="F445" s="10"/>
      <c r="G445" s="10"/>
      <c r="H445" s="10"/>
      <c r="I445" s="14">
        <f>IF(D445="","",IF(OR(D445="Ingreso",D445="Traslado entrante"),1,-1))</f>
      </c>
      <c r="J445" s="15">
        <f>IF(A445="","",YEAR(A445))</f>
      </c>
      <c r="K445" s="10"/>
      <c r="L445" s="10"/>
    </row>
    <row r="446" spans="1:12" x14ac:dyDescent="0.25">
      <c r="A446" s="16"/>
      <c r="B446" s="10"/>
      <c r="C446" s="13">
        <f>IF(B446="","",IFERROR(INDEX(Ejemplares!$B$5:$B$304,MATCH(B446,Ejemplares!$A$5:$A$304,0)),"Ejemplar no encontrado"))</f>
      </c>
      <c r="D446" s="10"/>
      <c r="E446" s="10"/>
      <c r="F446" s="10"/>
      <c r="G446" s="10"/>
      <c r="H446" s="10"/>
      <c r="I446" s="14">
        <f>IF(D446="","",IF(OR(D446="Ingreso",D446="Traslado entrante"),1,-1))</f>
      </c>
      <c r="J446" s="15">
        <f>IF(A446="","",YEAR(A446))</f>
      </c>
      <c r="K446" s="10"/>
      <c r="L446" s="10"/>
    </row>
    <row r="447" spans="1:12" x14ac:dyDescent="0.25">
      <c r="A447" s="16"/>
      <c r="B447" s="10"/>
      <c r="C447" s="13">
        <f>IF(B447="","",IFERROR(INDEX(Ejemplares!$B$5:$B$304,MATCH(B447,Ejemplares!$A$5:$A$304,0)),"Ejemplar no encontrado"))</f>
      </c>
      <c r="D447" s="10"/>
      <c r="E447" s="10"/>
      <c r="F447" s="10"/>
      <c r="G447" s="10"/>
      <c r="H447" s="10"/>
      <c r="I447" s="14">
        <f>IF(D447="","",IF(OR(D447="Ingreso",D447="Traslado entrante"),1,-1))</f>
      </c>
      <c r="J447" s="15">
        <f>IF(A447="","",YEAR(A447))</f>
      </c>
      <c r="K447" s="10"/>
      <c r="L447" s="10"/>
    </row>
    <row r="448" spans="1:12" x14ac:dyDescent="0.25">
      <c r="A448" s="16"/>
      <c r="B448" s="10"/>
      <c r="C448" s="13">
        <f>IF(B448="","",IFERROR(INDEX(Ejemplares!$B$5:$B$304,MATCH(B448,Ejemplares!$A$5:$A$304,0)),"Ejemplar no encontrado"))</f>
      </c>
      <c r="D448" s="10"/>
      <c r="E448" s="10"/>
      <c r="F448" s="10"/>
      <c r="G448" s="10"/>
      <c r="H448" s="10"/>
      <c r="I448" s="14">
        <f>IF(D448="","",IF(OR(D448="Ingreso",D448="Traslado entrante"),1,-1))</f>
      </c>
      <c r="J448" s="15">
        <f>IF(A448="","",YEAR(A448))</f>
      </c>
      <c r="K448" s="10"/>
      <c r="L448" s="10"/>
    </row>
    <row r="449" spans="1:12" x14ac:dyDescent="0.25">
      <c r="A449" s="16"/>
      <c r="B449" s="10"/>
      <c r="C449" s="13">
        <f>IF(B449="","",IFERROR(INDEX(Ejemplares!$B$5:$B$304,MATCH(B449,Ejemplares!$A$5:$A$304,0)),"Ejemplar no encontrado"))</f>
      </c>
      <c r="D449" s="10"/>
      <c r="E449" s="10"/>
      <c r="F449" s="10"/>
      <c r="G449" s="10"/>
      <c r="H449" s="10"/>
      <c r="I449" s="14">
        <f>IF(D449="","",IF(OR(D449="Ingreso",D449="Traslado entrante"),1,-1))</f>
      </c>
      <c r="J449" s="15">
        <f>IF(A449="","",YEAR(A449))</f>
      </c>
      <c r="K449" s="10"/>
      <c r="L449" s="10"/>
    </row>
    <row r="450" spans="1:12" x14ac:dyDescent="0.25">
      <c r="A450" s="16"/>
      <c r="B450" s="10"/>
      <c r="C450" s="13">
        <f>IF(B450="","",IFERROR(INDEX(Ejemplares!$B$5:$B$304,MATCH(B450,Ejemplares!$A$5:$A$304,0)),"Ejemplar no encontrado"))</f>
      </c>
      <c r="D450" s="10"/>
      <c r="E450" s="10"/>
      <c r="F450" s="10"/>
      <c r="G450" s="10"/>
      <c r="H450" s="10"/>
      <c r="I450" s="14">
        <f>IF(D450="","",IF(OR(D450="Ingreso",D450="Traslado entrante"),1,-1))</f>
      </c>
      <c r="J450" s="15">
        <f>IF(A450="","",YEAR(A450))</f>
      </c>
      <c r="K450" s="10"/>
      <c r="L450" s="10"/>
    </row>
    <row r="451" spans="1:12" x14ac:dyDescent="0.25">
      <c r="A451" s="16"/>
      <c r="B451" s="10"/>
      <c r="C451" s="13">
        <f>IF(B451="","",IFERROR(INDEX(Ejemplares!$B$5:$B$304,MATCH(B451,Ejemplares!$A$5:$A$304,0)),"Ejemplar no encontrado"))</f>
      </c>
      <c r="D451" s="10"/>
      <c r="E451" s="10"/>
      <c r="F451" s="10"/>
      <c r="G451" s="10"/>
      <c r="H451" s="10"/>
      <c r="I451" s="14">
        <f>IF(D451="","",IF(OR(D451="Ingreso",D451="Traslado entrante"),1,-1))</f>
      </c>
      <c r="J451" s="15">
        <f>IF(A451="","",YEAR(A451))</f>
      </c>
      <c r="K451" s="10"/>
      <c r="L451" s="10"/>
    </row>
    <row r="452" spans="1:12" x14ac:dyDescent="0.25">
      <c r="A452" s="16"/>
      <c r="B452" s="10"/>
      <c r="C452" s="13">
        <f>IF(B452="","",IFERROR(INDEX(Ejemplares!$B$5:$B$304,MATCH(B452,Ejemplares!$A$5:$A$304,0)),"Ejemplar no encontrado"))</f>
      </c>
      <c r="D452" s="10"/>
      <c r="E452" s="10"/>
      <c r="F452" s="10"/>
      <c r="G452" s="10"/>
      <c r="H452" s="10"/>
      <c r="I452" s="14">
        <f>IF(D452="","",IF(OR(D452="Ingreso",D452="Traslado entrante"),1,-1))</f>
      </c>
      <c r="J452" s="15">
        <f>IF(A452="","",YEAR(A452))</f>
      </c>
      <c r="K452" s="10"/>
      <c r="L452" s="10"/>
    </row>
    <row r="453" spans="1:12" x14ac:dyDescent="0.25">
      <c r="A453" s="16"/>
      <c r="B453" s="10"/>
      <c r="C453" s="13">
        <f>IF(B453="","",IFERROR(INDEX(Ejemplares!$B$5:$B$304,MATCH(B453,Ejemplares!$A$5:$A$304,0)),"Ejemplar no encontrado"))</f>
      </c>
      <c r="D453" s="10"/>
      <c r="E453" s="10"/>
      <c r="F453" s="10"/>
      <c r="G453" s="10"/>
      <c r="H453" s="10"/>
      <c r="I453" s="14">
        <f>IF(D453="","",IF(OR(D453="Ingreso",D453="Traslado entrante"),1,-1))</f>
      </c>
      <c r="J453" s="15">
        <f>IF(A453="","",YEAR(A453))</f>
      </c>
      <c r="K453" s="10"/>
      <c r="L453" s="10"/>
    </row>
    <row r="454" spans="1:12" x14ac:dyDescent="0.25">
      <c r="A454" s="16"/>
      <c r="B454" s="10"/>
      <c r="C454" s="13">
        <f>IF(B454="","",IFERROR(INDEX(Ejemplares!$B$5:$B$304,MATCH(B454,Ejemplares!$A$5:$A$304,0)),"Ejemplar no encontrado"))</f>
      </c>
      <c r="D454" s="10"/>
      <c r="E454" s="10"/>
      <c r="F454" s="10"/>
      <c r="G454" s="10"/>
      <c r="H454" s="10"/>
      <c r="I454" s="14">
        <f>IF(D454="","",IF(OR(D454="Ingreso",D454="Traslado entrante"),1,-1))</f>
      </c>
      <c r="J454" s="15">
        <f>IF(A454="","",YEAR(A454))</f>
      </c>
      <c r="K454" s="10"/>
      <c r="L454" s="10"/>
    </row>
    <row r="455" spans="1:12" x14ac:dyDescent="0.25">
      <c r="A455" s="16"/>
      <c r="B455" s="10"/>
      <c r="C455" s="13">
        <f>IF(B455="","",IFERROR(INDEX(Ejemplares!$B$5:$B$304,MATCH(B455,Ejemplares!$A$5:$A$304,0)),"Ejemplar no encontrado"))</f>
      </c>
      <c r="D455" s="10"/>
      <c r="E455" s="10"/>
      <c r="F455" s="10"/>
      <c r="G455" s="10"/>
      <c r="H455" s="10"/>
      <c r="I455" s="14">
        <f>IF(D455="","",IF(OR(D455="Ingreso",D455="Traslado entrante"),1,-1))</f>
      </c>
      <c r="J455" s="15">
        <f>IF(A455="","",YEAR(A455))</f>
      </c>
      <c r="K455" s="10"/>
      <c r="L455" s="10"/>
    </row>
    <row r="456" spans="1:12" x14ac:dyDescent="0.25">
      <c r="A456" s="16"/>
      <c r="B456" s="10"/>
      <c r="C456" s="13">
        <f>IF(B456="","",IFERROR(INDEX(Ejemplares!$B$5:$B$304,MATCH(B456,Ejemplares!$A$5:$A$304,0)),"Ejemplar no encontrado"))</f>
      </c>
      <c r="D456" s="10"/>
      <c r="E456" s="10"/>
      <c r="F456" s="10"/>
      <c r="G456" s="10"/>
      <c r="H456" s="10"/>
      <c r="I456" s="14">
        <f>IF(D456="","",IF(OR(D456="Ingreso",D456="Traslado entrante"),1,-1))</f>
      </c>
      <c r="J456" s="15">
        <f>IF(A456="","",YEAR(A456))</f>
      </c>
      <c r="K456" s="10"/>
      <c r="L456" s="10"/>
    </row>
    <row r="457" spans="1:12" x14ac:dyDescent="0.25">
      <c r="A457" s="16"/>
      <c r="B457" s="10"/>
      <c r="C457" s="13">
        <f>IF(B457="","",IFERROR(INDEX(Ejemplares!$B$5:$B$304,MATCH(B457,Ejemplares!$A$5:$A$304,0)),"Ejemplar no encontrado"))</f>
      </c>
      <c r="D457" s="10"/>
      <c r="E457" s="10"/>
      <c r="F457" s="10"/>
      <c r="G457" s="10"/>
      <c r="H457" s="10"/>
      <c r="I457" s="14">
        <f>IF(D457="","",IF(OR(D457="Ingreso",D457="Traslado entrante"),1,-1))</f>
      </c>
      <c r="J457" s="15">
        <f>IF(A457="","",YEAR(A457))</f>
      </c>
      <c r="K457" s="10"/>
      <c r="L457" s="10"/>
    </row>
    <row r="458" spans="1:12" x14ac:dyDescent="0.25">
      <c r="A458" s="16"/>
      <c r="B458" s="10"/>
      <c r="C458" s="13">
        <f>IF(B458="","",IFERROR(INDEX(Ejemplares!$B$5:$B$304,MATCH(B458,Ejemplares!$A$5:$A$304,0)),"Ejemplar no encontrado"))</f>
      </c>
      <c r="D458" s="10"/>
      <c r="E458" s="10"/>
      <c r="F458" s="10"/>
      <c r="G458" s="10"/>
      <c r="H458" s="10"/>
      <c r="I458" s="14">
        <f>IF(D458="","",IF(OR(D458="Ingreso",D458="Traslado entrante"),1,-1))</f>
      </c>
      <c r="J458" s="15">
        <f>IF(A458="","",YEAR(A458))</f>
      </c>
      <c r="K458" s="10"/>
      <c r="L458" s="10"/>
    </row>
    <row r="459" spans="1:12" x14ac:dyDescent="0.25">
      <c r="A459" s="16"/>
      <c r="B459" s="10"/>
      <c r="C459" s="13">
        <f>IF(B459="","",IFERROR(INDEX(Ejemplares!$B$5:$B$304,MATCH(B459,Ejemplares!$A$5:$A$304,0)),"Ejemplar no encontrado"))</f>
      </c>
      <c r="D459" s="10"/>
      <c r="E459" s="10"/>
      <c r="F459" s="10"/>
      <c r="G459" s="10"/>
      <c r="H459" s="10"/>
      <c r="I459" s="14">
        <f>IF(D459="","",IF(OR(D459="Ingreso",D459="Traslado entrante"),1,-1))</f>
      </c>
      <c r="J459" s="15">
        <f>IF(A459="","",YEAR(A459))</f>
      </c>
      <c r="K459" s="10"/>
      <c r="L459" s="10"/>
    </row>
    <row r="460" spans="1:12" x14ac:dyDescent="0.25">
      <c r="A460" s="16"/>
      <c r="B460" s="10"/>
      <c r="C460" s="13">
        <f>IF(B460="","",IFERROR(INDEX(Ejemplares!$B$5:$B$304,MATCH(B460,Ejemplares!$A$5:$A$304,0)),"Ejemplar no encontrado"))</f>
      </c>
      <c r="D460" s="10"/>
      <c r="E460" s="10"/>
      <c r="F460" s="10"/>
      <c r="G460" s="10"/>
      <c r="H460" s="10"/>
      <c r="I460" s="14">
        <f>IF(D460="","",IF(OR(D460="Ingreso",D460="Traslado entrante"),1,-1))</f>
      </c>
      <c r="J460" s="15">
        <f>IF(A460="","",YEAR(A460))</f>
      </c>
      <c r="K460" s="10"/>
      <c r="L460" s="10"/>
    </row>
    <row r="461" spans="1:12" x14ac:dyDescent="0.25">
      <c r="A461" s="16"/>
      <c r="B461" s="10"/>
      <c r="C461" s="13">
        <f>IF(B461="","",IFERROR(INDEX(Ejemplares!$B$5:$B$304,MATCH(B461,Ejemplares!$A$5:$A$304,0)),"Ejemplar no encontrado"))</f>
      </c>
      <c r="D461" s="10"/>
      <c r="E461" s="10"/>
      <c r="F461" s="10"/>
      <c r="G461" s="10"/>
      <c r="H461" s="10"/>
      <c r="I461" s="14">
        <f>IF(D461="","",IF(OR(D461="Ingreso",D461="Traslado entrante"),1,-1))</f>
      </c>
      <c r="J461" s="15">
        <f>IF(A461="","",YEAR(A461))</f>
      </c>
      <c r="K461" s="10"/>
      <c r="L461" s="10"/>
    </row>
    <row r="462" spans="1:12" x14ac:dyDescent="0.25">
      <c r="A462" s="16"/>
      <c r="B462" s="10"/>
      <c r="C462" s="13">
        <f>IF(B462="","",IFERROR(INDEX(Ejemplares!$B$5:$B$304,MATCH(B462,Ejemplares!$A$5:$A$304,0)),"Ejemplar no encontrado"))</f>
      </c>
      <c r="D462" s="10"/>
      <c r="E462" s="10"/>
      <c r="F462" s="10"/>
      <c r="G462" s="10"/>
      <c r="H462" s="10"/>
      <c r="I462" s="14">
        <f>IF(D462="","",IF(OR(D462="Ingreso",D462="Traslado entrante"),1,-1))</f>
      </c>
      <c r="J462" s="15">
        <f>IF(A462="","",YEAR(A462))</f>
      </c>
      <c r="K462" s="10"/>
      <c r="L462" s="10"/>
    </row>
    <row r="463" spans="1:12" x14ac:dyDescent="0.25">
      <c r="A463" s="16"/>
      <c r="B463" s="10"/>
      <c r="C463" s="13">
        <f>IF(B463="","",IFERROR(INDEX(Ejemplares!$B$5:$B$304,MATCH(B463,Ejemplares!$A$5:$A$304,0)),"Ejemplar no encontrado"))</f>
      </c>
      <c r="D463" s="10"/>
      <c r="E463" s="10"/>
      <c r="F463" s="10"/>
      <c r="G463" s="10"/>
      <c r="H463" s="10"/>
      <c r="I463" s="14">
        <f>IF(D463="","",IF(OR(D463="Ingreso",D463="Traslado entrante"),1,-1))</f>
      </c>
      <c r="J463" s="15">
        <f>IF(A463="","",YEAR(A463))</f>
      </c>
      <c r="K463" s="10"/>
      <c r="L463" s="10"/>
    </row>
    <row r="464" spans="1:12" x14ac:dyDescent="0.25">
      <c r="A464" s="16"/>
      <c r="B464" s="10"/>
      <c r="C464" s="13">
        <f>IF(B464="","",IFERROR(INDEX(Ejemplares!$B$5:$B$304,MATCH(B464,Ejemplares!$A$5:$A$304,0)),"Ejemplar no encontrado"))</f>
      </c>
      <c r="D464" s="10"/>
      <c r="E464" s="10"/>
      <c r="F464" s="10"/>
      <c r="G464" s="10"/>
      <c r="H464" s="10"/>
      <c r="I464" s="14">
        <f>IF(D464="","",IF(OR(D464="Ingreso",D464="Traslado entrante"),1,-1))</f>
      </c>
      <c r="J464" s="15">
        <f>IF(A464="","",YEAR(A464))</f>
      </c>
      <c r="K464" s="10"/>
      <c r="L464" s="10"/>
    </row>
    <row r="465" spans="1:12" x14ac:dyDescent="0.25">
      <c r="A465" s="16"/>
      <c r="B465" s="10"/>
      <c r="C465" s="13">
        <f>IF(B465="","",IFERROR(INDEX(Ejemplares!$B$5:$B$304,MATCH(B465,Ejemplares!$A$5:$A$304,0)),"Ejemplar no encontrado"))</f>
      </c>
      <c r="D465" s="10"/>
      <c r="E465" s="10"/>
      <c r="F465" s="10"/>
      <c r="G465" s="10"/>
      <c r="H465" s="10"/>
      <c r="I465" s="14">
        <f>IF(D465="","",IF(OR(D465="Ingreso",D465="Traslado entrante"),1,-1))</f>
      </c>
      <c r="J465" s="15">
        <f>IF(A465="","",YEAR(A465))</f>
      </c>
      <c r="K465" s="10"/>
      <c r="L465" s="10"/>
    </row>
    <row r="466" spans="1:12" x14ac:dyDescent="0.25">
      <c r="A466" s="16"/>
      <c r="B466" s="10"/>
      <c r="C466" s="13">
        <f>IF(B466="","",IFERROR(INDEX(Ejemplares!$B$5:$B$304,MATCH(B466,Ejemplares!$A$5:$A$304,0)),"Ejemplar no encontrado"))</f>
      </c>
      <c r="D466" s="10"/>
      <c r="E466" s="10"/>
      <c r="F466" s="10"/>
      <c r="G466" s="10"/>
      <c r="H466" s="10"/>
      <c r="I466" s="14">
        <f>IF(D466="","",IF(OR(D466="Ingreso",D466="Traslado entrante"),1,-1))</f>
      </c>
      <c r="J466" s="15">
        <f>IF(A466="","",YEAR(A466))</f>
      </c>
      <c r="K466" s="10"/>
      <c r="L466" s="10"/>
    </row>
    <row r="467" spans="1:12" x14ac:dyDescent="0.25">
      <c r="A467" s="16"/>
      <c r="B467" s="10"/>
      <c r="C467" s="13">
        <f>IF(B467="","",IFERROR(INDEX(Ejemplares!$B$5:$B$304,MATCH(B467,Ejemplares!$A$5:$A$304,0)),"Ejemplar no encontrado"))</f>
      </c>
      <c r="D467" s="10"/>
      <c r="E467" s="10"/>
      <c r="F467" s="10"/>
      <c r="G467" s="10"/>
      <c r="H467" s="10"/>
      <c r="I467" s="14">
        <f>IF(D467="","",IF(OR(D467="Ingreso",D467="Traslado entrante"),1,-1))</f>
      </c>
      <c r="J467" s="15">
        <f>IF(A467="","",YEAR(A467))</f>
      </c>
      <c r="K467" s="10"/>
      <c r="L467" s="10"/>
    </row>
    <row r="468" spans="1:12" x14ac:dyDescent="0.25">
      <c r="A468" s="16"/>
      <c r="B468" s="10"/>
      <c r="C468" s="13">
        <f>IF(B468="","",IFERROR(INDEX(Ejemplares!$B$5:$B$304,MATCH(B468,Ejemplares!$A$5:$A$304,0)),"Ejemplar no encontrado"))</f>
      </c>
      <c r="D468" s="10"/>
      <c r="E468" s="10"/>
      <c r="F468" s="10"/>
      <c r="G468" s="10"/>
      <c r="H468" s="10"/>
      <c r="I468" s="14">
        <f>IF(D468="","",IF(OR(D468="Ingreso",D468="Traslado entrante"),1,-1))</f>
      </c>
      <c r="J468" s="15">
        <f>IF(A468="","",YEAR(A468))</f>
      </c>
      <c r="K468" s="10"/>
      <c r="L468" s="10"/>
    </row>
    <row r="469" spans="1:12" x14ac:dyDescent="0.25">
      <c r="A469" s="16"/>
      <c r="B469" s="10"/>
      <c r="C469" s="13">
        <f>IF(B469="","",IFERROR(INDEX(Ejemplares!$B$5:$B$304,MATCH(B469,Ejemplares!$A$5:$A$304,0)),"Ejemplar no encontrado"))</f>
      </c>
      <c r="D469" s="10"/>
      <c r="E469" s="10"/>
      <c r="F469" s="10"/>
      <c r="G469" s="10"/>
      <c r="H469" s="10"/>
      <c r="I469" s="14">
        <f>IF(D469="","",IF(OR(D469="Ingreso",D469="Traslado entrante"),1,-1))</f>
      </c>
      <c r="J469" s="15">
        <f>IF(A469="","",YEAR(A469))</f>
      </c>
      <c r="K469" s="10"/>
      <c r="L469" s="10"/>
    </row>
    <row r="470" spans="1:12" x14ac:dyDescent="0.25">
      <c r="A470" s="16"/>
      <c r="B470" s="10"/>
      <c r="C470" s="13">
        <f>IF(B470="","",IFERROR(INDEX(Ejemplares!$B$5:$B$304,MATCH(B470,Ejemplares!$A$5:$A$304,0)),"Ejemplar no encontrado"))</f>
      </c>
      <c r="D470" s="10"/>
      <c r="E470" s="10"/>
      <c r="F470" s="10"/>
      <c r="G470" s="10"/>
      <c r="H470" s="10"/>
      <c r="I470" s="14">
        <f>IF(D470="","",IF(OR(D470="Ingreso",D470="Traslado entrante"),1,-1))</f>
      </c>
      <c r="J470" s="15">
        <f>IF(A470="","",YEAR(A470))</f>
      </c>
      <c r="K470" s="10"/>
      <c r="L470" s="10"/>
    </row>
    <row r="471" spans="1:12" x14ac:dyDescent="0.25">
      <c r="A471" s="16"/>
      <c r="B471" s="10"/>
      <c r="C471" s="13">
        <f>IF(B471="","",IFERROR(INDEX(Ejemplares!$B$5:$B$304,MATCH(B471,Ejemplares!$A$5:$A$304,0)),"Ejemplar no encontrado"))</f>
      </c>
      <c r="D471" s="10"/>
      <c r="E471" s="10"/>
      <c r="F471" s="10"/>
      <c r="G471" s="10"/>
      <c r="H471" s="10"/>
      <c r="I471" s="14">
        <f>IF(D471="","",IF(OR(D471="Ingreso",D471="Traslado entrante"),1,-1))</f>
      </c>
      <c r="J471" s="15">
        <f>IF(A471="","",YEAR(A471))</f>
      </c>
      <c r="K471" s="10"/>
      <c r="L471" s="10"/>
    </row>
    <row r="472" spans="1:12" x14ac:dyDescent="0.25">
      <c r="A472" s="16"/>
      <c r="B472" s="10"/>
      <c r="C472" s="13">
        <f>IF(B472="","",IFERROR(INDEX(Ejemplares!$B$5:$B$304,MATCH(B472,Ejemplares!$A$5:$A$304,0)),"Ejemplar no encontrado"))</f>
      </c>
      <c r="D472" s="10"/>
      <c r="E472" s="10"/>
      <c r="F472" s="10"/>
      <c r="G472" s="10"/>
      <c r="H472" s="10"/>
      <c r="I472" s="14">
        <f>IF(D472="","",IF(OR(D472="Ingreso",D472="Traslado entrante"),1,-1))</f>
      </c>
      <c r="J472" s="15">
        <f>IF(A472="","",YEAR(A472))</f>
      </c>
      <c r="K472" s="10"/>
      <c r="L472" s="10"/>
    </row>
    <row r="473" spans="1:12" x14ac:dyDescent="0.25">
      <c r="A473" s="16"/>
      <c r="B473" s="10"/>
      <c r="C473" s="13">
        <f>IF(B473="","",IFERROR(INDEX(Ejemplares!$B$5:$B$304,MATCH(B473,Ejemplares!$A$5:$A$304,0)),"Ejemplar no encontrado"))</f>
      </c>
      <c r="D473" s="10"/>
      <c r="E473" s="10"/>
      <c r="F473" s="10"/>
      <c r="G473" s="10"/>
      <c r="H473" s="10"/>
      <c r="I473" s="14">
        <f>IF(D473="","",IF(OR(D473="Ingreso",D473="Traslado entrante"),1,-1))</f>
      </c>
      <c r="J473" s="15">
        <f>IF(A473="","",YEAR(A473))</f>
      </c>
      <c r="K473" s="10"/>
      <c r="L473" s="10"/>
    </row>
    <row r="474" spans="1:12" x14ac:dyDescent="0.25">
      <c r="A474" s="16"/>
      <c r="B474" s="10"/>
      <c r="C474" s="13">
        <f>IF(B474="","",IFERROR(INDEX(Ejemplares!$B$5:$B$304,MATCH(B474,Ejemplares!$A$5:$A$304,0)),"Ejemplar no encontrado"))</f>
      </c>
      <c r="D474" s="10"/>
      <c r="E474" s="10"/>
      <c r="F474" s="10"/>
      <c r="G474" s="10"/>
      <c r="H474" s="10"/>
      <c r="I474" s="14">
        <f>IF(D474="","",IF(OR(D474="Ingreso",D474="Traslado entrante"),1,-1))</f>
      </c>
      <c r="J474" s="15">
        <f>IF(A474="","",YEAR(A474))</f>
      </c>
      <c r="K474" s="10"/>
      <c r="L474" s="10"/>
    </row>
    <row r="475" spans="1:12" x14ac:dyDescent="0.25">
      <c r="A475" s="16"/>
      <c r="B475" s="10"/>
      <c r="C475" s="13">
        <f>IF(B475="","",IFERROR(INDEX(Ejemplares!$B$5:$B$304,MATCH(B475,Ejemplares!$A$5:$A$304,0)),"Ejemplar no encontrado"))</f>
      </c>
      <c r="D475" s="10"/>
      <c r="E475" s="10"/>
      <c r="F475" s="10"/>
      <c r="G475" s="10"/>
      <c r="H475" s="10"/>
      <c r="I475" s="14">
        <f>IF(D475="","",IF(OR(D475="Ingreso",D475="Traslado entrante"),1,-1))</f>
      </c>
      <c r="J475" s="15">
        <f>IF(A475="","",YEAR(A475))</f>
      </c>
      <c r="K475" s="10"/>
      <c r="L475" s="10"/>
    </row>
    <row r="476" spans="1:12" x14ac:dyDescent="0.25">
      <c r="A476" s="16"/>
      <c r="B476" s="10"/>
      <c r="C476" s="13">
        <f>IF(B476="","",IFERROR(INDEX(Ejemplares!$B$5:$B$304,MATCH(B476,Ejemplares!$A$5:$A$304,0)),"Ejemplar no encontrado"))</f>
      </c>
      <c r="D476" s="10"/>
      <c r="E476" s="10"/>
      <c r="F476" s="10"/>
      <c r="G476" s="10"/>
      <c r="H476" s="10"/>
      <c r="I476" s="14">
        <f>IF(D476="","",IF(OR(D476="Ingreso",D476="Traslado entrante"),1,-1))</f>
      </c>
      <c r="J476" s="15">
        <f>IF(A476="","",YEAR(A476))</f>
      </c>
      <c r="K476" s="10"/>
      <c r="L476" s="10"/>
    </row>
    <row r="477" spans="1:12" x14ac:dyDescent="0.25">
      <c r="A477" s="16"/>
      <c r="B477" s="10"/>
      <c r="C477" s="13">
        <f>IF(B477="","",IFERROR(INDEX(Ejemplares!$B$5:$B$304,MATCH(B477,Ejemplares!$A$5:$A$304,0)),"Ejemplar no encontrado"))</f>
      </c>
      <c r="D477" s="10"/>
      <c r="E477" s="10"/>
      <c r="F477" s="10"/>
      <c r="G477" s="10"/>
      <c r="H477" s="10"/>
      <c r="I477" s="14">
        <f>IF(D477="","",IF(OR(D477="Ingreso",D477="Traslado entrante"),1,-1))</f>
      </c>
      <c r="J477" s="15">
        <f>IF(A477="","",YEAR(A477))</f>
      </c>
      <c r="K477" s="10"/>
      <c r="L477" s="10"/>
    </row>
    <row r="478" spans="1:12" x14ac:dyDescent="0.25">
      <c r="A478" s="16"/>
      <c r="B478" s="10"/>
      <c r="C478" s="13">
        <f>IF(B478="","",IFERROR(INDEX(Ejemplares!$B$5:$B$304,MATCH(B478,Ejemplares!$A$5:$A$304,0)),"Ejemplar no encontrado"))</f>
      </c>
      <c r="D478" s="10"/>
      <c r="E478" s="10"/>
      <c r="F478" s="10"/>
      <c r="G478" s="10"/>
      <c r="H478" s="10"/>
      <c r="I478" s="14">
        <f>IF(D478="","",IF(OR(D478="Ingreso",D478="Traslado entrante"),1,-1))</f>
      </c>
      <c r="J478" s="15">
        <f>IF(A478="","",YEAR(A478))</f>
      </c>
      <c r="K478" s="10"/>
      <c r="L478" s="10"/>
    </row>
    <row r="479" spans="1:12" x14ac:dyDescent="0.25">
      <c r="A479" s="16"/>
      <c r="B479" s="10"/>
      <c r="C479" s="13">
        <f>IF(B479="","",IFERROR(INDEX(Ejemplares!$B$5:$B$304,MATCH(B479,Ejemplares!$A$5:$A$304,0)),"Ejemplar no encontrado"))</f>
      </c>
      <c r="D479" s="10"/>
      <c r="E479" s="10"/>
      <c r="F479" s="10"/>
      <c r="G479" s="10"/>
      <c r="H479" s="10"/>
      <c r="I479" s="14">
        <f>IF(D479="","",IF(OR(D479="Ingreso",D479="Traslado entrante"),1,-1))</f>
      </c>
      <c r="J479" s="15">
        <f>IF(A479="","",YEAR(A479))</f>
      </c>
      <c r="K479" s="10"/>
      <c r="L479" s="10"/>
    </row>
    <row r="480" spans="1:12" x14ac:dyDescent="0.25">
      <c r="A480" s="16"/>
      <c r="B480" s="10"/>
      <c r="C480" s="13">
        <f>IF(B480="","",IFERROR(INDEX(Ejemplares!$B$5:$B$304,MATCH(B480,Ejemplares!$A$5:$A$304,0)),"Ejemplar no encontrado"))</f>
      </c>
      <c r="D480" s="10"/>
      <c r="E480" s="10"/>
      <c r="F480" s="10"/>
      <c r="G480" s="10"/>
      <c r="H480" s="10"/>
      <c r="I480" s="14">
        <f>IF(D480="","",IF(OR(D480="Ingreso",D480="Traslado entrante"),1,-1))</f>
      </c>
      <c r="J480" s="15">
        <f>IF(A480="","",YEAR(A480))</f>
      </c>
      <c r="K480" s="10"/>
      <c r="L480" s="10"/>
    </row>
    <row r="481" spans="1:12" x14ac:dyDescent="0.25">
      <c r="A481" s="16"/>
      <c r="B481" s="10"/>
      <c r="C481" s="13">
        <f>IF(B481="","",IFERROR(INDEX(Ejemplares!$B$5:$B$304,MATCH(B481,Ejemplares!$A$5:$A$304,0)),"Ejemplar no encontrado"))</f>
      </c>
      <c r="D481" s="10"/>
      <c r="E481" s="10"/>
      <c r="F481" s="10"/>
      <c r="G481" s="10"/>
      <c r="H481" s="10"/>
      <c r="I481" s="14">
        <f>IF(D481="","",IF(OR(D481="Ingreso",D481="Traslado entrante"),1,-1))</f>
      </c>
      <c r="J481" s="15">
        <f>IF(A481="","",YEAR(A481))</f>
      </c>
      <c r="K481" s="10"/>
      <c r="L481" s="10"/>
    </row>
    <row r="482" spans="1:12" x14ac:dyDescent="0.25">
      <c r="A482" s="16"/>
      <c r="B482" s="10"/>
      <c r="C482" s="13">
        <f>IF(B482="","",IFERROR(INDEX(Ejemplares!$B$5:$B$304,MATCH(B482,Ejemplares!$A$5:$A$304,0)),"Ejemplar no encontrado"))</f>
      </c>
      <c r="D482" s="10"/>
      <c r="E482" s="10"/>
      <c r="F482" s="10"/>
      <c r="G482" s="10"/>
      <c r="H482" s="10"/>
      <c r="I482" s="14">
        <f>IF(D482="","",IF(OR(D482="Ingreso",D482="Traslado entrante"),1,-1))</f>
      </c>
      <c r="J482" s="15">
        <f>IF(A482="","",YEAR(A482))</f>
      </c>
      <c r="K482" s="10"/>
      <c r="L482" s="10"/>
    </row>
    <row r="483" spans="1:12" x14ac:dyDescent="0.25">
      <c r="A483" s="16"/>
      <c r="B483" s="10"/>
      <c r="C483" s="13">
        <f>IF(B483="","",IFERROR(INDEX(Ejemplares!$B$5:$B$304,MATCH(B483,Ejemplares!$A$5:$A$304,0)),"Ejemplar no encontrado"))</f>
      </c>
      <c r="D483" s="10"/>
      <c r="E483" s="10"/>
      <c r="F483" s="10"/>
      <c r="G483" s="10"/>
      <c r="H483" s="10"/>
      <c r="I483" s="14">
        <f>IF(D483="","",IF(OR(D483="Ingreso",D483="Traslado entrante"),1,-1))</f>
      </c>
      <c r="J483" s="15">
        <f>IF(A483="","",YEAR(A483))</f>
      </c>
      <c r="K483" s="10"/>
      <c r="L483" s="10"/>
    </row>
    <row r="484" spans="1:12" x14ac:dyDescent="0.25">
      <c r="A484" s="16"/>
      <c r="B484" s="10"/>
      <c r="C484" s="13">
        <f>IF(B484="","",IFERROR(INDEX(Ejemplares!$B$5:$B$304,MATCH(B484,Ejemplares!$A$5:$A$304,0)),"Ejemplar no encontrado"))</f>
      </c>
      <c r="D484" s="10"/>
      <c r="E484" s="10"/>
      <c r="F484" s="10"/>
      <c r="G484" s="10"/>
      <c r="H484" s="10"/>
      <c r="I484" s="14">
        <f>IF(D484="","",IF(OR(D484="Ingreso",D484="Traslado entrante"),1,-1))</f>
      </c>
      <c r="J484" s="15">
        <f>IF(A484="","",YEAR(A484))</f>
      </c>
      <c r="K484" s="10"/>
      <c r="L484" s="10"/>
    </row>
    <row r="485" spans="1:12" x14ac:dyDescent="0.25">
      <c r="A485" s="16"/>
      <c r="B485" s="10"/>
      <c r="C485" s="13">
        <f>IF(B485="","",IFERROR(INDEX(Ejemplares!$B$5:$B$304,MATCH(B485,Ejemplares!$A$5:$A$304,0)),"Ejemplar no encontrado"))</f>
      </c>
      <c r="D485" s="10"/>
      <c r="E485" s="10"/>
      <c r="F485" s="10"/>
      <c r="G485" s="10"/>
      <c r="H485" s="10"/>
      <c r="I485" s="14">
        <f>IF(D485="","",IF(OR(D485="Ingreso",D485="Traslado entrante"),1,-1))</f>
      </c>
      <c r="J485" s="15">
        <f>IF(A485="","",YEAR(A485))</f>
      </c>
      <c r="K485" s="10"/>
      <c r="L485" s="10"/>
    </row>
    <row r="486" spans="1:12" x14ac:dyDescent="0.25">
      <c r="A486" s="16"/>
      <c r="B486" s="10"/>
      <c r="C486" s="13">
        <f>IF(B486="","",IFERROR(INDEX(Ejemplares!$B$5:$B$304,MATCH(B486,Ejemplares!$A$5:$A$304,0)),"Ejemplar no encontrado"))</f>
      </c>
      <c r="D486" s="10"/>
      <c r="E486" s="10"/>
      <c r="F486" s="10"/>
      <c r="G486" s="10"/>
      <c r="H486" s="10"/>
      <c r="I486" s="14">
        <f>IF(D486="","",IF(OR(D486="Ingreso",D486="Traslado entrante"),1,-1))</f>
      </c>
      <c r="J486" s="15">
        <f>IF(A486="","",YEAR(A486))</f>
      </c>
      <c r="K486" s="10"/>
      <c r="L486" s="10"/>
    </row>
    <row r="487" spans="1:12" x14ac:dyDescent="0.25">
      <c r="A487" s="16"/>
      <c r="B487" s="10"/>
      <c r="C487" s="13">
        <f>IF(B487="","",IFERROR(INDEX(Ejemplares!$B$5:$B$304,MATCH(B487,Ejemplares!$A$5:$A$304,0)),"Ejemplar no encontrado"))</f>
      </c>
      <c r="D487" s="10"/>
      <c r="E487" s="10"/>
      <c r="F487" s="10"/>
      <c r="G487" s="10"/>
      <c r="H487" s="10"/>
      <c r="I487" s="14">
        <f>IF(D487="","",IF(OR(D487="Ingreso",D487="Traslado entrante"),1,-1))</f>
      </c>
      <c r="J487" s="15">
        <f>IF(A487="","",YEAR(A487))</f>
      </c>
      <c r="K487" s="10"/>
      <c r="L487" s="10"/>
    </row>
    <row r="488" spans="1:12" x14ac:dyDescent="0.25">
      <c r="A488" s="16"/>
      <c r="B488" s="10"/>
      <c r="C488" s="13">
        <f>IF(B488="","",IFERROR(INDEX(Ejemplares!$B$5:$B$304,MATCH(B488,Ejemplares!$A$5:$A$304,0)),"Ejemplar no encontrado"))</f>
      </c>
      <c r="D488" s="10"/>
      <c r="E488" s="10"/>
      <c r="F488" s="10"/>
      <c r="G488" s="10"/>
      <c r="H488" s="10"/>
      <c r="I488" s="14">
        <f>IF(D488="","",IF(OR(D488="Ingreso",D488="Traslado entrante"),1,-1))</f>
      </c>
      <c r="J488" s="15">
        <f>IF(A488="","",YEAR(A488))</f>
      </c>
      <c r="K488" s="10"/>
      <c r="L488" s="10"/>
    </row>
    <row r="489" spans="1:12" x14ac:dyDescent="0.25">
      <c r="A489" s="16"/>
      <c r="B489" s="10"/>
      <c r="C489" s="13">
        <f>IF(B489="","",IFERROR(INDEX(Ejemplares!$B$5:$B$304,MATCH(B489,Ejemplares!$A$5:$A$304,0)),"Ejemplar no encontrado"))</f>
      </c>
      <c r="D489" s="10"/>
      <c r="E489" s="10"/>
      <c r="F489" s="10"/>
      <c r="G489" s="10"/>
      <c r="H489" s="10"/>
      <c r="I489" s="14">
        <f>IF(D489="","",IF(OR(D489="Ingreso",D489="Traslado entrante"),1,-1))</f>
      </c>
      <c r="J489" s="15">
        <f>IF(A489="","",YEAR(A489))</f>
      </c>
      <c r="K489" s="10"/>
      <c r="L489" s="10"/>
    </row>
    <row r="490" spans="1:12" x14ac:dyDescent="0.25">
      <c r="A490" s="16"/>
      <c r="B490" s="10"/>
      <c r="C490" s="13">
        <f>IF(B490="","",IFERROR(INDEX(Ejemplares!$B$5:$B$304,MATCH(B490,Ejemplares!$A$5:$A$304,0)),"Ejemplar no encontrado"))</f>
      </c>
      <c r="D490" s="10"/>
      <c r="E490" s="10"/>
      <c r="F490" s="10"/>
      <c r="G490" s="10"/>
      <c r="H490" s="10"/>
      <c r="I490" s="14">
        <f>IF(D490="","",IF(OR(D490="Ingreso",D490="Traslado entrante"),1,-1))</f>
      </c>
      <c r="J490" s="15">
        <f>IF(A490="","",YEAR(A490))</f>
      </c>
      <c r="K490" s="10"/>
      <c r="L490" s="10"/>
    </row>
    <row r="491" spans="1:12" x14ac:dyDescent="0.25">
      <c r="A491" s="16"/>
      <c r="B491" s="10"/>
      <c r="C491" s="13">
        <f>IF(B491="","",IFERROR(INDEX(Ejemplares!$B$5:$B$304,MATCH(B491,Ejemplares!$A$5:$A$304,0)),"Ejemplar no encontrado"))</f>
      </c>
      <c r="D491" s="10"/>
      <c r="E491" s="10"/>
      <c r="F491" s="10"/>
      <c r="G491" s="10"/>
      <c r="H491" s="10"/>
      <c r="I491" s="14">
        <f>IF(D491="","",IF(OR(D491="Ingreso",D491="Traslado entrante"),1,-1))</f>
      </c>
      <c r="J491" s="15">
        <f>IF(A491="","",YEAR(A491))</f>
      </c>
      <c r="K491" s="10"/>
      <c r="L491" s="10"/>
    </row>
    <row r="492" spans="1:12" x14ac:dyDescent="0.25">
      <c r="A492" s="16"/>
      <c r="B492" s="10"/>
      <c r="C492" s="13">
        <f>IF(B492="","",IFERROR(INDEX(Ejemplares!$B$5:$B$304,MATCH(B492,Ejemplares!$A$5:$A$304,0)),"Ejemplar no encontrado"))</f>
      </c>
      <c r="D492" s="10"/>
      <c r="E492" s="10"/>
      <c r="F492" s="10"/>
      <c r="G492" s="10"/>
      <c r="H492" s="10"/>
      <c r="I492" s="14">
        <f>IF(D492="","",IF(OR(D492="Ingreso",D492="Traslado entrante"),1,-1))</f>
      </c>
      <c r="J492" s="15">
        <f>IF(A492="","",YEAR(A492))</f>
      </c>
      <c r="K492" s="10"/>
      <c r="L492" s="10"/>
    </row>
    <row r="493" spans="1:12" x14ac:dyDescent="0.25">
      <c r="A493" s="16"/>
      <c r="B493" s="10"/>
      <c r="C493" s="13">
        <f>IF(B493="","",IFERROR(INDEX(Ejemplares!$B$5:$B$304,MATCH(B493,Ejemplares!$A$5:$A$304,0)),"Ejemplar no encontrado"))</f>
      </c>
      <c r="D493" s="10"/>
      <c r="E493" s="10"/>
      <c r="F493" s="10"/>
      <c r="G493" s="10"/>
      <c r="H493" s="10"/>
      <c r="I493" s="14">
        <f>IF(D493="","",IF(OR(D493="Ingreso",D493="Traslado entrante"),1,-1))</f>
      </c>
      <c r="J493" s="15">
        <f>IF(A493="","",YEAR(A493))</f>
      </c>
      <c r="K493" s="10"/>
      <c r="L493" s="10"/>
    </row>
    <row r="494" spans="1:12" x14ac:dyDescent="0.25">
      <c r="A494" s="16"/>
      <c r="B494" s="10"/>
      <c r="C494" s="13">
        <f>IF(B494="","",IFERROR(INDEX(Ejemplares!$B$5:$B$304,MATCH(B494,Ejemplares!$A$5:$A$304,0)),"Ejemplar no encontrado"))</f>
      </c>
      <c r="D494" s="10"/>
      <c r="E494" s="10"/>
      <c r="F494" s="10"/>
      <c r="G494" s="10"/>
      <c r="H494" s="10"/>
      <c r="I494" s="14">
        <f>IF(D494="","",IF(OR(D494="Ingreso",D494="Traslado entrante"),1,-1))</f>
      </c>
      <c r="J494" s="15">
        <f>IF(A494="","",YEAR(A494))</f>
      </c>
      <c r="K494" s="10"/>
      <c r="L494" s="10"/>
    </row>
    <row r="495" spans="1:12" x14ac:dyDescent="0.25">
      <c r="A495" s="16"/>
      <c r="B495" s="10"/>
      <c r="C495" s="13">
        <f>IF(B495="","",IFERROR(INDEX(Ejemplares!$B$5:$B$304,MATCH(B495,Ejemplares!$A$5:$A$304,0)),"Ejemplar no encontrado"))</f>
      </c>
      <c r="D495" s="10"/>
      <c r="E495" s="10"/>
      <c r="F495" s="10"/>
      <c r="G495" s="10"/>
      <c r="H495" s="10"/>
      <c r="I495" s="14">
        <f>IF(D495="","",IF(OR(D495="Ingreso",D495="Traslado entrante"),1,-1))</f>
      </c>
      <c r="J495" s="15">
        <f>IF(A495="","",YEAR(A495))</f>
      </c>
      <c r="K495" s="10"/>
      <c r="L495" s="10"/>
    </row>
    <row r="496" spans="1:12" x14ac:dyDescent="0.25">
      <c r="A496" s="16"/>
      <c r="B496" s="10"/>
      <c r="C496" s="13">
        <f>IF(B496="","",IFERROR(INDEX(Ejemplares!$B$5:$B$304,MATCH(B496,Ejemplares!$A$5:$A$304,0)),"Ejemplar no encontrado"))</f>
      </c>
      <c r="D496" s="10"/>
      <c r="E496" s="10"/>
      <c r="F496" s="10"/>
      <c r="G496" s="10"/>
      <c r="H496" s="10"/>
      <c r="I496" s="14">
        <f>IF(D496="","",IF(OR(D496="Ingreso",D496="Traslado entrante"),1,-1))</f>
      </c>
      <c r="J496" s="15">
        <f>IF(A496="","",YEAR(A496))</f>
      </c>
      <c r="K496" s="10"/>
      <c r="L496" s="10"/>
    </row>
    <row r="497" spans="1:12" x14ac:dyDescent="0.25">
      <c r="A497" s="16"/>
      <c r="B497" s="10"/>
      <c r="C497" s="13">
        <f>IF(B497="","",IFERROR(INDEX(Ejemplares!$B$5:$B$304,MATCH(B497,Ejemplares!$A$5:$A$304,0)),"Ejemplar no encontrado"))</f>
      </c>
      <c r="D497" s="10"/>
      <c r="E497" s="10"/>
      <c r="F497" s="10"/>
      <c r="G497" s="10"/>
      <c r="H497" s="10"/>
      <c r="I497" s="14">
        <f>IF(D497="","",IF(OR(D497="Ingreso",D497="Traslado entrante"),1,-1))</f>
      </c>
      <c r="J497" s="15">
        <f>IF(A497="","",YEAR(A497))</f>
      </c>
      <c r="K497" s="10"/>
      <c r="L497" s="10"/>
    </row>
    <row r="498" spans="1:12" x14ac:dyDescent="0.25">
      <c r="A498" s="16"/>
      <c r="B498" s="10"/>
      <c r="C498" s="13">
        <f>IF(B498="","",IFERROR(INDEX(Ejemplares!$B$5:$B$304,MATCH(B498,Ejemplares!$A$5:$A$304,0)),"Ejemplar no encontrado"))</f>
      </c>
      <c r="D498" s="10"/>
      <c r="E498" s="10"/>
      <c r="F498" s="10"/>
      <c r="G498" s="10"/>
      <c r="H498" s="10"/>
      <c r="I498" s="14">
        <f>IF(D498="","",IF(OR(D498="Ingreso",D498="Traslado entrante"),1,-1))</f>
      </c>
      <c r="J498" s="15">
        <f>IF(A498="","",YEAR(A498))</f>
      </c>
      <c r="K498" s="10"/>
      <c r="L498" s="10"/>
    </row>
    <row r="499" spans="1:12" x14ac:dyDescent="0.25">
      <c r="A499" s="16"/>
      <c r="B499" s="10"/>
      <c r="C499" s="13">
        <f>IF(B499="","",IFERROR(INDEX(Ejemplares!$B$5:$B$304,MATCH(B499,Ejemplares!$A$5:$A$304,0)),"Ejemplar no encontrado"))</f>
      </c>
      <c r="D499" s="10"/>
      <c r="E499" s="10"/>
      <c r="F499" s="10"/>
      <c r="G499" s="10"/>
      <c r="H499" s="10"/>
      <c r="I499" s="14">
        <f>IF(D499="","",IF(OR(D499="Ingreso",D499="Traslado entrante"),1,-1))</f>
      </c>
      <c r="J499" s="15">
        <f>IF(A499="","",YEAR(A499))</f>
      </c>
      <c r="K499" s="10"/>
      <c r="L499" s="10"/>
    </row>
    <row r="500" spans="1:12" x14ac:dyDescent="0.25">
      <c r="A500" s="16"/>
      <c r="B500" s="10"/>
      <c r="C500" s="13">
        <f>IF(B500="","",IFERROR(INDEX(Ejemplares!$B$5:$B$304,MATCH(B500,Ejemplares!$A$5:$A$304,0)),"Ejemplar no encontrado"))</f>
      </c>
      <c r="D500" s="10"/>
      <c r="E500" s="10"/>
      <c r="F500" s="10"/>
      <c r="G500" s="10"/>
      <c r="H500" s="10"/>
      <c r="I500" s="14">
        <f>IF(D500="","",IF(OR(D500="Ingreso",D500="Traslado entrante"),1,-1))</f>
      </c>
      <c r="J500" s="15">
        <f>IF(A500="","",YEAR(A500))</f>
      </c>
      <c r="K500" s="10"/>
      <c r="L500" s="10"/>
    </row>
    <row r="501" spans="1:12" x14ac:dyDescent="0.25">
      <c r="A501" s="16"/>
      <c r="B501" s="10"/>
      <c r="C501" s="13">
        <f>IF(B501="","",IFERROR(INDEX(Ejemplares!$B$5:$B$304,MATCH(B501,Ejemplares!$A$5:$A$304,0)),"Ejemplar no encontrado"))</f>
      </c>
      <c r="D501" s="10"/>
      <c r="E501" s="10"/>
      <c r="F501" s="10"/>
      <c r="G501" s="10"/>
      <c r="H501" s="10"/>
      <c r="I501" s="14">
        <f>IF(D501="","",IF(OR(D501="Ingreso",D501="Traslado entrante"),1,-1))</f>
      </c>
      <c r="J501" s="15">
        <f>IF(A501="","",YEAR(A501))</f>
      </c>
      <c r="K501" s="10"/>
      <c r="L501" s="10"/>
    </row>
    <row r="502" spans="1:12" x14ac:dyDescent="0.25">
      <c r="A502" s="16"/>
      <c r="B502" s="10"/>
      <c r="C502" s="13">
        <f>IF(B502="","",IFERROR(INDEX(Ejemplares!$B$5:$B$304,MATCH(B502,Ejemplares!$A$5:$A$304,0)),"Ejemplar no encontrado"))</f>
      </c>
      <c r="D502" s="10"/>
      <c r="E502" s="10"/>
      <c r="F502" s="10"/>
      <c r="G502" s="10"/>
      <c r="H502" s="10"/>
      <c r="I502" s="14">
        <f>IF(D502="","",IF(OR(D502="Ingreso",D502="Traslado entrante"),1,-1))</f>
      </c>
      <c r="J502" s="15">
        <f>IF(A502="","",YEAR(A502))</f>
      </c>
      <c r="K502" s="10"/>
      <c r="L502" s="10"/>
    </row>
    <row r="503" spans="1:12" x14ac:dyDescent="0.25">
      <c r="A503" s="16"/>
      <c r="B503" s="10"/>
      <c r="C503" s="13">
        <f>IF(B503="","",IFERROR(INDEX(Ejemplares!$B$5:$B$304,MATCH(B503,Ejemplares!$A$5:$A$304,0)),"Ejemplar no encontrado"))</f>
      </c>
      <c r="D503" s="10"/>
      <c r="E503" s="10"/>
      <c r="F503" s="10"/>
      <c r="G503" s="10"/>
      <c r="H503" s="10"/>
      <c r="I503" s="14">
        <f>IF(D503="","",IF(OR(D503="Ingreso",D503="Traslado entrante"),1,-1))</f>
      </c>
      <c r="J503" s="15">
        <f>IF(A503="","",YEAR(A503))</f>
      </c>
      <c r="K503" s="10"/>
      <c r="L503" s="10"/>
    </row>
    <row r="504" spans="1:12" x14ac:dyDescent="0.25">
      <c r="A504" s="16"/>
      <c r="B504" s="10"/>
      <c r="C504" s="13">
        <f>IF(B504="","",IFERROR(INDEX(Ejemplares!$B$5:$B$304,MATCH(B504,Ejemplares!$A$5:$A$304,0)),"Ejemplar no encontrado"))</f>
      </c>
      <c r="D504" s="10"/>
      <c r="E504" s="10"/>
      <c r="F504" s="10"/>
      <c r="G504" s="10"/>
      <c r="H504" s="10"/>
      <c r="I504" s="14">
        <f>IF(D504="","",IF(OR(D504="Ingreso",D504="Traslado entrante"),1,-1))</f>
      </c>
      <c r="J504" s="15">
        <f>IF(A504="","",YEAR(A504))</f>
      </c>
      <c r="K504" s="10"/>
      <c r="L504" s="10"/>
    </row>
    <row r="505" spans="1:12" x14ac:dyDescent="0.25">
      <c r="A505" s="16"/>
      <c r="B505" s="10"/>
      <c r="C505" s="13">
        <f>IF(B505="","",IFERROR(INDEX(Ejemplares!$B$5:$B$304,MATCH(B505,Ejemplares!$A$5:$A$304,0)),"Ejemplar no encontrado"))</f>
      </c>
      <c r="D505" s="10"/>
      <c r="E505" s="10"/>
      <c r="F505" s="10"/>
      <c r="G505" s="10"/>
      <c r="H505" s="10"/>
      <c r="I505" s="14">
        <f>IF(D505="","",IF(OR(D505="Ingreso",D505="Traslado entrante"),1,-1))</f>
      </c>
      <c r="J505" s="15">
        <f>IF(A505="","",YEAR(A505))</f>
      </c>
      <c r="K505" s="10"/>
      <c r="L505" s="10"/>
    </row>
    <row r="506" spans="1:12" x14ac:dyDescent="0.25">
      <c r="A506" s="16"/>
      <c r="B506" s="10"/>
      <c r="C506" s="13">
        <f>IF(B506="","",IFERROR(INDEX(Ejemplares!$B$5:$B$304,MATCH(B506,Ejemplares!$A$5:$A$304,0)),"Ejemplar no encontrado"))</f>
      </c>
      <c r="D506" s="10"/>
      <c r="E506" s="10"/>
      <c r="F506" s="10"/>
      <c r="G506" s="10"/>
      <c r="H506" s="10"/>
      <c r="I506" s="14">
        <f>IF(D506="","",IF(OR(D506="Ingreso",D506="Traslado entrante"),1,-1))</f>
      </c>
      <c r="J506" s="15">
        <f>IF(A506="","",YEAR(A506))</f>
      </c>
      <c r="K506" s="10"/>
      <c r="L506" s="10"/>
    </row>
    <row r="507" spans="1:12" x14ac:dyDescent="0.25">
      <c r="A507" s="16"/>
      <c r="B507" s="10"/>
      <c r="C507" s="13">
        <f>IF(B507="","",IFERROR(INDEX(Ejemplares!$B$5:$B$304,MATCH(B507,Ejemplares!$A$5:$A$304,0)),"Ejemplar no encontrado"))</f>
      </c>
      <c r="D507" s="10"/>
      <c r="E507" s="10"/>
      <c r="F507" s="10"/>
      <c r="G507" s="10"/>
      <c r="H507" s="10"/>
      <c r="I507" s="14">
        <f>IF(D507="","",IF(OR(D507="Ingreso",D507="Traslado entrante"),1,-1))</f>
      </c>
      <c r="J507" s="15">
        <f>IF(A507="","",YEAR(A507))</f>
      </c>
      <c r="K507" s="10"/>
      <c r="L507" s="10"/>
    </row>
    <row r="508" spans="1:12" x14ac:dyDescent="0.25">
      <c r="A508" s="16"/>
      <c r="B508" s="10"/>
      <c r="C508" s="13">
        <f>IF(B508="","",IFERROR(INDEX(Ejemplares!$B$5:$B$304,MATCH(B508,Ejemplares!$A$5:$A$304,0)),"Ejemplar no encontrado"))</f>
      </c>
      <c r="D508" s="10"/>
      <c r="E508" s="10"/>
      <c r="F508" s="10"/>
      <c r="G508" s="10"/>
      <c r="H508" s="10"/>
      <c r="I508" s="14">
        <f>IF(D508="","",IF(OR(D508="Ingreso",D508="Traslado entrante"),1,-1))</f>
      </c>
      <c r="J508" s="15">
        <f>IF(A508="","",YEAR(A508))</f>
      </c>
      <c r="K508" s="10"/>
      <c r="L508" s="10"/>
    </row>
    <row r="509" spans="1:12" x14ac:dyDescent="0.25">
      <c r="A509" s="16"/>
      <c r="B509" s="10"/>
      <c r="C509" s="13">
        <f>IF(B509="","",IFERROR(INDEX(Ejemplares!$B$5:$B$304,MATCH(B509,Ejemplares!$A$5:$A$304,0)),"Ejemplar no encontrado"))</f>
      </c>
      <c r="D509" s="10"/>
      <c r="E509" s="10"/>
      <c r="F509" s="10"/>
      <c r="G509" s="10"/>
      <c r="H509" s="10"/>
      <c r="I509" s="14">
        <f>IF(D509="","",IF(OR(D509="Ingreso",D509="Traslado entrante"),1,-1))</f>
      </c>
      <c r="J509" s="15">
        <f>IF(A509="","",YEAR(A509))</f>
      </c>
      <c r="K509" s="10"/>
      <c r="L509" s="10"/>
    </row>
    <row r="510" spans="1:12" x14ac:dyDescent="0.25">
      <c r="A510" s="16"/>
      <c r="B510" s="10"/>
      <c r="C510" s="13">
        <f>IF(B510="","",IFERROR(INDEX(Ejemplares!$B$5:$B$304,MATCH(B510,Ejemplares!$A$5:$A$304,0)),"Ejemplar no encontrado"))</f>
      </c>
      <c r="D510" s="10"/>
      <c r="E510" s="10"/>
      <c r="F510" s="10"/>
      <c r="G510" s="10"/>
      <c r="H510" s="10"/>
      <c r="I510" s="14">
        <f>IF(D510="","",IF(OR(D510="Ingreso",D510="Traslado entrante"),1,-1))</f>
      </c>
      <c r="J510" s="15">
        <f>IF(A510="","",YEAR(A510))</f>
      </c>
      <c r="K510" s="10"/>
      <c r="L510" s="10"/>
    </row>
    <row r="511" spans="1:12" x14ac:dyDescent="0.25">
      <c r="A511" s="16"/>
      <c r="B511" s="10"/>
      <c r="C511" s="13">
        <f>IF(B511="","",IFERROR(INDEX(Ejemplares!$B$5:$B$304,MATCH(B511,Ejemplares!$A$5:$A$304,0)),"Ejemplar no encontrado"))</f>
      </c>
      <c r="D511" s="10"/>
      <c r="E511" s="10"/>
      <c r="F511" s="10"/>
      <c r="G511" s="10"/>
      <c r="H511" s="10"/>
      <c r="I511" s="14">
        <f>IF(D511="","",IF(OR(D511="Ingreso",D511="Traslado entrante"),1,-1))</f>
      </c>
      <c r="J511" s="15">
        <f>IF(A511="","",YEAR(A511))</f>
      </c>
      <c r="K511" s="10"/>
      <c r="L511" s="10"/>
    </row>
    <row r="512" spans="1:12" x14ac:dyDescent="0.25">
      <c r="A512" s="16"/>
      <c r="B512" s="10"/>
      <c r="C512" s="13">
        <f>IF(B512="","",IFERROR(INDEX(Ejemplares!$B$5:$B$304,MATCH(B512,Ejemplares!$A$5:$A$304,0)),"Ejemplar no encontrado"))</f>
      </c>
      <c r="D512" s="10"/>
      <c r="E512" s="10"/>
      <c r="F512" s="10"/>
      <c r="G512" s="10"/>
      <c r="H512" s="10"/>
      <c r="I512" s="14">
        <f>IF(D512="","",IF(OR(D512="Ingreso",D512="Traslado entrante"),1,-1))</f>
      </c>
      <c r="J512" s="15">
        <f>IF(A512="","",YEAR(A512))</f>
      </c>
      <c r="K512" s="10"/>
      <c r="L512" s="10"/>
    </row>
    <row r="513" spans="1:12" x14ac:dyDescent="0.25">
      <c r="A513" s="16"/>
      <c r="B513" s="10"/>
      <c r="C513" s="13">
        <f>IF(B513="","",IFERROR(INDEX(Ejemplares!$B$5:$B$304,MATCH(B513,Ejemplares!$A$5:$A$304,0)),"Ejemplar no encontrado"))</f>
      </c>
      <c r="D513" s="10"/>
      <c r="E513" s="10"/>
      <c r="F513" s="10"/>
      <c r="G513" s="10"/>
      <c r="H513" s="10"/>
      <c r="I513" s="14">
        <f>IF(D513="","",IF(OR(D513="Ingreso",D513="Traslado entrante"),1,-1))</f>
      </c>
      <c r="J513" s="15">
        <f>IF(A513="","",YEAR(A513))</f>
      </c>
      <c r="K513" s="10"/>
      <c r="L513" s="10"/>
    </row>
    <row r="514" spans="1:12" x14ac:dyDescent="0.25">
      <c r="A514" s="16"/>
      <c r="B514" s="10"/>
      <c r="C514" s="13">
        <f>IF(B514="","",IFERROR(INDEX(Ejemplares!$B$5:$B$304,MATCH(B514,Ejemplares!$A$5:$A$304,0)),"Ejemplar no encontrado"))</f>
      </c>
      <c r="D514" s="10"/>
      <c r="E514" s="10"/>
      <c r="F514" s="10"/>
      <c r="G514" s="10"/>
      <c r="H514" s="10"/>
      <c r="I514" s="14">
        <f>IF(D514="","",IF(OR(D514="Ingreso",D514="Traslado entrante"),1,-1))</f>
      </c>
      <c r="J514" s="15">
        <f>IF(A514="","",YEAR(A514))</f>
      </c>
      <c r="K514" s="10"/>
      <c r="L514" s="10"/>
    </row>
    <row r="515" spans="1:12" x14ac:dyDescent="0.25">
      <c r="A515" s="16"/>
      <c r="B515" s="10"/>
      <c r="C515" s="13">
        <f>IF(B515="","",IFERROR(INDEX(Ejemplares!$B$5:$B$304,MATCH(B515,Ejemplares!$A$5:$A$304,0)),"Ejemplar no encontrado"))</f>
      </c>
      <c r="D515" s="10"/>
      <c r="E515" s="10"/>
      <c r="F515" s="10"/>
      <c r="G515" s="10"/>
      <c r="H515" s="10"/>
      <c r="I515" s="14">
        <f>IF(D515="","",IF(OR(D515="Ingreso",D515="Traslado entrante"),1,-1))</f>
      </c>
      <c r="J515" s="15">
        <f>IF(A515="","",YEAR(A515))</f>
      </c>
      <c r="K515" s="10"/>
      <c r="L515" s="10"/>
    </row>
    <row r="516" spans="1:12" x14ac:dyDescent="0.25">
      <c r="A516" s="16"/>
      <c r="B516" s="10"/>
      <c r="C516" s="13">
        <f>IF(B516="","",IFERROR(INDEX(Ejemplares!$B$5:$B$304,MATCH(B516,Ejemplares!$A$5:$A$304,0)),"Ejemplar no encontrado"))</f>
      </c>
      <c r="D516" s="10"/>
      <c r="E516" s="10"/>
      <c r="F516" s="10"/>
      <c r="G516" s="10"/>
      <c r="H516" s="10"/>
      <c r="I516" s="14">
        <f>IF(D516="","",IF(OR(D516="Ingreso",D516="Traslado entrante"),1,-1))</f>
      </c>
      <c r="J516" s="15">
        <f>IF(A516="","",YEAR(A516))</f>
      </c>
      <c r="K516" s="10"/>
      <c r="L516" s="10"/>
    </row>
    <row r="517" spans="1:12" x14ac:dyDescent="0.25">
      <c r="A517" s="16"/>
      <c r="B517" s="10"/>
      <c r="C517" s="13">
        <f>IF(B517="","",IFERROR(INDEX(Ejemplares!$B$5:$B$304,MATCH(B517,Ejemplares!$A$5:$A$304,0)),"Ejemplar no encontrado"))</f>
      </c>
      <c r="D517" s="10"/>
      <c r="E517" s="10"/>
      <c r="F517" s="10"/>
      <c r="G517" s="10"/>
      <c r="H517" s="10"/>
      <c r="I517" s="14">
        <f>IF(D517="","",IF(OR(D517="Ingreso",D517="Traslado entrante"),1,-1))</f>
      </c>
      <c r="J517" s="15">
        <f>IF(A517="","",YEAR(A517))</f>
      </c>
      <c r="K517" s="10"/>
      <c r="L517" s="10"/>
    </row>
    <row r="518" spans="1:12" x14ac:dyDescent="0.25">
      <c r="A518" s="16"/>
      <c r="B518" s="10"/>
      <c r="C518" s="13">
        <f>IF(B518="","",IFERROR(INDEX(Ejemplares!$B$5:$B$304,MATCH(B518,Ejemplares!$A$5:$A$304,0)),"Ejemplar no encontrado"))</f>
      </c>
      <c r="D518" s="10"/>
      <c r="E518" s="10"/>
      <c r="F518" s="10"/>
      <c r="G518" s="10"/>
      <c r="H518" s="10"/>
      <c r="I518" s="14">
        <f>IF(D518="","",IF(OR(D518="Ingreso",D518="Traslado entrante"),1,-1))</f>
      </c>
      <c r="J518" s="15">
        <f>IF(A518="","",YEAR(A518))</f>
      </c>
      <c r="K518" s="10"/>
      <c r="L518" s="10"/>
    </row>
    <row r="519" spans="1:12" x14ac:dyDescent="0.25">
      <c r="A519" s="16"/>
      <c r="B519" s="10"/>
      <c r="C519" s="13">
        <f>IF(B519="","",IFERROR(INDEX(Ejemplares!$B$5:$B$304,MATCH(B519,Ejemplares!$A$5:$A$304,0)),"Ejemplar no encontrado"))</f>
      </c>
      <c r="D519" s="10"/>
      <c r="E519" s="10"/>
      <c r="F519" s="10"/>
      <c r="G519" s="10"/>
      <c r="H519" s="10"/>
      <c r="I519" s="14">
        <f>IF(D519="","",IF(OR(D519="Ingreso",D519="Traslado entrante"),1,-1))</f>
      </c>
      <c r="J519" s="15">
        <f>IF(A519="","",YEAR(A519))</f>
      </c>
      <c r="K519" s="10"/>
      <c r="L519" s="10"/>
    </row>
    <row r="520" spans="1:12" x14ac:dyDescent="0.25">
      <c r="A520" s="16"/>
      <c r="B520" s="10"/>
      <c r="C520" s="13">
        <f>IF(B520="","",IFERROR(INDEX(Ejemplares!$B$5:$B$304,MATCH(B520,Ejemplares!$A$5:$A$304,0)),"Ejemplar no encontrado"))</f>
      </c>
      <c r="D520" s="10"/>
      <c r="E520" s="10"/>
      <c r="F520" s="10"/>
      <c r="G520" s="10"/>
      <c r="H520" s="10"/>
      <c r="I520" s="14">
        <f>IF(D520="","",IF(OR(D520="Ingreso",D520="Traslado entrante"),1,-1))</f>
      </c>
      <c r="J520" s="15">
        <f>IF(A520="","",YEAR(A520))</f>
      </c>
      <c r="K520" s="10"/>
      <c r="L520" s="10"/>
    </row>
    <row r="521" spans="1:12" x14ac:dyDescent="0.25">
      <c r="A521" s="16"/>
      <c r="B521" s="10"/>
      <c r="C521" s="13">
        <f>IF(B521="","",IFERROR(INDEX(Ejemplares!$B$5:$B$304,MATCH(B521,Ejemplares!$A$5:$A$304,0)),"Ejemplar no encontrado"))</f>
      </c>
      <c r="D521" s="10"/>
      <c r="E521" s="10"/>
      <c r="F521" s="10"/>
      <c r="G521" s="10"/>
      <c r="H521" s="10"/>
      <c r="I521" s="14">
        <f>IF(D521="","",IF(OR(D521="Ingreso",D521="Traslado entrante"),1,-1))</f>
      </c>
      <c r="J521" s="15">
        <f>IF(A521="","",YEAR(A521))</f>
      </c>
      <c r="K521" s="10"/>
      <c r="L521" s="10"/>
    </row>
    <row r="522" spans="1:12" x14ac:dyDescent="0.25">
      <c r="A522" s="16"/>
      <c r="B522" s="10"/>
      <c r="C522" s="13">
        <f>IF(B522="","",IFERROR(INDEX(Ejemplares!$B$5:$B$304,MATCH(B522,Ejemplares!$A$5:$A$304,0)),"Ejemplar no encontrado"))</f>
      </c>
      <c r="D522" s="10"/>
      <c r="E522" s="10"/>
      <c r="F522" s="10"/>
      <c r="G522" s="10"/>
      <c r="H522" s="10"/>
      <c r="I522" s="14">
        <f>IF(D522="","",IF(OR(D522="Ingreso",D522="Traslado entrante"),1,-1))</f>
      </c>
      <c r="J522" s="15">
        <f>IF(A522="","",YEAR(A522))</f>
      </c>
      <c r="K522" s="10"/>
      <c r="L522" s="10"/>
    </row>
    <row r="523" spans="1:12" x14ac:dyDescent="0.25">
      <c r="A523" s="16"/>
      <c r="B523" s="10"/>
      <c r="C523" s="13">
        <f>IF(B523="","",IFERROR(INDEX(Ejemplares!$B$5:$B$304,MATCH(B523,Ejemplares!$A$5:$A$304,0)),"Ejemplar no encontrado"))</f>
      </c>
      <c r="D523" s="10"/>
      <c r="E523" s="10"/>
      <c r="F523" s="10"/>
      <c r="G523" s="10"/>
      <c r="H523" s="10"/>
      <c r="I523" s="14">
        <f>IF(D523="","",IF(OR(D523="Ingreso",D523="Traslado entrante"),1,-1))</f>
      </c>
      <c r="J523" s="15">
        <f>IF(A523="","",YEAR(A523))</f>
      </c>
      <c r="K523" s="10"/>
      <c r="L523" s="10"/>
    </row>
    <row r="524" spans="1:12" x14ac:dyDescent="0.25">
      <c r="A524" s="16"/>
      <c r="B524" s="10"/>
      <c r="C524" s="13">
        <f>IF(B524="","",IFERROR(INDEX(Ejemplares!$B$5:$B$304,MATCH(B524,Ejemplares!$A$5:$A$304,0)),"Ejemplar no encontrado"))</f>
      </c>
      <c r="D524" s="10"/>
      <c r="E524" s="10"/>
      <c r="F524" s="10"/>
      <c r="G524" s="10"/>
      <c r="H524" s="10"/>
      <c r="I524" s="14">
        <f>IF(D524="","",IF(OR(D524="Ingreso",D524="Traslado entrante"),1,-1))</f>
      </c>
      <c r="J524" s="15">
        <f>IF(A524="","",YEAR(A524))</f>
      </c>
      <c r="K524" s="10"/>
      <c r="L524" s="10"/>
    </row>
    <row r="525" spans="1:12" x14ac:dyDescent="0.25">
      <c r="A525" s="16"/>
      <c r="B525" s="10"/>
      <c r="C525" s="13">
        <f>IF(B525="","",IFERROR(INDEX(Ejemplares!$B$5:$B$304,MATCH(B525,Ejemplares!$A$5:$A$304,0)),"Ejemplar no encontrado"))</f>
      </c>
      <c r="D525" s="10"/>
      <c r="E525" s="10"/>
      <c r="F525" s="10"/>
      <c r="G525" s="10"/>
      <c r="H525" s="10"/>
      <c r="I525" s="14">
        <f>IF(D525="","",IF(OR(D525="Ingreso",D525="Traslado entrante"),1,-1))</f>
      </c>
      <c r="J525" s="15">
        <f>IF(A525="","",YEAR(A525))</f>
      </c>
      <c r="K525" s="10"/>
      <c r="L525" s="10"/>
    </row>
    <row r="526" spans="1:12" x14ac:dyDescent="0.25">
      <c r="A526" s="16"/>
      <c r="B526" s="10"/>
      <c r="C526" s="13">
        <f>IF(B526="","",IFERROR(INDEX(Ejemplares!$B$5:$B$304,MATCH(B526,Ejemplares!$A$5:$A$304,0)),"Ejemplar no encontrado"))</f>
      </c>
      <c r="D526" s="10"/>
      <c r="E526" s="10"/>
      <c r="F526" s="10"/>
      <c r="G526" s="10"/>
      <c r="H526" s="10"/>
      <c r="I526" s="14">
        <f>IF(D526="","",IF(OR(D526="Ingreso",D526="Traslado entrante"),1,-1))</f>
      </c>
      <c r="J526" s="15">
        <f>IF(A526="","",YEAR(A526))</f>
      </c>
      <c r="K526" s="10"/>
      <c r="L526" s="10"/>
    </row>
    <row r="527" spans="1:12" x14ac:dyDescent="0.25">
      <c r="A527" s="16"/>
      <c r="B527" s="10"/>
      <c r="C527" s="13">
        <f>IF(B527="","",IFERROR(INDEX(Ejemplares!$B$5:$B$304,MATCH(B527,Ejemplares!$A$5:$A$304,0)),"Ejemplar no encontrado"))</f>
      </c>
      <c r="D527" s="10"/>
      <c r="E527" s="10"/>
      <c r="F527" s="10"/>
      <c r="G527" s="10"/>
      <c r="H527" s="10"/>
      <c r="I527" s="14">
        <f>IF(D527="","",IF(OR(D527="Ingreso",D527="Traslado entrante"),1,-1))</f>
      </c>
      <c r="J527" s="15">
        <f>IF(A527="","",YEAR(A527))</f>
      </c>
      <c r="K527" s="10"/>
      <c r="L527" s="10"/>
    </row>
    <row r="528" spans="1:12" x14ac:dyDescent="0.25">
      <c r="A528" s="16"/>
      <c r="B528" s="10"/>
      <c r="C528" s="13">
        <f>IF(B528="","",IFERROR(INDEX(Ejemplares!$B$5:$B$304,MATCH(B528,Ejemplares!$A$5:$A$304,0)),"Ejemplar no encontrado"))</f>
      </c>
      <c r="D528" s="10"/>
      <c r="E528" s="10"/>
      <c r="F528" s="10"/>
      <c r="G528" s="10"/>
      <c r="H528" s="10"/>
      <c r="I528" s="14">
        <f>IF(D528="","",IF(OR(D528="Ingreso",D528="Traslado entrante"),1,-1))</f>
      </c>
      <c r="J528" s="15">
        <f>IF(A528="","",YEAR(A528))</f>
      </c>
      <c r="K528" s="10"/>
      <c r="L528" s="10"/>
    </row>
    <row r="529" spans="1:12" x14ac:dyDescent="0.25">
      <c r="A529" s="16"/>
      <c r="B529" s="10"/>
      <c r="C529" s="13">
        <f>IF(B529="","",IFERROR(INDEX(Ejemplares!$B$5:$B$304,MATCH(B529,Ejemplares!$A$5:$A$304,0)),"Ejemplar no encontrado"))</f>
      </c>
      <c r="D529" s="10"/>
      <c r="E529" s="10"/>
      <c r="F529" s="10"/>
      <c r="G529" s="10"/>
      <c r="H529" s="10"/>
      <c r="I529" s="14">
        <f>IF(D529="","",IF(OR(D529="Ingreso",D529="Traslado entrante"),1,-1))</f>
      </c>
      <c r="J529" s="15">
        <f>IF(A529="","",YEAR(A529))</f>
      </c>
      <c r="K529" s="10"/>
      <c r="L529" s="10"/>
    </row>
    <row r="530" spans="1:12" x14ac:dyDescent="0.25">
      <c r="A530" s="16"/>
      <c r="B530" s="10"/>
      <c r="C530" s="13">
        <f>IF(B530="","",IFERROR(INDEX(Ejemplares!$B$5:$B$304,MATCH(B530,Ejemplares!$A$5:$A$304,0)),"Ejemplar no encontrado"))</f>
      </c>
      <c r="D530" s="10"/>
      <c r="E530" s="10"/>
      <c r="F530" s="10"/>
      <c r="G530" s="10"/>
      <c r="H530" s="10"/>
      <c r="I530" s="14">
        <f>IF(D530="","",IF(OR(D530="Ingreso",D530="Traslado entrante"),1,-1))</f>
      </c>
      <c r="J530" s="15">
        <f>IF(A530="","",YEAR(A530))</f>
      </c>
      <c r="K530" s="10"/>
      <c r="L530" s="10"/>
    </row>
    <row r="531" spans="1:12" x14ac:dyDescent="0.25">
      <c r="A531" s="16"/>
      <c r="B531" s="10"/>
      <c r="C531" s="13">
        <f>IF(B531="","",IFERROR(INDEX(Ejemplares!$B$5:$B$304,MATCH(B531,Ejemplares!$A$5:$A$304,0)),"Ejemplar no encontrado"))</f>
      </c>
      <c r="D531" s="10"/>
      <c r="E531" s="10"/>
      <c r="F531" s="10"/>
      <c r="G531" s="10"/>
      <c r="H531" s="10"/>
      <c r="I531" s="14">
        <f>IF(D531="","",IF(OR(D531="Ingreso",D531="Traslado entrante"),1,-1))</f>
      </c>
      <c r="J531" s="15">
        <f>IF(A531="","",YEAR(A531))</f>
      </c>
      <c r="K531" s="10"/>
      <c r="L531" s="10"/>
    </row>
    <row r="532" spans="1:12" x14ac:dyDescent="0.25">
      <c r="A532" s="16"/>
      <c r="B532" s="10"/>
      <c r="C532" s="13">
        <f>IF(B532="","",IFERROR(INDEX(Ejemplares!$B$5:$B$304,MATCH(B532,Ejemplares!$A$5:$A$304,0)),"Ejemplar no encontrado"))</f>
      </c>
      <c r="D532" s="10"/>
      <c r="E532" s="10"/>
      <c r="F532" s="10"/>
      <c r="G532" s="10"/>
      <c r="H532" s="10"/>
      <c r="I532" s="14">
        <f>IF(D532="","",IF(OR(D532="Ingreso",D532="Traslado entrante"),1,-1))</f>
      </c>
      <c r="J532" s="15">
        <f>IF(A532="","",YEAR(A532))</f>
      </c>
      <c r="K532" s="10"/>
      <c r="L532" s="10"/>
    </row>
    <row r="533" spans="1:12" x14ac:dyDescent="0.25">
      <c r="A533" s="16"/>
      <c r="B533" s="10"/>
      <c r="C533" s="13">
        <f>IF(B533="","",IFERROR(INDEX(Ejemplares!$B$5:$B$304,MATCH(B533,Ejemplares!$A$5:$A$304,0)),"Ejemplar no encontrado"))</f>
      </c>
      <c r="D533" s="10"/>
      <c r="E533" s="10"/>
      <c r="F533" s="10"/>
      <c r="G533" s="10"/>
      <c r="H533" s="10"/>
      <c r="I533" s="14">
        <f>IF(D533="","",IF(OR(D533="Ingreso",D533="Traslado entrante"),1,-1))</f>
      </c>
      <c r="J533" s="15">
        <f>IF(A533="","",YEAR(A533))</f>
      </c>
      <c r="K533" s="10"/>
      <c r="L533" s="10"/>
    </row>
    <row r="534" spans="1:12" x14ac:dyDescent="0.25">
      <c r="A534" s="16"/>
      <c r="B534" s="10"/>
      <c r="C534" s="13">
        <f>IF(B534="","",IFERROR(INDEX(Ejemplares!$B$5:$B$304,MATCH(B534,Ejemplares!$A$5:$A$304,0)),"Ejemplar no encontrado"))</f>
      </c>
      <c r="D534" s="10"/>
      <c r="E534" s="10"/>
      <c r="F534" s="10"/>
      <c r="G534" s="10"/>
      <c r="H534" s="10"/>
      <c r="I534" s="14">
        <f>IF(D534="","",IF(OR(D534="Ingreso",D534="Traslado entrante"),1,-1))</f>
      </c>
      <c r="J534" s="15">
        <f>IF(A534="","",YEAR(A534))</f>
      </c>
      <c r="K534" s="10"/>
      <c r="L534" s="10"/>
    </row>
    <row r="535" spans="1:12" x14ac:dyDescent="0.25">
      <c r="A535" s="16"/>
      <c r="B535" s="10"/>
      <c r="C535" s="13">
        <f>IF(B535="","",IFERROR(INDEX(Ejemplares!$B$5:$B$304,MATCH(B535,Ejemplares!$A$5:$A$304,0)),"Ejemplar no encontrado"))</f>
      </c>
      <c r="D535" s="10"/>
      <c r="E535" s="10"/>
      <c r="F535" s="10"/>
      <c r="G535" s="10"/>
      <c r="H535" s="10"/>
      <c r="I535" s="14">
        <f>IF(D535="","",IF(OR(D535="Ingreso",D535="Traslado entrante"),1,-1))</f>
      </c>
      <c r="J535" s="15">
        <f>IF(A535="","",YEAR(A535))</f>
      </c>
      <c r="K535" s="10"/>
      <c r="L535" s="10"/>
    </row>
    <row r="536" spans="1:12" x14ac:dyDescent="0.25">
      <c r="A536" s="16"/>
      <c r="B536" s="10"/>
      <c r="C536" s="13">
        <f>IF(B536="","",IFERROR(INDEX(Ejemplares!$B$5:$B$304,MATCH(B536,Ejemplares!$A$5:$A$304,0)),"Ejemplar no encontrado"))</f>
      </c>
      <c r="D536" s="10"/>
      <c r="E536" s="10"/>
      <c r="F536" s="10"/>
      <c r="G536" s="10"/>
      <c r="H536" s="10"/>
      <c r="I536" s="14">
        <f>IF(D536="","",IF(OR(D536="Ingreso",D536="Traslado entrante"),1,-1))</f>
      </c>
      <c r="J536" s="15">
        <f>IF(A536="","",YEAR(A536))</f>
      </c>
      <c r="K536" s="10"/>
      <c r="L536" s="10"/>
    </row>
    <row r="537" spans="1:12" x14ac:dyDescent="0.25">
      <c r="A537" s="16"/>
      <c r="B537" s="10"/>
      <c r="C537" s="13">
        <f>IF(B537="","",IFERROR(INDEX(Ejemplares!$B$5:$B$304,MATCH(B537,Ejemplares!$A$5:$A$304,0)),"Ejemplar no encontrado"))</f>
      </c>
      <c r="D537" s="10"/>
      <c r="E537" s="10"/>
      <c r="F537" s="10"/>
      <c r="G537" s="10"/>
      <c r="H537" s="10"/>
      <c r="I537" s="14">
        <f>IF(D537="","",IF(OR(D537="Ingreso",D537="Traslado entrante"),1,-1))</f>
      </c>
      <c r="J537" s="15">
        <f>IF(A537="","",YEAR(A537))</f>
      </c>
      <c r="K537" s="10"/>
      <c r="L537" s="10"/>
    </row>
    <row r="538" spans="1:12" x14ac:dyDescent="0.25">
      <c r="A538" s="16"/>
      <c r="B538" s="10"/>
      <c r="C538" s="13">
        <f>IF(B538="","",IFERROR(INDEX(Ejemplares!$B$5:$B$304,MATCH(B538,Ejemplares!$A$5:$A$304,0)),"Ejemplar no encontrado"))</f>
      </c>
      <c r="D538" s="10"/>
      <c r="E538" s="10"/>
      <c r="F538" s="10"/>
      <c r="G538" s="10"/>
      <c r="H538" s="10"/>
      <c r="I538" s="14">
        <f>IF(D538="","",IF(OR(D538="Ingreso",D538="Traslado entrante"),1,-1))</f>
      </c>
      <c r="J538" s="15">
        <f>IF(A538="","",YEAR(A538))</f>
      </c>
      <c r="K538" s="10"/>
      <c r="L538" s="10"/>
    </row>
    <row r="539" spans="1:12" x14ac:dyDescent="0.25">
      <c r="A539" s="16"/>
      <c r="B539" s="10"/>
      <c r="C539" s="13">
        <f>IF(B539="","",IFERROR(INDEX(Ejemplares!$B$5:$B$304,MATCH(B539,Ejemplares!$A$5:$A$304,0)),"Ejemplar no encontrado"))</f>
      </c>
      <c r="D539" s="10"/>
      <c r="E539" s="10"/>
      <c r="F539" s="10"/>
      <c r="G539" s="10"/>
      <c r="H539" s="10"/>
      <c r="I539" s="14">
        <f>IF(D539="","",IF(OR(D539="Ingreso",D539="Traslado entrante"),1,-1))</f>
      </c>
      <c r="J539" s="15">
        <f>IF(A539="","",YEAR(A539))</f>
      </c>
      <c r="K539" s="10"/>
      <c r="L539" s="10"/>
    </row>
    <row r="540" spans="1:12" x14ac:dyDescent="0.25">
      <c r="A540" s="16"/>
      <c r="B540" s="10"/>
      <c r="C540" s="13">
        <f>IF(B540="","",IFERROR(INDEX(Ejemplares!$B$5:$B$304,MATCH(B540,Ejemplares!$A$5:$A$304,0)),"Ejemplar no encontrado"))</f>
      </c>
      <c r="D540" s="10"/>
      <c r="E540" s="10"/>
      <c r="F540" s="10"/>
      <c r="G540" s="10"/>
      <c r="H540" s="10"/>
      <c r="I540" s="14">
        <f>IF(D540="","",IF(OR(D540="Ingreso",D540="Traslado entrante"),1,-1))</f>
      </c>
      <c r="J540" s="15">
        <f>IF(A540="","",YEAR(A540))</f>
      </c>
      <c r="K540" s="10"/>
      <c r="L540" s="10"/>
    </row>
    <row r="541" spans="1:12" x14ac:dyDescent="0.25">
      <c r="A541" s="16"/>
      <c r="B541" s="10"/>
      <c r="C541" s="13">
        <f>IF(B541="","",IFERROR(INDEX(Ejemplares!$B$5:$B$304,MATCH(B541,Ejemplares!$A$5:$A$304,0)),"Ejemplar no encontrado"))</f>
      </c>
      <c r="D541" s="10"/>
      <c r="E541" s="10"/>
      <c r="F541" s="10"/>
      <c r="G541" s="10"/>
      <c r="H541" s="10"/>
      <c r="I541" s="14">
        <f>IF(D541="","",IF(OR(D541="Ingreso",D541="Traslado entrante"),1,-1))</f>
      </c>
      <c r="J541" s="15">
        <f>IF(A541="","",YEAR(A541))</f>
      </c>
      <c r="K541" s="10"/>
      <c r="L541" s="10"/>
    </row>
    <row r="542" spans="1:12" x14ac:dyDescent="0.25">
      <c r="A542" s="16"/>
      <c r="B542" s="10"/>
      <c r="C542" s="13">
        <f>IF(B542="","",IFERROR(INDEX(Ejemplares!$B$5:$B$304,MATCH(B542,Ejemplares!$A$5:$A$304,0)),"Ejemplar no encontrado"))</f>
      </c>
      <c r="D542" s="10"/>
      <c r="E542" s="10"/>
      <c r="F542" s="10"/>
      <c r="G542" s="10"/>
      <c r="H542" s="10"/>
      <c r="I542" s="14">
        <f>IF(D542="","",IF(OR(D542="Ingreso",D542="Traslado entrante"),1,-1))</f>
      </c>
      <c r="J542" s="15">
        <f>IF(A542="","",YEAR(A542))</f>
      </c>
      <c r="K542" s="10"/>
      <c r="L542" s="10"/>
    </row>
    <row r="543" spans="1:12" x14ac:dyDescent="0.25">
      <c r="A543" s="16"/>
      <c r="B543" s="10"/>
      <c r="C543" s="13">
        <f>IF(B543="","",IFERROR(INDEX(Ejemplares!$B$5:$B$304,MATCH(B543,Ejemplares!$A$5:$A$304,0)),"Ejemplar no encontrado"))</f>
      </c>
      <c r="D543" s="10"/>
      <c r="E543" s="10"/>
      <c r="F543" s="10"/>
      <c r="G543" s="10"/>
      <c r="H543" s="10"/>
      <c r="I543" s="14">
        <f>IF(D543="","",IF(OR(D543="Ingreso",D543="Traslado entrante"),1,-1))</f>
      </c>
      <c r="J543" s="15">
        <f>IF(A543="","",YEAR(A543))</f>
      </c>
      <c r="K543" s="10"/>
      <c r="L543" s="10"/>
    </row>
    <row r="544" spans="1:12" x14ac:dyDescent="0.25">
      <c r="A544" s="16"/>
      <c r="B544" s="10"/>
      <c r="C544" s="13">
        <f>IF(B544="","",IFERROR(INDEX(Ejemplares!$B$5:$B$304,MATCH(B544,Ejemplares!$A$5:$A$304,0)),"Ejemplar no encontrado"))</f>
      </c>
      <c r="D544" s="10"/>
      <c r="E544" s="10"/>
      <c r="F544" s="10"/>
      <c r="G544" s="10"/>
      <c r="H544" s="10"/>
      <c r="I544" s="14">
        <f>IF(D544="","",IF(OR(D544="Ingreso",D544="Traslado entrante"),1,-1))</f>
      </c>
      <c r="J544" s="15">
        <f>IF(A544="","",YEAR(A544))</f>
      </c>
      <c r="K544" s="10"/>
      <c r="L544" s="10"/>
    </row>
    <row r="545" spans="1:12" x14ac:dyDescent="0.25">
      <c r="A545" s="16"/>
      <c r="B545" s="10"/>
      <c r="C545" s="13">
        <f>IF(B545="","",IFERROR(INDEX(Ejemplares!$B$5:$B$304,MATCH(B545,Ejemplares!$A$5:$A$304,0)),"Ejemplar no encontrado"))</f>
      </c>
      <c r="D545" s="10"/>
      <c r="E545" s="10"/>
      <c r="F545" s="10"/>
      <c r="G545" s="10"/>
      <c r="H545" s="10"/>
      <c r="I545" s="14">
        <f>IF(D545="","",IF(OR(D545="Ingreso",D545="Traslado entrante"),1,-1))</f>
      </c>
      <c r="J545" s="15">
        <f>IF(A545="","",YEAR(A545))</f>
      </c>
      <c r="K545" s="10"/>
      <c r="L545" s="10"/>
    </row>
    <row r="546" spans="1:12" x14ac:dyDescent="0.25">
      <c r="A546" s="16"/>
      <c r="B546" s="10"/>
      <c r="C546" s="13">
        <f>IF(B546="","",IFERROR(INDEX(Ejemplares!$B$5:$B$304,MATCH(B546,Ejemplares!$A$5:$A$304,0)),"Ejemplar no encontrado"))</f>
      </c>
      <c r="D546" s="10"/>
      <c r="E546" s="10"/>
      <c r="F546" s="10"/>
      <c r="G546" s="10"/>
      <c r="H546" s="10"/>
      <c r="I546" s="14">
        <f>IF(D546="","",IF(OR(D546="Ingreso",D546="Traslado entrante"),1,-1))</f>
      </c>
      <c r="J546" s="15">
        <f>IF(A546="","",YEAR(A546))</f>
      </c>
      <c r="K546" s="10"/>
      <c r="L546" s="10"/>
    </row>
    <row r="547" spans="1:12" x14ac:dyDescent="0.25">
      <c r="A547" s="16"/>
      <c r="B547" s="10"/>
      <c r="C547" s="13">
        <f>IF(B547="","",IFERROR(INDEX(Ejemplares!$B$5:$B$304,MATCH(B547,Ejemplares!$A$5:$A$304,0)),"Ejemplar no encontrado"))</f>
      </c>
      <c r="D547" s="10"/>
      <c r="E547" s="10"/>
      <c r="F547" s="10"/>
      <c r="G547" s="10"/>
      <c r="H547" s="10"/>
      <c r="I547" s="14">
        <f>IF(D547="","",IF(OR(D547="Ingreso",D547="Traslado entrante"),1,-1))</f>
      </c>
      <c r="J547" s="15">
        <f>IF(A547="","",YEAR(A547))</f>
      </c>
      <c r="K547" s="10"/>
      <c r="L547" s="10"/>
    </row>
    <row r="548" spans="1:12" x14ac:dyDescent="0.25">
      <c r="A548" s="16"/>
      <c r="B548" s="10"/>
      <c r="C548" s="13">
        <f>IF(B548="","",IFERROR(INDEX(Ejemplares!$B$5:$B$304,MATCH(B548,Ejemplares!$A$5:$A$304,0)),"Ejemplar no encontrado"))</f>
      </c>
      <c r="D548" s="10"/>
      <c r="E548" s="10"/>
      <c r="F548" s="10"/>
      <c r="G548" s="10"/>
      <c r="H548" s="10"/>
      <c r="I548" s="14">
        <f>IF(D548="","",IF(OR(D548="Ingreso",D548="Traslado entrante"),1,-1))</f>
      </c>
      <c r="J548" s="15">
        <f>IF(A548="","",YEAR(A548))</f>
      </c>
      <c r="K548" s="10"/>
      <c r="L548" s="10"/>
    </row>
    <row r="549" spans="1:12" x14ac:dyDescent="0.25">
      <c r="A549" s="16"/>
      <c r="B549" s="10"/>
      <c r="C549" s="13">
        <f>IF(B549="","",IFERROR(INDEX(Ejemplares!$B$5:$B$304,MATCH(B549,Ejemplares!$A$5:$A$304,0)),"Ejemplar no encontrado"))</f>
      </c>
      <c r="D549" s="10"/>
      <c r="E549" s="10"/>
      <c r="F549" s="10"/>
      <c r="G549" s="10"/>
      <c r="H549" s="10"/>
      <c r="I549" s="14">
        <f>IF(D549="","",IF(OR(D549="Ingreso",D549="Traslado entrante"),1,-1))</f>
      </c>
      <c r="J549" s="15">
        <f>IF(A549="","",YEAR(A549))</f>
      </c>
      <c r="K549" s="10"/>
      <c r="L549" s="10"/>
    </row>
    <row r="550" spans="1:12" x14ac:dyDescent="0.25">
      <c r="A550" s="16"/>
      <c r="B550" s="10"/>
      <c r="C550" s="13">
        <f>IF(B550="","",IFERROR(INDEX(Ejemplares!$B$5:$B$304,MATCH(B550,Ejemplares!$A$5:$A$304,0)),"Ejemplar no encontrado"))</f>
      </c>
      <c r="D550" s="10"/>
      <c r="E550" s="10"/>
      <c r="F550" s="10"/>
      <c r="G550" s="10"/>
      <c r="H550" s="10"/>
      <c r="I550" s="14">
        <f>IF(D550="","",IF(OR(D550="Ingreso",D550="Traslado entrante"),1,-1))</f>
      </c>
      <c r="J550" s="15">
        <f>IF(A550="","",YEAR(A550))</f>
      </c>
      <c r="K550" s="10"/>
      <c r="L550" s="10"/>
    </row>
    <row r="551" spans="1:12" x14ac:dyDescent="0.25">
      <c r="A551" s="16"/>
      <c r="B551" s="10"/>
      <c r="C551" s="13">
        <f>IF(B551="","",IFERROR(INDEX(Ejemplares!$B$5:$B$304,MATCH(B551,Ejemplares!$A$5:$A$304,0)),"Ejemplar no encontrado"))</f>
      </c>
      <c r="D551" s="10"/>
      <c r="E551" s="10"/>
      <c r="F551" s="10"/>
      <c r="G551" s="10"/>
      <c r="H551" s="10"/>
      <c r="I551" s="14">
        <f>IF(D551="","",IF(OR(D551="Ingreso",D551="Traslado entrante"),1,-1))</f>
      </c>
      <c r="J551" s="15">
        <f>IF(A551="","",YEAR(A551))</f>
      </c>
      <c r="K551" s="10"/>
      <c r="L551" s="10"/>
    </row>
    <row r="552" spans="1:12" x14ac:dyDescent="0.25">
      <c r="A552" s="16"/>
      <c r="B552" s="10"/>
      <c r="C552" s="13">
        <f>IF(B552="","",IFERROR(INDEX(Ejemplares!$B$5:$B$304,MATCH(B552,Ejemplares!$A$5:$A$304,0)),"Ejemplar no encontrado"))</f>
      </c>
      <c r="D552" s="10"/>
      <c r="E552" s="10"/>
      <c r="F552" s="10"/>
      <c r="G552" s="10"/>
      <c r="H552" s="10"/>
      <c r="I552" s="14">
        <f>IF(D552="","",IF(OR(D552="Ingreso",D552="Traslado entrante"),1,-1))</f>
      </c>
      <c r="J552" s="15">
        <f>IF(A552="","",YEAR(A552))</f>
      </c>
      <c r="K552" s="10"/>
      <c r="L552" s="10"/>
    </row>
    <row r="553" spans="1:12" x14ac:dyDescent="0.25">
      <c r="A553" s="16"/>
      <c r="B553" s="10"/>
      <c r="C553" s="13">
        <f>IF(B553="","",IFERROR(INDEX(Ejemplares!$B$5:$B$304,MATCH(B553,Ejemplares!$A$5:$A$304,0)),"Ejemplar no encontrado"))</f>
      </c>
      <c r="D553" s="10"/>
      <c r="E553" s="10"/>
      <c r="F553" s="10"/>
      <c r="G553" s="10"/>
      <c r="H553" s="10"/>
      <c r="I553" s="14">
        <f>IF(D553="","",IF(OR(D553="Ingreso",D553="Traslado entrante"),1,-1))</f>
      </c>
      <c r="J553" s="15">
        <f>IF(A553="","",YEAR(A553))</f>
      </c>
      <c r="K553" s="10"/>
      <c r="L553" s="10"/>
    </row>
    <row r="554" spans="1:12" x14ac:dyDescent="0.25">
      <c r="A554" s="16"/>
      <c r="B554" s="10"/>
      <c r="C554" s="13">
        <f>IF(B554="","",IFERROR(INDEX(Ejemplares!$B$5:$B$304,MATCH(B554,Ejemplares!$A$5:$A$304,0)),"Ejemplar no encontrado"))</f>
      </c>
      <c r="D554" s="10"/>
      <c r="E554" s="10"/>
      <c r="F554" s="10"/>
      <c r="G554" s="10"/>
      <c r="H554" s="10"/>
      <c r="I554" s="14">
        <f>IF(D554="","",IF(OR(D554="Ingreso",D554="Traslado entrante"),1,-1))</f>
      </c>
      <c r="J554" s="15">
        <f>IF(A554="","",YEAR(A554))</f>
      </c>
      <c r="K554" s="10"/>
      <c r="L554" s="10"/>
    </row>
    <row r="555" spans="1:12" x14ac:dyDescent="0.25">
      <c r="A555" s="16"/>
      <c r="B555" s="10"/>
      <c r="C555" s="13">
        <f>IF(B555="","",IFERROR(INDEX(Ejemplares!$B$5:$B$304,MATCH(B555,Ejemplares!$A$5:$A$304,0)),"Ejemplar no encontrado"))</f>
      </c>
      <c r="D555" s="10"/>
      <c r="E555" s="10"/>
      <c r="F555" s="10"/>
      <c r="G555" s="10"/>
      <c r="H555" s="10"/>
      <c r="I555" s="14">
        <f>IF(D555="","",IF(OR(D555="Ingreso",D555="Traslado entrante"),1,-1))</f>
      </c>
      <c r="J555" s="15">
        <f>IF(A555="","",YEAR(A555))</f>
      </c>
      <c r="K555" s="10"/>
      <c r="L555" s="10"/>
    </row>
    <row r="556" spans="1:12" x14ac:dyDescent="0.25">
      <c r="A556" s="16"/>
      <c r="B556" s="10"/>
      <c r="C556" s="13">
        <f>IF(B556="","",IFERROR(INDEX(Ejemplares!$B$5:$B$304,MATCH(B556,Ejemplares!$A$5:$A$304,0)),"Ejemplar no encontrado"))</f>
      </c>
      <c r="D556" s="10"/>
      <c r="E556" s="10"/>
      <c r="F556" s="10"/>
      <c r="G556" s="10"/>
      <c r="H556" s="10"/>
      <c r="I556" s="14">
        <f>IF(D556="","",IF(OR(D556="Ingreso",D556="Traslado entrante"),1,-1))</f>
      </c>
      <c r="J556" s="15">
        <f>IF(A556="","",YEAR(A556))</f>
      </c>
      <c r="K556" s="10"/>
      <c r="L556" s="10"/>
    </row>
    <row r="557" spans="1:12" x14ac:dyDescent="0.25">
      <c r="A557" s="16"/>
      <c r="B557" s="10"/>
      <c r="C557" s="13">
        <f>IF(B557="","",IFERROR(INDEX(Ejemplares!$B$5:$B$304,MATCH(B557,Ejemplares!$A$5:$A$304,0)),"Ejemplar no encontrado"))</f>
      </c>
      <c r="D557" s="10"/>
      <c r="E557" s="10"/>
      <c r="F557" s="10"/>
      <c r="G557" s="10"/>
      <c r="H557" s="10"/>
      <c r="I557" s="14">
        <f>IF(D557="","",IF(OR(D557="Ingreso",D557="Traslado entrante"),1,-1))</f>
      </c>
      <c r="J557" s="15">
        <f>IF(A557="","",YEAR(A557))</f>
      </c>
      <c r="K557" s="10"/>
      <c r="L557" s="10"/>
    </row>
    <row r="558" spans="1:12" x14ac:dyDescent="0.25">
      <c r="A558" s="16"/>
      <c r="B558" s="10"/>
      <c r="C558" s="13">
        <f>IF(B558="","",IFERROR(INDEX(Ejemplares!$B$5:$B$304,MATCH(B558,Ejemplares!$A$5:$A$304,0)),"Ejemplar no encontrado"))</f>
      </c>
      <c r="D558" s="10"/>
      <c r="E558" s="10"/>
      <c r="F558" s="10"/>
      <c r="G558" s="10"/>
      <c r="H558" s="10"/>
      <c r="I558" s="14">
        <f>IF(D558="","",IF(OR(D558="Ingreso",D558="Traslado entrante"),1,-1))</f>
      </c>
      <c r="J558" s="15">
        <f>IF(A558="","",YEAR(A558))</f>
      </c>
      <c r="K558" s="10"/>
      <c r="L558" s="10"/>
    </row>
    <row r="559" spans="1:12" x14ac:dyDescent="0.25">
      <c r="A559" s="16"/>
      <c r="B559" s="10"/>
      <c r="C559" s="13">
        <f>IF(B559="","",IFERROR(INDEX(Ejemplares!$B$5:$B$304,MATCH(B559,Ejemplares!$A$5:$A$304,0)),"Ejemplar no encontrado"))</f>
      </c>
      <c r="D559" s="10"/>
      <c r="E559" s="10"/>
      <c r="F559" s="10"/>
      <c r="G559" s="10"/>
      <c r="H559" s="10"/>
      <c r="I559" s="14">
        <f>IF(D559="","",IF(OR(D559="Ingreso",D559="Traslado entrante"),1,-1))</f>
      </c>
      <c r="J559" s="15">
        <f>IF(A559="","",YEAR(A559))</f>
      </c>
      <c r="K559" s="10"/>
      <c r="L559" s="10"/>
    </row>
    <row r="560" spans="1:12" x14ac:dyDescent="0.25">
      <c r="A560" s="16"/>
      <c r="B560" s="10"/>
      <c r="C560" s="13">
        <f>IF(B560="","",IFERROR(INDEX(Ejemplares!$B$5:$B$304,MATCH(B560,Ejemplares!$A$5:$A$304,0)),"Ejemplar no encontrado"))</f>
      </c>
      <c r="D560" s="10"/>
      <c r="E560" s="10"/>
      <c r="F560" s="10"/>
      <c r="G560" s="10"/>
      <c r="H560" s="10"/>
      <c r="I560" s="14">
        <f>IF(D560="","",IF(OR(D560="Ingreso",D560="Traslado entrante"),1,-1))</f>
      </c>
      <c r="J560" s="15">
        <f>IF(A560="","",YEAR(A560))</f>
      </c>
      <c r="K560" s="10"/>
      <c r="L560" s="10"/>
    </row>
    <row r="561" spans="1:12" x14ac:dyDescent="0.25">
      <c r="A561" s="16"/>
      <c r="B561" s="10"/>
      <c r="C561" s="13">
        <f>IF(B561="","",IFERROR(INDEX(Ejemplares!$B$5:$B$304,MATCH(B561,Ejemplares!$A$5:$A$304,0)),"Ejemplar no encontrado"))</f>
      </c>
      <c r="D561" s="10"/>
      <c r="E561" s="10"/>
      <c r="F561" s="10"/>
      <c r="G561" s="10"/>
      <c r="H561" s="10"/>
      <c r="I561" s="14">
        <f>IF(D561="","",IF(OR(D561="Ingreso",D561="Traslado entrante"),1,-1))</f>
      </c>
      <c r="J561" s="15">
        <f>IF(A561="","",YEAR(A561))</f>
      </c>
      <c r="K561" s="10"/>
      <c r="L561" s="10"/>
    </row>
    <row r="562" spans="1:12" x14ac:dyDescent="0.25">
      <c r="A562" s="16"/>
      <c r="B562" s="10"/>
      <c r="C562" s="13">
        <f>IF(B562="","",IFERROR(INDEX(Ejemplares!$B$5:$B$304,MATCH(B562,Ejemplares!$A$5:$A$304,0)),"Ejemplar no encontrado"))</f>
      </c>
      <c r="D562" s="10"/>
      <c r="E562" s="10"/>
      <c r="F562" s="10"/>
      <c r="G562" s="10"/>
      <c r="H562" s="10"/>
      <c r="I562" s="14">
        <f>IF(D562="","",IF(OR(D562="Ingreso",D562="Traslado entrante"),1,-1))</f>
      </c>
      <c r="J562" s="15">
        <f>IF(A562="","",YEAR(A562))</f>
      </c>
      <c r="K562" s="10"/>
      <c r="L562" s="10"/>
    </row>
    <row r="563" spans="1:12" x14ac:dyDescent="0.25">
      <c r="A563" s="16"/>
      <c r="B563" s="10"/>
      <c r="C563" s="13">
        <f>IF(B563="","",IFERROR(INDEX(Ejemplares!$B$5:$B$304,MATCH(B563,Ejemplares!$A$5:$A$304,0)),"Ejemplar no encontrado"))</f>
      </c>
      <c r="D563" s="10"/>
      <c r="E563" s="10"/>
      <c r="F563" s="10"/>
      <c r="G563" s="10"/>
      <c r="H563" s="10"/>
      <c r="I563" s="14">
        <f>IF(D563="","",IF(OR(D563="Ingreso",D563="Traslado entrante"),1,-1))</f>
      </c>
      <c r="J563" s="15">
        <f>IF(A563="","",YEAR(A563))</f>
      </c>
      <c r="K563" s="10"/>
      <c r="L563" s="10"/>
    </row>
    <row r="564" spans="1:12" x14ac:dyDescent="0.25">
      <c r="A564" s="16"/>
      <c r="B564" s="10"/>
      <c r="C564" s="13">
        <f>IF(B564="","",IFERROR(INDEX(Ejemplares!$B$5:$B$304,MATCH(B564,Ejemplares!$A$5:$A$304,0)),"Ejemplar no encontrado"))</f>
      </c>
      <c r="D564" s="10"/>
      <c r="E564" s="10"/>
      <c r="F564" s="10"/>
      <c r="G564" s="10"/>
      <c r="H564" s="10"/>
      <c r="I564" s="14">
        <f>IF(D564="","",IF(OR(D564="Ingreso",D564="Traslado entrante"),1,-1))</f>
      </c>
      <c r="J564" s="15">
        <f>IF(A564="","",YEAR(A564))</f>
      </c>
      <c r="K564" s="10"/>
      <c r="L564" s="10"/>
    </row>
    <row r="565" spans="1:12" x14ac:dyDescent="0.25">
      <c r="A565" s="16"/>
      <c r="B565" s="10"/>
      <c r="C565" s="13">
        <f>IF(B565="","",IFERROR(INDEX(Ejemplares!$B$5:$B$304,MATCH(B565,Ejemplares!$A$5:$A$304,0)),"Ejemplar no encontrado"))</f>
      </c>
      <c r="D565" s="10"/>
      <c r="E565" s="10"/>
      <c r="F565" s="10"/>
      <c r="G565" s="10"/>
      <c r="H565" s="10"/>
      <c r="I565" s="14">
        <f>IF(D565="","",IF(OR(D565="Ingreso",D565="Traslado entrante"),1,-1))</f>
      </c>
      <c r="J565" s="15">
        <f>IF(A565="","",YEAR(A565))</f>
      </c>
      <c r="K565" s="10"/>
      <c r="L565" s="10"/>
    </row>
    <row r="566" spans="1:12" x14ac:dyDescent="0.25">
      <c r="A566" s="16"/>
      <c r="B566" s="10"/>
      <c r="C566" s="13">
        <f>IF(B566="","",IFERROR(INDEX(Ejemplares!$B$5:$B$304,MATCH(B566,Ejemplares!$A$5:$A$304,0)),"Ejemplar no encontrado"))</f>
      </c>
      <c r="D566" s="10"/>
      <c r="E566" s="10"/>
      <c r="F566" s="10"/>
      <c r="G566" s="10"/>
      <c r="H566" s="10"/>
      <c r="I566" s="14">
        <f>IF(D566="","",IF(OR(D566="Ingreso",D566="Traslado entrante"),1,-1))</f>
      </c>
      <c r="J566" s="15">
        <f>IF(A566="","",YEAR(A566))</f>
      </c>
      <c r="K566" s="10"/>
      <c r="L566" s="10"/>
    </row>
    <row r="567" spans="1:12" x14ac:dyDescent="0.25">
      <c r="A567" s="16"/>
      <c r="B567" s="10"/>
      <c r="C567" s="13">
        <f>IF(B567="","",IFERROR(INDEX(Ejemplares!$B$5:$B$304,MATCH(B567,Ejemplares!$A$5:$A$304,0)),"Ejemplar no encontrado"))</f>
      </c>
      <c r="D567" s="10"/>
      <c r="E567" s="10"/>
      <c r="F567" s="10"/>
      <c r="G567" s="10"/>
      <c r="H567" s="10"/>
      <c r="I567" s="14">
        <f>IF(D567="","",IF(OR(D567="Ingreso",D567="Traslado entrante"),1,-1))</f>
      </c>
      <c r="J567" s="15">
        <f>IF(A567="","",YEAR(A567))</f>
      </c>
      <c r="K567" s="10"/>
      <c r="L567" s="10"/>
    </row>
    <row r="568" spans="1:12" x14ac:dyDescent="0.25">
      <c r="A568" s="16"/>
      <c r="B568" s="10"/>
      <c r="C568" s="13">
        <f>IF(B568="","",IFERROR(INDEX(Ejemplares!$B$5:$B$304,MATCH(B568,Ejemplares!$A$5:$A$304,0)),"Ejemplar no encontrado"))</f>
      </c>
      <c r="D568" s="10"/>
      <c r="E568" s="10"/>
      <c r="F568" s="10"/>
      <c r="G568" s="10"/>
      <c r="H568" s="10"/>
      <c r="I568" s="14">
        <f>IF(D568="","",IF(OR(D568="Ingreso",D568="Traslado entrante"),1,-1))</f>
      </c>
      <c r="J568" s="15">
        <f>IF(A568="","",YEAR(A568))</f>
      </c>
      <c r="K568" s="10"/>
      <c r="L568" s="10"/>
    </row>
    <row r="569" spans="1:12" x14ac:dyDescent="0.25">
      <c r="A569" s="16"/>
      <c r="B569" s="10"/>
      <c r="C569" s="13">
        <f>IF(B569="","",IFERROR(INDEX(Ejemplares!$B$5:$B$304,MATCH(B569,Ejemplares!$A$5:$A$304,0)),"Ejemplar no encontrado"))</f>
      </c>
      <c r="D569" s="10"/>
      <c r="E569" s="10"/>
      <c r="F569" s="10"/>
      <c r="G569" s="10"/>
      <c r="H569" s="10"/>
      <c r="I569" s="14">
        <f>IF(D569="","",IF(OR(D569="Ingreso",D569="Traslado entrante"),1,-1))</f>
      </c>
      <c r="J569" s="15">
        <f>IF(A569="","",YEAR(A569))</f>
      </c>
      <c r="K569" s="10"/>
      <c r="L569" s="10"/>
    </row>
    <row r="570" spans="1:12" x14ac:dyDescent="0.25">
      <c r="A570" s="16"/>
      <c r="B570" s="10"/>
      <c r="C570" s="13">
        <f>IF(B570="","",IFERROR(INDEX(Ejemplares!$B$5:$B$304,MATCH(B570,Ejemplares!$A$5:$A$304,0)),"Ejemplar no encontrado"))</f>
      </c>
      <c r="D570" s="10"/>
      <c r="E570" s="10"/>
      <c r="F570" s="10"/>
      <c r="G570" s="10"/>
      <c r="H570" s="10"/>
      <c r="I570" s="14">
        <f>IF(D570="","",IF(OR(D570="Ingreso",D570="Traslado entrante"),1,-1))</f>
      </c>
      <c r="J570" s="15">
        <f>IF(A570="","",YEAR(A570))</f>
      </c>
      <c r="K570" s="10"/>
      <c r="L570" s="10"/>
    </row>
    <row r="571" spans="1:12" x14ac:dyDescent="0.25">
      <c r="A571" s="16"/>
      <c r="B571" s="10"/>
      <c r="C571" s="13">
        <f>IF(B571="","",IFERROR(INDEX(Ejemplares!$B$5:$B$304,MATCH(B571,Ejemplares!$A$5:$A$304,0)),"Ejemplar no encontrado"))</f>
      </c>
      <c r="D571" s="10"/>
      <c r="E571" s="10"/>
      <c r="F571" s="10"/>
      <c r="G571" s="10"/>
      <c r="H571" s="10"/>
      <c r="I571" s="14">
        <f>IF(D571="","",IF(OR(D571="Ingreso",D571="Traslado entrante"),1,-1))</f>
      </c>
      <c r="J571" s="15">
        <f>IF(A571="","",YEAR(A571))</f>
      </c>
      <c r="K571" s="10"/>
      <c r="L571" s="10"/>
    </row>
    <row r="572" spans="1:12" x14ac:dyDescent="0.25">
      <c r="A572" s="16"/>
      <c r="B572" s="10"/>
      <c r="C572" s="13">
        <f>IF(B572="","",IFERROR(INDEX(Ejemplares!$B$5:$B$304,MATCH(B572,Ejemplares!$A$5:$A$304,0)),"Ejemplar no encontrado"))</f>
      </c>
      <c r="D572" s="10"/>
      <c r="E572" s="10"/>
      <c r="F572" s="10"/>
      <c r="G572" s="10"/>
      <c r="H572" s="10"/>
      <c r="I572" s="14">
        <f>IF(D572="","",IF(OR(D572="Ingreso",D572="Traslado entrante"),1,-1))</f>
      </c>
      <c r="J572" s="15">
        <f>IF(A572="","",YEAR(A572))</f>
      </c>
      <c r="K572" s="10"/>
      <c r="L572" s="10"/>
    </row>
    <row r="573" spans="1:12" x14ac:dyDescent="0.25">
      <c r="A573" s="16"/>
      <c r="B573" s="10"/>
      <c r="C573" s="13">
        <f>IF(B573="","",IFERROR(INDEX(Ejemplares!$B$5:$B$304,MATCH(B573,Ejemplares!$A$5:$A$304,0)),"Ejemplar no encontrado"))</f>
      </c>
      <c r="D573" s="10"/>
      <c r="E573" s="10"/>
      <c r="F573" s="10"/>
      <c r="G573" s="10"/>
      <c r="H573" s="10"/>
      <c r="I573" s="14">
        <f>IF(D573="","",IF(OR(D573="Ingreso",D573="Traslado entrante"),1,-1))</f>
      </c>
      <c r="J573" s="15">
        <f>IF(A573="","",YEAR(A573))</f>
      </c>
      <c r="K573" s="10"/>
      <c r="L573" s="10"/>
    </row>
    <row r="574" spans="1:12" x14ac:dyDescent="0.25">
      <c r="A574" s="16"/>
      <c r="B574" s="10"/>
      <c r="C574" s="13">
        <f>IF(B574="","",IFERROR(INDEX(Ejemplares!$B$5:$B$304,MATCH(B574,Ejemplares!$A$5:$A$304,0)),"Ejemplar no encontrado"))</f>
      </c>
      <c r="D574" s="10"/>
      <c r="E574" s="10"/>
      <c r="F574" s="10"/>
      <c r="G574" s="10"/>
      <c r="H574" s="10"/>
      <c r="I574" s="14">
        <f>IF(D574="","",IF(OR(D574="Ingreso",D574="Traslado entrante"),1,-1))</f>
      </c>
      <c r="J574" s="15">
        <f>IF(A574="","",YEAR(A574))</f>
      </c>
      <c r="K574" s="10"/>
      <c r="L574" s="10"/>
    </row>
    <row r="575" spans="1:12" x14ac:dyDescent="0.25">
      <c r="A575" s="16"/>
      <c r="B575" s="10"/>
      <c r="C575" s="13">
        <f>IF(B575="","",IFERROR(INDEX(Ejemplares!$B$5:$B$304,MATCH(B575,Ejemplares!$A$5:$A$304,0)),"Ejemplar no encontrado"))</f>
      </c>
      <c r="D575" s="10"/>
      <c r="E575" s="10"/>
      <c r="F575" s="10"/>
      <c r="G575" s="10"/>
      <c r="H575" s="10"/>
      <c r="I575" s="14">
        <f>IF(D575="","",IF(OR(D575="Ingreso",D575="Traslado entrante"),1,-1))</f>
      </c>
      <c r="J575" s="15">
        <f>IF(A575="","",YEAR(A575))</f>
      </c>
      <c r="K575" s="10"/>
      <c r="L575" s="10"/>
    </row>
    <row r="576" spans="1:12" x14ac:dyDescent="0.25">
      <c r="A576" s="16"/>
      <c r="B576" s="10"/>
      <c r="C576" s="13">
        <f>IF(B576="","",IFERROR(INDEX(Ejemplares!$B$5:$B$304,MATCH(B576,Ejemplares!$A$5:$A$304,0)),"Ejemplar no encontrado"))</f>
      </c>
      <c r="D576" s="10"/>
      <c r="E576" s="10"/>
      <c r="F576" s="10"/>
      <c r="G576" s="10"/>
      <c r="H576" s="10"/>
      <c r="I576" s="14">
        <f>IF(D576="","",IF(OR(D576="Ingreso",D576="Traslado entrante"),1,-1))</f>
      </c>
      <c r="J576" s="15">
        <f>IF(A576="","",YEAR(A576))</f>
      </c>
      <c r="K576" s="10"/>
      <c r="L576" s="10"/>
    </row>
    <row r="577" spans="1:12" x14ac:dyDescent="0.25">
      <c r="A577" s="16"/>
      <c r="B577" s="10"/>
      <c r="C577" s="13">
        <f>IF(B577="","",IFERROR(INDEX(Ejemplares!$B$5:$B$304,MATCH(B577,Ejemplares!$A$5:$A$304,0)),"Ejemplar no encontrado"))</f>
      </c>
      <c r="D577" s="10"/>
      <c r="E577" s="10"/>
      <c r="F577" s="10"/>
      <c r="G577" s="10"/>
      <c r="H577" s="10"/>
      <c r="I577" s="14">
        <f>IF(D577="","",IF(OR(D577="Ingreso",D577="Traslado entrante"),1,-1))</f>
      </c>
      <c r="J577" s="15">
        <f>IF(A577="","",YEAR(A577))</f>
      </c>
      <c r="K577" s="10"/>
      <c r="L577" s="10"/>
    </row>
    <row r="578" spans="1:12" x14ac:dyDescent="0.25">
      <c r="A578" s="16"/>
      <c r="B578" s="10"/>
      <c r="C578" s="13">
        <f>IF(B578="","",IFERROR(INDEX(Ejemplares!$B$5:$B$304,MATCH(B578,Ejemplares!$A$5:$A$304,0)),"Ejemplar no encontrado"))</f>
      </c>
      <c r="D578" s="10"/>
      <c r="E578" s="10"/>
      <c r="F578" s="10"/>
      <c r="G578" s="10"/>
      <c r="H578" s="10"/>
      <c r="I578" s="14">
        <f>IF(D578="","",IF(OR(D578="Ingreso",D578="Traslado entrante"),1,-1))</f>
      </c>
      <c r="J578" s="15">
        <f>IF(A578="","",YEAR(A578))</f>
      </c>
      <c r="K578" s="10"/>
      <c r="L578" s="10"/>
    </row>
    <row r="579" spans="1:12" x14ac:dyDescent="0.25">
      <c r="A579" s="16"/>
      <c r="B579" s="10"/>
      <c r="C579" s="13">
        <f>IF(B579="","",IFERROR(INDEX(Ejemplares!$B$5:$B$304,MATCH(B579,Ejemplares!$A$5:$A$304,0)),"Ejemplar no encontrado"))</f>
      </c>
      <c r="D579" s="10"/>
      <c r="E579" s="10"/>
      <c r="F579" s="10"/>
      <c r="G579" s="10"/>
      <c r="H579" s="10"/>
      <c r="I579" s="14">
        <f>IF(D579="","",IF(OR(D579="Ingreso",D579="Traslado entrante"),1,-1))</f>
      </c>
      <c r="J579" s="15">
        <f>IF(A579="","",YEAR(A579))</f>
      </c>
      <c r="K579" s="10"/>
      <c r="L579" s="10"/>
    </row>
    <row r="580" spans="1:12" x14ac:dyDescent="0.25">
      <c r="A580" s="16"/>
      <c r="B580" s="10"/>
      <c r="C580" s="13">
        <f>IF(B580="","",IFERROR(INDEX(Ejemplares!$B$5:$B$304,MATCH(B580,Ejemplares!$A$5:$A$304,0)),"Ejemplar no encontrado"))</f>
      </c>
      <c r="D580" s="10"/>
      <c r="E580" s="10"/>
      <c r="F580" s="10"/>
      <c r="G580" s="10"/>
      <c r="H580" s="10"/>
      <c r="I580" s="14">
        <f>IF(D580="","",IF(OR(D580="Ingreso",D580="Traslado entrante"),1,-1))</f>
      </c>
      <c r="J580" s="15">
        <f>IF(A580="","",YEAR(A580))</f>
      </c>
      <c r="K580" s="10"/>
      <c r="L580" s="10"/>
    </row>
    <row r="581" spans="1:12" x14ac:dyDescent="0.25">
      <c r="A581" s="16"/>
      <c r="B581" s="10"/>
      <c r="C581" s="13">
        <f>IF(B581="","",IFERROR(INDEX(Ejemplares!$B$5:$B$304,MATCH(B581,Ejemplares!$A$5:$A$304,0)),"Ejemplar no encontrado"))</f>
      </c>
      <c r="D581" s="10"/>
      <c r="E581" s="10"/>
      <c r="F581" s="10"/>
      <c r="G581" s="10"/>
      <c r="H581" s="10"/>
      <c r="I581" s="14">
        <f>IF(D581="","",IF(OR(D581="Ingreso",D581="Traslado entrante"),1,-1))</f>
      </c>
      <c r="J581" s="15">
        <f>IF(A581="","",YEAR(A581))</f>
      </c>
      <c r="K581" s="10"/>
      <c r="L581" s="10"/>
    </row>
    <row r="582" spans="1:12" x14ac:dyDescent="0.25">
      <c r="A582" s="16"/>
      <c r="B582" s="10"/>
      <c r="C582" s="13">
        <f>IF(B582="","",IFERROR(INDEX(Ejemplares!$B$5:$B$304,MATCH(B582,Ejemplares!$A$5:$A$304,0)),"Ejemplar no encontrado"))</f>
      </c>
      <c r="D582" s="10"/>
      <c r="E582" s="10"/>
      <c r="F582" s="10"/>
      <c r="G582" s="10"/>
      <c r="H582" s="10"/>
      <c r="I582" s="14">
        <f>IF(D582="","",IF(OR(D582="Ingreso",D582="Traslado entrante"),1,-1))</f>
      </c>
      <c r="J582" s="15">
        <f>IF(A582="","",YEAR(A582))</f>
      </c>
      <c r="K582" s="10"/>
      <c r="L582" s="10"/>
    </row>
    <row r="583" spans="1:12" x14ac:dyDescent="0.25">
      <c r="A583" s="16"/>
      <c r="B583" s="10"/>
      <c r="C583" s="13">
        <f>IF(B583="","",IFERROR(INDEX(Ejemplares!$B$5:$B$304,MATCH(B583,Ejemplares!$A$5:$A$304,0)),"Ejemplar no encontrado"))</f>
      </c>
      <c r="D583" s="10"/>
      <c r="E583" s="10"/>
      <c r="F583" s="10"/>
      <c r="G583" s="10"/>
      <c r="H583" s="10"/>
      <c r="I583" s="14">
        <f>IF(D583="","",IF(OR(D583="Ingreso",D583="Traslado entrante"),1,-1))</f>
      </c>
      <c r="J583" s="15">
        <f>IF(A583="","",YEAR(A583))</f>
      </c>
      <c r="K583" s="10"/>
      <c r="L583" s="10"/>
    </row>
    <row r="584" spans="1:12" x14ac:dyDescent="0.25">
      <c r="A584" s="16"/>
      <c r="B584" s="10"/>
      <c r="C584" s="13">
        <f>IF(B584="","",IFERROR(INDEX(Ejemplares!$B$5:$B$304,MATCH(B584,Ejemplares!$A$5:$A$304,0)),"Ejemplar no encontrado"))</f>
      </c>
      <c r="D584" s="10"/>
      <c r="E584" s="10"/>
      <c r="F584" s="10"/>
      <c r="G584" s="10"/>
      <c r="H584" s="10"/>
      <c r="I584" s="14">
        <f>IF(D584="","",IF(OR(D584="Ingreso",D584="Traslado entrante"),1,-1))</f>
      </c>
      <c r="J584" s="15">
        <f>IF(A584="","",YEAR(A584))</f>
      </c>
      <c r="K584" s="10"/>
      <c r="L584" s="10"/>
    </row>
    <row r="585" spans="1:12" x14ac:dyDescent="0.25">
      <c r="A585" s="16"/>
      <c r="B585" s="10"/>
      <c r="C585" s="13">
        <f>IF(B585="","",IFERROR(INDEX(Ejemplares!$B$5:$B$304,MATCH(B585,Ejemplares!$A$5:$A$304,0)),"Ejemplar no encontrado"))</f>
      </c>
      <c r="D585" s="10"/>
      <c r="E585" s="10"/>
      <c r="F585" s="10"/>
      <c r="G585" s="10"/>
      <c r="H585" s="10"/>
      <c r="I585" s="14">
        <f>IF(D585="","",IF(OR(D585="Ingreso",D585="Traslado entrante"),1,-1))</f>
      </c>
      <c r="J585" s="15">
        <f>IF(A585="","",YEAR(A585))</f>
      </c>
      <c r="K585" s="10"/>
      <c r="L585" s="10"/>
    </row>
    <row r="586" spans="1:12" x14ac:dyDescent="0.25">
      <c r="A586" s="16"/>
      <c r="B586" s="10"/>
      <c r="C586" s="13">
        <f>IF(B586="","",IFERROR(INDEX(Ejemplares!$B$5:$B$304,MATCH(B586,Ejemplares!$A$5:$A$304,0)),"Ejemplar no encontrado"))</f>
      </c>
      <c r="D586" s="10"/>
      <c r="E586" s="10"/>
      <c r="F586" s="10"/>
      <c r="G586" s="10"/>
      <c r="H586" s="10"/>
      <c r="I586" s="14">
        <f>IF(D586="","",IF(OR(D586="Ingreso",D586="Traslado entrante"),1,-1))</f>
      </c>
      <c r="J586" s="15">
        <f>IF(A586="","",YEAR(A586))</f>
      </c>
      <c r="K586" s="10"/>
      <c r="L586" s="10"/>
    </row>
    <row r="587" spans="1:12" x14ac:dyDescent="0.25">
      <c r="A587" s="16"/>
      <c r="B587" s="10"/>
      <c r="C587" s="13">
        <f>IF(B587="","",IFERROR(INDEX(Ejemplares!$B$5:$B$304,MATCH(B587,Ejemplares!$A$5:$A$304,0)),"Ejemplar no encontrado"))</f>
      </c>
      <c r="D587" s="10"/>
      <c r="E587" s="10"/>
      <c r="F587" s="10"/>
      <c r="G587" s="10"/>
      <c r="H587" s="10"/>
      <c r="I587" s="14">
        <f>IF(D587="","",IF(OR(D587="Ingreso",D587="Traslado entrante"),1,-1))</f>
      </c>
      <c r="J587" s="15">
        <f>IF(A587="","",YEAR(A587))</f>
      </c>
      <c r="K587" s="10"/>
      <c r="L587" s="10"/>
    </row>
    <row r="588" spans="1:12" x14ac:dyDescent="0.25">
      <c r="A588" s="16"/>
      <c r="B588" s="10"/>
      <c r="C588" s="13">
        <f>IF(B588="","",IFERROR(INDEX(Ejemplares!$B$5:$B$304,MATCH(B588,Ejemplares!$A$5:$A$304,0)),"Ejemplar no encontrado"))</f>
      </c>
      <c r="D588" s="10"/>
      <c r="E588" s="10"/>
      <c r="F588" s="10"/>
      <c r="G588" s="10"/>
      <c r="H588" s="10"/>
      <c r="I588" s="14">
        <f>IF(D588="","",IF(OR(D588="Ingreso",D588="Traslado entrante"),1,-1))</f>
      </c>
      <c r="J588" s="15">
        <f>IF(A588="","",YEAR(A588))</f>
      </c>
      <c r="K588" s="10"/>
      <c r="L588" s="10"/>
    </row>
    <row r="589" spans="1:12" x14ac:dyDescent="0.25">
      <c r="A589" s="16"/>
      <c r="B589" s="10"/>
      <c r="C589" s="13">
        <f>IF(B589="","",IFERROR(INDEX(Ejemplares!$B$5:$B$304,MATCH(B589,Ejemplares!$A$5:$A$304,0)),"Ejemplar no encontrado"))</f>
      </c>
      <c r="D589" s="10"/>
      <c r="E589" s="10"/>
      <c r="F589" s="10"/>
      <c r="G589" s="10"/>
      <c r="H589" s="10"/>
      <c r="I589" s="14">
        <f>IF(D589="","",IF(OR(D589="Ingreso",D589="Traslado entrante"),1,-1))</f>
      </c>
      <c r="J589" s="15">
        <f>IF(A589="","",YEAR(A589))</f>
      </c>
      <c r="K589" s="10"/>
      <c r="L589" s="10"/>
    </row>
    <row r="590" spans="1:12" x14ac:dyDescent="0.25">
      <c r="A590" s="16"/>
      <c r="B590" s="10"/>
      <c r="C590" s="13">
        <f>IF(B590="","",IFERROR(INDEX(Ejemplares!$B$5:$B$304,MATCH(B590,Ejemplares!$A$5:$A$304,0)),"Ejemplar no encontrado"))</f>
      </c>
      <c r="D590" s="10"/>
      <c r="E590" s="10"/>
      <c r="F590" s="10"/>
      <c r="G590" s="10"/>
      <c r="H590" s="10"/>
      <c r="I590" s="14">
        <f>IF(D590="","",IF(OR(D590="Ingreso",D590="Traslado entrante"),1,-1))</f>
      </c>
      <c r="J590" s="15">
        <f>IF(A590="","",YEAR(A590))</f>
      </c>
      <c r="K590" s="10"/>
      <c r="L590" s="10"/>
    </row>
    <row r="591" spans="1:12" x14ac:dyDescent="0.25">
      <c r="A591" s="16"/>
      <c r="B591" s="10"/>
      <c r="C591" s="13">
        <f>IF(B591="","",IFERROR(INDEX(Ejemplares!$B$5:$B$304,MATCH(B591,Ejemplares!$A$5:$A$304,0)),"Ejemplar no encontrado"))</f>
      </c>
      <c r="D591" s="10"/>
      <c r="E591" s="10"/>
      <c r="F591" s="10"/>
      <c r="G591" s="10"/>
      <c r="H591" s="10"/>
      <c r="I591" s="14">
        <f>IF(D591="","",IF(OR(D591="Ingreso",D591="Traslado entrante"),1,-1))</f>
      </c>
      <c r="J591" s="15">
        <f>IF(A591="","",YEAR(A591))</f>
      </c>
      <c r="K591" s="10"/>
      <c r="L591" s="10"/>
    </row>
    <row r="592" spans="1:12" x14ac:dyDescent="0.25">
      <c r="A592" s="16"/>
      <c r="B592" s="10"/>
      <c r="C592" s="13">
        <f>IF(B592="","",IFERROR(INDEX(Ejemplares!$B$5:$B$304,MATCH(B592,Ejemplares!$A$5:$A$304,0)),"Ejemplar no encontrado"))</f>
      </c>
      <c r="D592" s="10"/>
      <c r="E592" s="10"/>
      <c r="F592" s="10"/>
      <c r="G592" s="10"/>
      <c r="H592" s="10"/>
      <c r="I592" s="14">
        <f>IF(D592="","",IF(OR(D592="Ingreso",D592="Traslado entrante"),1,-1))</f>
      </c>
      <c r="J592" s="15">
        <f>IF(A592="","",YEAR(A592))</f>
      </c>
      <c r="K592" s="10"/>
      <c r="L592" s="10"/>
    </row>
    <row r="593" spans="1:12" x14ac:dyDescent="0.25">
      <c r="A593" s="16"/>
      <c r="B593" s="10"/>
      <c r="C593" s="13">
        <f>IF(B593="","",IFERROR(INDEX(Ejemplares!$B$5:$B$304,MATCH(B593,Ejemplares!$A$5:$A$304,0)),"Ejemplar no encontrado"))</f>
      </c>
      <c r="D593" s="10"/>
      <c r="E593" s="10"/>
      <c r="F593" s="10"/>
      <c r="G593" s="10"/>
      <c r="H593" s="10"/>
      <c r="I593" s="14">
        <f>IF(D593="","",IF(OR(D593="Ingreso",D593="Traslado entrante"),1,-1))</f>
      </c>
      <c r="J593" s="15">
        <f>IF(A593="","",YEAR(A593))</f>
      </c>
      <c r="K593" s="10"/>
      <c r="L593" s="10"/>
    </row>
    <row r="594" spans="1:12" x14ac:dyDescent="0.25">
      <c r="A594" s="16"/>
      <c r="B594" s="10"/>
      <c r="C594" s="13">
        <f>IF(B594="","",IFERROR(INDEX(Ejemplares!$B$5:$B$304,MATCH(B594,Ejemplares!$A$5:$A$304,0)),"Ejemplar no encontrado"))</f>
      </c>
      <c r="D594" s="10"/>
      <c r="E594" s="10"/>
      <c r="F594" s="10"/>
      <c r="G594" s="10"/>
      <c r="H594" s="10"/>
      <c r="I594" s="14">
        <f>IF(D594="","",IF(OR(D594="Ingreso",D594="Traslado entrante"),1,-1))</f>
      </c>
      <c r="J594" s="15">
        <f>IF(A594="","",YEAR(A594))</f>
      </c>
      <c r="K594" s="10"/>
      <c r="L594" s="10"/>
    </row>
    <row r="595" spans="1:12" x14ac:dyDescent="0.25">
      <c r="A595" s="16"/>
      <c r="B595" s="10"/>
      <c r="C595" s="13">
        <f>IF(B595="","",IFERROR(INDEX(Ejemplares!$B$5:$B$304,MATCH(B595,Ejemplares!$A$5:$A$304,0)),"Ejemplar no encontrado"))</f>
      </c>
      <c r="D595" s="10"/>
      <c r="E595" s="10"/>
      <c r="F595" s="10"/>
      <c r="G595" s="10"/>
      <c r="H595" s="10"/>
      <c r="I595" s="14">
        <f>IF(D595="","",IF(OR(D595="Ingreso",D595="Traslado entrante"),1,-1))</f>
      </c>
      <c r="J595" s="15">
        <f>IF(A595="","",YEAR(A595))</f>
      </c>
      <c r="K595" s="10"/>
      <c r="L595" s="10"/>
    </row>
    <row r="596" spans="1:12" x14ac:dyDescent="0.25">
      <c r="A596" s="16"/>
      <c r="B596" s="10"/>
      <c r="C596" s="13">
        <f>IF(B596="","",IFERROR(INDEX(Ejemplares!$B$5:$B$304,MATCH(B596,Ejemplares!$A$5:$A$304,0)),"Ejemplar no encontrado"))</f>
      </c>
      <c r="D596" s="10"/>
      <c r="E596" s="10"/>
      <c r="F596" s="10"/>
      <c r="G596" s="10"/>
      <c r="H596" s="10"/>
      <c r="I596" s="14">
        <f>IF(D596="","",IF(OR(D596="Ingreso",D596="Traslado entrante"),1,-1))</f>
      </c>
      <c r="J596" s="15">
        <f>IF(A596="","",YEAR(A596))</f>
      </c>
      <c r="K596" s="10"/>
      <c r="L596" s="10"/>
    </row>
    <row r="597" spans="1:12" x14ac:dyDescent="0.25">
      <c r="A597" s="16"/>
      <c r="B597" s="10"/>
      <c r="C597" s="13">
        <f>IF(B597="","",IFERROR(INDEX(Ejemplares!$B$5:$B$304,MATCH(B597,Ejemplares!$A$5:$A$304,0)),"Ejemplar no encontrado"))</f>
      </c>
      <c r="D597" s="10"/>
      <c r="E597" s="10"/>
      <c r="F597" s="10"/>
      <c r="G597" s="10"/>
      <c r="H597" s="10"/>
      <c r="I597" s="14">
        <f>IF(D597="","",IF(OR(D597="Ingreso",D597="Traslado entrante"),1,-1))</f>
      </c>
      <c r="J597" s="15">
        <f>IF(A597="","",YEAR(A597))</f>
      </c>
      <c r="K597" s="10"/>
      <c r="L597" s="10"/>
    </row>
    <row r="598" spans="1:12" x14ac:dyDescent="0.25">
      <c r="A598" s="16"/>
      <c r="B598" s="10"/>
      <c r="C598" s="13">
        <f>IF(B598="","",IFERROR(INDEX(Ejemplares!$B$5:$B$304,MATCH(B598,Ejemplares!$A$5:$A$304,0)),"Ejemplar no encontrado"))</f>
      </c>
      <c r="D598" s="10"/>
      <c r="E598" s="10"/>
      <c r="F598" s="10"/>
      <c r="G598" s="10"/>
      <c r="H598" s="10"/>
      <c r="I598" s="14">
        <f>IF(D598="","",IF(OR(D598="Ingreso",D598="Traslado entrante"),1,-1))</f>
      </c>
      <c r="J598" s="15">
        <f>IF(A598="","",YEAR(A598))</f>
      </c>
      <c r="K598" s="10"/>
      <c r="L598" s="10"/>
    </row>
    <row r="599" spans="1:12" x14ac:dyDescent="0.25">
      <c r="A599" s="16"/>
      <c r="B599" s="10"/>
      <c r="C599" s="13">
        <f>IF(B599="","",IFERROR(INDEX(Ejemplares!$B$5:$B$304,MATCH(B599,Ejemplares!$A$5:$A$304,0)),"Ejemplar no encontrado"))</f>
      </c>
      <c r="D599" s="10"/>
      <c r="E599" s="10"/>
      <c r="F599" s="10"/>
      <c r="G599" s="10"/>
      <c r="H599" s="10"/>
      <c r="I599" s="14">
        <f>IF(D599="","",IF(OR(D599="Ingreso",D599="Traslado entrante"),1,-1))</f>
      </c>
      <c r="J599" s="15">
        <f>IF(A599="","",YEAR(A599))</f>
      </c>
      <c r="K599" s="10"/>
      <c r="L599" s="10"/>
    </row>
    <row r="600" spans="1:12" x14ac:dyDescent="0.25">
      <c r="A600" s="16"/>
      <c r="B600" s="10"/>
      <c r="C600" s="13">
        <f>IF(B600="","",IFERROR(INDEX(Ejemplares!$B$5:$B$304,MATCH(B600,Ejemplares!$A$5:$A$304,0)),"Ejemplar no encontrado"))</f>
      </c>
      <c r="D600" s="10"/>
      <c r="E600" s="10"/>
      <c r="F600" s="10"/>
      <c r="G600" s="10"/>
      <c r="H600" s="10"/>
      <c r="I600" s="14">
        <f>IF(D600="","",IF(OR(D600="Ingreso",D600="Traslado entrante"),1,-1))</f>
      </c>
      <c r="J600" s="15">
        <f>IF(A600="","",YEAR(A600))</f>
      </c>
      <c r="K600" s="10"/>
      <c r="L600" s="10"/>
    </row>
    <row r="601" spans="1:12" x14ac:dyDescent="0.25">
      <c r="A601" s="16"/>
      <c r="B601" s="10"/>
      <c r="C601" s="13">
        <f>IF(B601="","",IFERROR(INDEX(Ejemplares!$B$5:$B$304,MATCH(B601,Ejemplares!$A$5:$A$304,0)),"Ejemplar no encontrado"))</f>
      </c>
      <c r="D601" s="10"/>
      <c r="E601" s="10"/>
      <c r="F601" s="10"/>
      <c r="G601" s="10"/>
      <c r="H601" s="10"/>
      <c r="I601" s="14">
        <f>IF(D601="","",IF(OR(D601="Ingreso",D601="Traslado entrante"),1,-1))</f>
      </c>
      <c r="J601" s="15">
        <f>IF(A601="","",YEAR(A601))</f>
      </c>
      <c r="K601" s="10"/>
      <c r="L601" s="10"/>
    </row>
    <row r="602" spans="1:12" x14ac:dyDescent="0.25">
      <c r="A602" s="16"/>
      <c r="B602" s="10"/>
      <c r="C602" s="13">
        <f>IF(B602="","",IFERROR(INDEX(Ejemplares!$B$5:$B$304,MATCH(B602,Ejemplares!$A$5:$A$304,0)),"Ejemplar no encontrado"))</f>
      </c>
      <c r="D602" s="10"/>
      <c r="E602" s="10"/>
      <c r="F602" s="10"/>
      <c r="G602" s="10"/>
      <c r="H602" s="10"/>
      <c r="I602" s="14">
        <f>IF(D602="","",IF(OR(D602="Ingreso",D602="Traslado entrante"),1,-1))</f>
      </c>
      <c r="J602" s="15">
        <f>IF(A602="","",YEAR(A602))</f>
      </c>
      <c r="K602" s="10"/>
      <c r="L602" s="10"/>
    </row>
    <row r="603" spans="1:12" x14ac:dyDescent="0.25">
      <c r="A603" s="16"/>
      <c r="B603" s="10"/>
      <c r="C603" s="13">
        <f>IF(B603="","",IFERROR(INDEX(Ejemplares!$B$5:$B$304,MATCH(B603,Ejemplares!$A$5:$A$304,0)),"Ejemplar no encontrado"))</f>
      </c>
      <c r="D603" s="10"/>
      <c r="E603" s="10"/>
      <c r="F603" s="10"/>
      <c r="G603" s="10"/>
      <c r="H603" s="10"/>
      <c r="I603" s="14">
        <f>IF(D603="","",IF(OR(D603="Ingreso",D603="Traslado entrante"),1,-1))</f>
      </c>
      <c r="J603" s="15">
        <f>IF(A603="","",YEAR(A603))</f>
      </c>
      <c r="K603" s="10"/>
      <c r="L603" s="10"/>
    </row>
    <row r="604" spans="1:12" x14ac:dyDescent="0.25">
      <c r="A604" s="16"/>
      <c r="B604" s="10"/>
      <c r="C604" s="13">
        <f>IF(B604="","",IFERROR(INDEX(Ejemplares!$B$5:$B$304,MATCH(B604,Ejemplares!$A$5:$A$304,0)),"Ejemplar no encontrado"))</f>
      </c>
      <c r="D604" s="10"/>
      <c r="E604" s="10"/>
      <c r="F604" s="10"/>
      <c r="G604" s="10"/>
      <c r="H604" s="10"/>
      <c r="I604" s="14">
        <f>IF(D604="","",IF(OR(D604="Ingreso",D604="Traslado entrante"),1,-1))</f>
      </c>
      <c r="J604" s="15">
        <f>IF(A604="","",YEAR(A604))</f>
      </c>
      <c r="K604" s="10"/>
      <c r="L604" s="10"/>
    </row>
  </sheetData>
  <autoFilter ref="A4:L604"/>
  <mergeCells count="2">
    <mergeCell ref="A1:L1"/>
    <mergeCell ref="A2:L2"/>
  </mergeCells>
  <conditionalFormatting sqref="D5:D604">
    <cfRule type="expression" dxfId="0" priority="22">
      <formula>OR($D5="Baja",$D5="Traslado saliente")</formula>
    </cfRule>
  </conditionalFormatting>
  <conditionalFormatting sqref="D5:D604">
    <cfRule type="expression" dxfId="1" priority="23">
      <formula>OR($D5="Ingreso",$D5="Traslado entrante")</formula>
    </cfRule>
  </conditionalFormatting>
  <dataValidations count="4">
    <dataValidation type="date" operator="greaterThan" allowBlank="1" promptTitle="Fecha" showErrorMessage="1" errorStyle="warning" errorTitle="Fecha" error="Escribe una fecha válida, por ejemplo 15/03/2026." sqref="A5:A604">
      <formula1>32874</formula1>
    </dataValidation>
    <dataValidation type="list" allowBlank="1" promptTitle="Ejemplar" showErrorMessage="1" errorStyle="warning" errorTitle="Elige de la lista" error="Elige una opción de la lista desplegable." sqref="B5:B604">
      <formula1>Ejemplares!$A$5:$A$304</formula1>
    </dataValidation>
    <dataValidation type="list" allowBlank="1" promptTitle="Tipo" showErrorMessage="1" errorStyle="warning" errorTitle="Elige de la lista" error="Elige una opción de la lista desplegable." sqref="D5:D604">
      <formula1>"Ingreso,Baja,Traslado saliente,Traslado entrante"</formula1>
    </dataValidation>
    <dataValidation type="list" allowBlank="1" promptTitle="Motivo" showErrorMessage="1" errorStyle="warning" errorTitle="Elige de la lista" error="Elige una opción de la lista desplegable." sqref="E5:E604">
      <formula1>"Nacimiento,Adquisición,Donación,Rescate o entrega,Muerte,Liberación,Intercambio o préstamo,Otro"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H3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4" customWidth="1"/>
    <col min="3" max="4" width="12" customWidth="1"/>
    <col min="5" max="7" width="14" customWidth="1"/>
    <col min="8" max="8" width="18" customWidth="1"/>
  </cols>
  <sheetData>
    <row r="1" ht="30" customHeight="1" spans="1:8" x14ac:dyDescent="0.25">
      <c r="A1" s="6" t="s">
        <v>92</v>
      </c>
      <c r="B1" s="6"/>
      <c r="C1" s="6"/>
      <c r="D1" s="6"/>
      <c r="E1" s="6"/>
      <c r="F1" s="6"/>
      <c r="G1" s="6"/>
      <c r="H1" s="6"/>
    </row>
    <row r="2" ht="22" customHeight="1" spans="1:8" x14ac:dyDescent="0.25">
      <c r="A2" s="7" t="s">
        <v>93</v>
      </c>
      <c r="B2" s="7"/>
      <c r="C2" s="7"/>
      <c r="D2" s="7"/>
      <c r="E2" s="7"/>
      <c r="F2" s="7"/>
      <c r="G2" s="7"/>
      <c r="H2" s="7"/>
    </row>
    <row r="3" spans="1:2" x14ac:dyDescent="0.25">
      <c r="A3" s="17" t="s">
        <v>94</v>
      </c>
      <c r="B3" s="18">
        <v>2026</v>
      </c>
    </row>
    <row r="5" ht="34" customHeight="1" spans="1:8" x14ac:dyDescent="0.25">
      <c r="A5" s="19" t="s">
        <v>65</v>
      </c>
      <c r="B5" s="19" t="s">
        <v>95</v>
      </c>
      <c r="C5" s="19" t="s">
        <v>96</v>
      </c>
      <c r="D5" s="19" t="s">
        <v>97</v>
      </c>
      <c r="E5" s="19" t="s">
        <v>98</v>
      </c>
      <c r="F5" s="19" t="s">
        <v>99</v>
      </c>
      <c r="G5" s="19" t="s">
        <v>100</v>
      </c>
      <c r="H5" s="19" t="s">
        <v>101</v>
      </c>
    </row>
    <row r="6" spans="1:8" x14ac:dyDescent="0.25">
      <c r="A6" s="20" t="s">
        <v>44</v>
      </c>
      <c r="B6" s="15">
        <f>IF($A6="","",SUMIFS(Movimientos!$I$5:$I$604,Movimientos!$C$5:$C$604,$A6,Movimientos!$A$5:$A$604,"&lt;"&amp;DATE($B$3,1,1)))</f>
      </c>
      <c r="C6" s="15">
        <f>IF($A6="","",SUMIFS(Movimientos!$I$5:$I$604,Movimientos!$C$5:$C$604,$A6,Movimientos!$J$5:$J$604,$B$3,Movimientos!$I$5:$I$604,1))</f>
      </c>
      <c r="D6" s="15">
        <f>IF($A6="","",COUNTIFS(Movimientos!$C$5:$C$604,$A6,Movimientos!$J$5:$J$604,$B$3,Movimientos!$D$5:$D$604,"Baja"))</f>
      </c>
      <c r="E6" s="15">
        <f>IF($A6="","",COUNTIFS(Movimientos!$C$5:$C$604,$A6,Movimientos!$J$5:$J$604,$B$3,Movimientos!$D$5:$D$604,"Traslado saliente"))</f>
      </c>
      <c r="F6" s="15">
        <f>IF($A6="","",B6+C6-D6-E6)</f>
      </c>
      <c r="G6" s="15">
        <f>IF($A6="","",SUMIFS(Movimientos!$I$5:$I$604,Movimientos!$C$5:$C$604,$A6))</f>
      </c>
      <c r="H6" s="13">
        <f>IF($A6="","",IF(F6=SUMIFS(Movimientos!$I$5:$I$604,Movimientos!$C$5:$C$604,$A6,Movimientos!$A$5:$A$604,"&lt;"&amp;DATE($B$3+1,1,1)),"Coincide","Revisa los movimientos"))</f>
      </c>
    </row>
    <row r="7" spans="1:8" x14ac:dyDescent="0.25">
      <c r="A7" s="20" t="s">
        <v>53</v>
      </c>
      <c r="B7" s="15">
        <f>IF($A7="","",SUMIFS(Movimientos!$I$5:$I$604,Movimientos!$C$5:$C$604,$A7,Movimientos!$A$5:$A$604,"&lt;"&amp;DATE($B$3,1,1)))</f>
      </c>
      <c r="C7" s="15">
        <f>IF($A7="","",SUMIFS(Movimientos!$I$5:$I$604,Movimientos!$C$5:$C$604,$A7,Movimientos!$J$5:$J$604,$B$3,Movimientos!$I$5:$I$604,1))</f>
      </c>
      <c r="D7" s="15">
        <f>IF($A7="","",COUNTIFS(Movimientos!$C$5:$C$604,$A7,Movimientos!$J$5:$J$604,$B$3,Movimientos!$D$5:$D$604,"Baja"))</f>
      </c>
      <c r="E7" s="15">
        <f>IF($A7="","",COUNTIFS(Movimientos!$C$5:$C$604,$A7,Movimientos!$J$5:$J$604,$B$3,Movimientos!$D$5:$D$604,"Traslado saliente"))</f>
      </c>
      <c r="F7" s="15">
        <f>IF($A7="","",B7+C7-D7-E7)</f>
      </c>
      <c r="G7" s="15">
        <f>IF($A7="","",SUMIFS(Movimientos!$I$5:$I$604,Movimientos!$C$5:$C$604,$A7))</f>
      </c>
      <c r="H7" s="13">
        <f>IF($A7="","",IF(F7=SUMIFS(Movimientos!$I$5:$I$604,Movimientos!$C$5:$C$604,$A7,Movimientos!$A$5:$A$604,"&lt;"&amp;DATE($B$3+1,1,1)),"Coincide","Revisa los movimientos"))</f>
      </c>
    </row>
    <row r="8" spans="1:8" x14ac:dyDescent="0.25">
      <c r="A8" s="20" t="s">
        <v>59</v>
      </c>
      <c r="B8" s="15">
        <f>IF($A8="","",SUMIFS(Movimientos!$I$5:$I$604,Movimientos!$C$5:$C$604,$A8,Movimientos!$A$5:$A$604,"&lt;"&amp;DATE($B$3,1,1)))</f>
      </c>
      <c r="C8" s="15">
        <f>IF($A8="","",SUMIFS(Movimientos!$I$5:$I$604,Movimientos!$C$5:$C$604,$A8,Movimientos!$J$5:$J$604,$B$3,Movimientos!$I$5:$I$604,1))</f>
      </c>
      <c r="D8" s="15">
        <f>IF($A8="","",COUNTIFS(Movimientos!$C$5:$C$604,$A8,Movimientos!$J$5:$J$604,$B$3,Movimientos!$D$5:$D$604,"Baja"))</f>
      </c>
      <c r="E8" s="15">
        <f>IF($A8="","",COUNTIFS(Movimientos!$C$5:$C$604,$A8,Movimientos!$J$5:$J$604,$B$3,Movimientos!$D$5:$D$604,"Traslado saliente"))</f>
      </c>
      <c r="F8" s="15">
        <f>IF($A8="","",B8+C8-D8-E8)</f>
      </c>
      <c r="G8" s="15">
        <f>IF($A8="","",SUMIFS(Movimientos!$I$5:$I$604,Movimientos!$C$5:$C$604,$A8))</f>
      </c>
      <c r="H8" s="13">
        <f>IF($A8="","",IF(F8=SUMIFS(Movimientos!$I$5:$I$604,Movimientos!$C$5:$C$604,$A8,Movimientos!$A$5:$A$604,"&lt;"&amp;DATE($B$3+1,1,1)),"Coincide","Revisa los movimientos"))</f>
      </c>
    </row>
    <row r="9" spans="1:8" x14ac:dyDescent="0.25">
      <c r="A9" s="10"/>
      <c r="B9" s="15">
        <f>IF($A9="","",SUMIFS(Movimientos!$I$5:$I$604,Movimientos!$C$5:$C$604,$A9,Movimientos!$A$5:$A$604,"&lt;"&amp;DATE($B$3,1,1)))</f>
      </c>
      <c r="C9" s="15">
        <f>IF($A9="","",SUMIFS(Movimientos!$I$5:$I$604,Movimientos!$C$5:$C$604,$A9,Movimientos!$J$5:$J$604,$B$3,Movimientos!$I$5:$I$604,1))</f>
      </c>
      <c r="D9" s="15">
        <f>IF($A9="","",COUNTIFS(Movimientos!$C$5:$C$604,$A9,Movimientos!$J$5:$J$604,$B$3,Movimientos!$D$5:$D$604,"Baja"))</f>
      </c>
      <c r="E9" s="15">
        <f>IF($A9="","",COUNTIFS(Movimientos!$C$5:$C$604,$A9,Movimientos!$J$5:$J$604,$B$3,Movimientos!$D$5:$D$604,"Traslado saliente"))</f>
      </c>
      <c r="F9" s="15">
        <f>IF($A9="","",B9+C9-D9-E9)</f>
      </c>
      <c r="G9" s="15">
        <f>IF($A9="","",SUMIFS(Movimientos!$I$5:$I$604,Movimientos!$C$5:$C$604,$A9))</f>
      </c>
      <c r="H9" s="13">
        <f>IF($A9="","",IF(F9=SUMIFS(Movimientos!$I$5:$I$604,Movimientos!$C$5:$C$604,$A9,Movimientos!$A$5:$A$604,"&lt;"&amp;DATE($B$3+1,1,1)),"Coincide","Revisa los movimientos"))</f>
      </c>
    </row>
    <row r="10" spans="1:8" x14ac:dyDescent="0.25">
      <c r="A10" s="10"/>
      <c r="B10" s="15">
        <f>IF($A10="","",SUMIFS(Movimientos!$I$5:$I$604,Movimientos!$C$5:$C$604,$A10,Movimientos!$A$5:$A$604,"&lt;"&amp;DATE($B$3,1,1)))</f>
      </c>
      <c r="C10" s="15">
        <f>IF($A10="","",SUMIFS(Movimientos!$I$5:$I$604,Movimientos!$C$5:$C$604,$A10,Movimientos!$J$5:$J$604,$B$3,Movimientos!$I$5:$I$604,1))</f>
      </c>
      <c r="D10" s="15">
        <f>IF($A10="","",COUNTIFS(Movimientos!$C$5:$C$604,$A10,Movimientos!$J$5:$J$604,$B$3,Movimientos!$D$5:$D$604,"Baja"))</f>
      </c>
      <c r="E10" s="15">
        <f>IF($A10="","",COUNTIFS(Movimientos!$C$5:$C$604,$A10,Movimientos!$J$5:$J$604,$B$3,Movimientos!$D$5:$D$604,"Traslado saliente"))</f>
      </c>
      <c r="F10" s="15">
        <f>IF($A10="","",B10+C10-D10-E10)</f>
      </c>
      <c r="G10" s="15">
        <f>IF($A10="","",SUMIFS(Movimientos!$I$5:$I$604,Movimientos!$C$5:$C$604,$A10))</f>
      </c>
      <c r="H10" s="13">
        <f>IF($A10="","",IF(F10=SUMIFS(Movimientos!$I$5:$I$604,Movimientos!$C$5:$C$604,$A10,Movimientos!$A$5:$A$604,"&lt;"&amp;DATE($B$3+1,1,1)),"Coincide","Revisa los movimientos"))</f>
      </c>
    </row>
    <row r="11" spans="1:8" x14ac:dyDescent="0.25">
      <c r="A11" s="10"/>
      <c r="B11" s="15">
        <f>IF($A11="","",SUMIFS(Movimientos!$I$5:$I$604,Movimientos!$C$5:$C$604,$A11,Movimientos!$A$5:$A$604,"&lt;"&amp;DATE($B$3,1,1)))</f>
      </c>
      <c r="C11" s="15">
        <f>IF($A11="","",SUMIFS(Movimientos!$I$5:$I$604,Movimientos!$C$5:$C$604,$A11,Movimientos!$J$5:$J$604,$B$3,Movimientos!$I$5:$I$604,1))</f>
      </c>
      <c r="D11" s="15">
        <f>IF($A11="","",COUNTIFS(Movimientos!$C$5:$C$604,$A11,Movimientos!$J$5:$J$604,$B$3,Movimientos!$D$5:$D$604,"Baja"))</f>
      </c>
      <c r="E11" s="15">
        <f>IF($A11="","",COUNTIFS(Movimientos!$C$5:$C$604,$A11,Movimientos!$J$5:$J$604,$B$3,Movimientos!$D$5:$D$604,"Traslado saliente"))</f>
      </c>
      <c r="F11" s="15">
        <f>IF($A11="","",B11+C11-D11-E11)</f>
      </c>
      <c r="G11" s="15">
        <f>IF($A11="","",SUMIFS(Movimientos!$I$5:$I$604,Movimientos!$C$5:$C$604,$A11))</f>
      </c>
      <c r="H11" s="13">
        <f>IF($A11="","",IF(F11=SUMIFS(Movimientos!$I$5:$I$604,Movimientos!$C$5:$C$604,$A11,Movimientos!$A$5:$A$604,"&lt;"&amp;DATE($B$3+1,1,1)),"Coincide","Revisa los movimientos"))</f>
      </c>
    </row>
    <row r="12" spans="1:8" x14ac:dyDescent="0.25">
      <c r="A12" s="10"/>
      <c r="B12" s="15">
        <f>IF($A12="","",SUMIFS(Movimientos!$I$5:$I$604,Movimientos!$C$5:$C$604,$A12,Movimientos!$A$5:$A$604,"&lt;"&amp;DATE($B$3,1,1)))</f>
      </c>
      <c r="C12" s="15">
        <f>IF($A12="","",SUMIFS(Movimientos!$I$5:$I$604,Movimientos!$C$5:$C$604,$A12,Movimientos!$J$5:$J$604,$B$3,Movimientos!$I$5:$I$604,1))</f>
      </c>
      <c r="D12" s="15">
        <f>IF($A12="","",COUNTIFS(Movimientos!$C$5:$C$604,$A12,Movimientos!$J$5:$J$604,$B$3,Movimientos!$D$5:$D$604,"Baja"))</f>
      </c>
      <c r="E12" s="15">
        <f>IF($A12="","",COUNTIFS(Movimientos!$C$5:$C$604,$A12,Movimientos!$J$5:$J$604,$B$3,Movimientos!$D$5:$D$604,"Traslado saliente"))</f>
      </c>
      <c r="F12" s="15">
        <f>IF($A12="","",B12+C12-D12-E12)</f>
      </c>
      <c r="G12" s="15">
        <f>IF($A12="","",SUMIFS(Movimientos!$I$5:$I$604,Movimientos!$C$5:$C$604,$A12))</f>
      </c>
      <c r="H12" s="13">
        <f>IF($A12="","",IF(F12=SUMIFS(Movimientos!$I$5:$I$604,Movimientos!$C$5:$C$604,$A12,Movimientos!$A$5:$A$604,"&lt;"&amp;DATE($B$3+1,1,1)),"Coincide","Revisa los movimientos"))</f>
      </c>
    </row>
    <row r="13" spans="1:8" x14ac:dyDescent="0.25">
      <c r="A13" s="10"/>
      <c r="B13" s="15">
        <f>IF($A13="","",SUMIFS(Movimientos!$I$5:$I$604,Movimientos!$C$5:$C$604,$A13,Movimientos!$A$5:$A$604,"&lt;"&amp;DATE($B$3,1,1)))</f>
      </c>
      <c r="C13" s="15">
        <f>IF($A13="","",SUMIFS(Movimientos!$I$5:$I$604,Movimientos!$C$5:$C$604,$A13,Movimientos!$J$5:$J$604,$B$3,Movimientos!$I$5:$I$604,1))</f>
      </c>
      <c r="D13" s="15">
        <f>IF($A13="","",COUNTIFS(Movimientos!$C$5:$C$604,$A13,Movimientos!$J$5:$J$604,$B$3,Movimientos!$D$5:$D$604,"Baja"))</f>
      </c>
      <c r="E13" s="15">
        <f>IF($A13="","",COUNTIFS(Movimientos!$C$5:$C$604,$A13,Movimientos!$J$5:$J$604,$B$3,Movimientos!$D$5:$D$604,"Traslado saliente"))</f>
      </c>
      <c r="F13" s="15">
        <f>IF($A13="","",B13+C13-D13-E13)</f>
      </c>
      <c r="G13" s="15">
        <f>IF($A13="","",SUMIFS(Movimientos!$I$5:$I$604,Movimientos!$C$5:$C$604,$A13))</f>
      </c>
      <c r="H13" s="13">
        <f>IF($A13="","",IF(F13=SUMIFS(Movimientos!$I$5:$I$604,Movimientos!$C$5:$C$604,$A13,Movimientos!$A$5:$A$604,"&lt;"&amp;DATE($B$3+1,1,1)),"Coincide","Revisa los movimientos"))</f>
      </c>
    </row>
    <row r="14" spans="1:8" x14ac:dyDescent="0.25">
      <c r="A14" s="10"/>
      <c r="B14" s="15">
        <f>IF($A14="","",SUMIFS(Movimientos!$I$5:$I$604,Movimientos!$C$5:$C$604,$A14,Movimientos!$A$5:$A$604,"&lt;"&amp;DATE($B$3,1,1)))</f>
      </c>
      <c r="C14" s="15">
        <f>IF($A14="","",SUMIFS(Movimientos!$I$5:$I$604,Movimientos!$C$5:$C$604,$A14,Movimientos!$J$5:$J$604,$B$3,Movimientos!$I$5:$I$604,1))</f>
      </c>
      <c r="D14" s="15">
        <f>IF($A14="","",COUNTIFS(Movimientos!$C$5:$C$604,$A14,Movimientos!$J$5:$J$604,$B$3,Movimientos!$D$5:$D$604,"Baja"))</f>
      </c>
      <c r="E14" s="15">
        <f>IF($A14="","",COUNTIFS(Movimientos!$C$5:$C$604,$A14,Movimientos!$J$5:$J$604,$B$3,Movimientos!$D$5:$D$604,"Traslado saliente"))</f>
      </c>
      <c r="F14" s="15">
        <f>IF($A14="","",B14+C14-D14-E14)</f>
      </c>
      <c r="G14" s="15">
        <f>IF($A14="","",SUMIFS(Movimientos!$I$5:$I$604,Movimientos!$C$5:$C$604,$A14))</f>
      </c>
      <c r="H14" s="13">
        <f>IF($A14="","",IF(F14=SUMIFS(Movimientos!$I$5:$I$604,Movimientos!$C$5:$C$604,$A14,Movimientos!$A$5:$A$604,"&lt;"&amp;DATE($B$3+1,1,1)),"Coincide","Revisa los movimientos"))</f>
      </c>
    </row>
    <row r="15" spans="1:8" x14ac:dyDescent="0.25">
      <c r="A15" s="10"/>
      <c r="B15" s="15">
        <f>IF($A15="","",SUMIFS(Movimientos!$I$5:$I$604,Movimientos!$C$5:$C$604,$A15,Movimientos!$A$5:$A$604,"&lt;"&amp;DATE($B$3,1,1)))</f>
      </c>
      <c r="C15" s="15">
        <f>IF($A15="","",SUMIFS(Movimientos!$I$5:$I$604,Movimientos!$C$5:$C$604,$A15,Movimientos!$J$5:$J$604,$B$3,Movimientos!$I$5:$I$604,1))</f>
      </c>
      <c r="D15" s="15">
        <f>IF($A15="","",COUNTIFS(Movimientos!$C$5:$C$604,$A15,Movimientos!$J$5:$J$604,$B$3,Movimientos!$D$5:$D$604,"Baja"))</f>
      </c>
      <c r="E15" s="15">
        <f>IF($A15="","",COUNTIFS(Movimientos!$C$5:$C$604,$A15,Movimientos!$J$5:$J$604,$B$3,Movimientos!$D$5:$D$604,"Traslado saliente"))</f>
      </c>
      <c r="F15" s="15">
        <f>IF($A15="","",B15+C15-D15-E15)</f>
      </c>
      <c r="G15" s="15">
        <f>IF($A15="","",SUMIFS(Movimientos!$I$5:$I$604,Movimientos!$C$5:$C$604,$A15))</f>
      </c>
      <c r="H15" s="13">
        <f>IF($A15="","",IF(F15=SUMIFS(Movimientos!$I$5:$I$604,Movimientos!$C$5:$C$604,$A15,Movimientos!$A$5:$A$604,"&lt;"&amp;DATE($B$3+1,1,1)),"Coincide","Revisa los movimientos"))</f>
      </c>
    </row>
    <row r="16" spans="1:8" x14ac:dyDescent="0.25">
      <c r="A16" s="10"/>
      <c r="B16" s="15">
        <f>IF($A16="","",SUMIFS(Movimientos!$I$5:$I$604,Movimientos!$C$5:$C$604,$A16,Movimientos!$A$5:$A$604,"&lt;"&amp;DATE($B$3,1,1)))</f>
      </c>
      <c r="C16" s="15">
        <f>IF($A16="","",SUMIFS(Movimientos!$I$5:$I$604,Movimientos!$C$5:$C$604,$A16,Movimientos!$J$5:$J$604,$B$3,Movimientos!$I$5:$I$604,1))</f>
      </c>
      <c r="D16" s="15">
        <f>IF($A16="","",COUNTIFS(Movimientos!$C$5:$C$604,$A16,Movimientos!$J$5:$J$604,$B$3,Movimientos!$D$5:$D$604,"Baja"))</f>
      </c>
      <c r="E16" s="15">
        <f>IF($A16="","",COUNTIFS(Movimientos!$C$5:$C$604,$A16,Movimientos!$J$5:$J$604,$B$3,Movimientos!$D$5:$D$604,"Traslado saliente"))</f>
      </c>
      <c r="F16" s="15">
        <f>IF($A16="","",B16+C16-D16-E16)</f>
      </c>
      <c r="G16" s="15">
        <f>IF($A16="","",SUMIFS(Movimientos!$I$5:$I$604,Movimientos!$C$5:$C$604,$A16))</f>
      </c>
      <c r="H16" s="13">
        <f>IF($A16="","",IF(F16=SUMIFS(Movimientos!$I$5:$I$604,Movimientos!$C$5:$C$604,$A16,Movimientos!$A$5:$A$604,"&lt;"&amp;DATE($B$3+1,1,1)),"Coincide","Revisa los movimientos"))</f>
      </c>
    </row>
    <row r="17" spans="1:8" x14ac:dyDescent="0.25">
      <c r="A17" s="10"/>
      <c r="B17" s="15">
        <f>IF($A17="","",SUMIFS(Movimientos!$I$5:$I$604,Movimientos!$C$5:$C$604,$A17,Movimientos!$A$5:$A$604,"&lt;"&amp;DATE($B$3,1,1)))</f>
      </c>
      <c r="C17" s="15">
        <f>IF($A17="","",SUMIFS(Movimientos!$I$5:$I$604,Movimientos!$C$5:$C$604,$A17,Movimientos!$J$5:$J$604,$B$3,Movimientos!$I$5:$I$604,1))</f>
      </c>
      <c r="D17" s="15">
        <f>IF($A17="","",COUNTIFS(Movimientos!$C$5:$C$604,$A17,Movimientos!$J$5:$J$604,$B$3,Movimientos!$D$5:$D$604,"Baja"))</f>
      </c>
      <c r="E17" s="15">
        <f>IF($A17="","",COUNTIFS(Movimientos!$C$5:$C$604,$A17,Movimientos!$J$5:$J$604,$B$3,Movimientos!$D$5:$D$604,"Traslado saliente"))</f>
      </c>
      <c r="F17" s="15">
        <f>IF($A17="","",B17+C17-D17-E17)</f>
      </c>
      <c r="G17" s="15">
        <f>IF($A17="","",SUMIFS(Movimientos!$I$5:$I$604,Movimientos!$C$5:$C$604,$A17))</f>
      </c>
      <c r="H17" s="13">
        <f>IF($A17="","",IF(F17=SUMIFS(Movimientos!$I$5:$I$604,Movimientos!$C$5:$C$604,$A17,Movimientos!$A$5:$A$604,"&lt;"&amp;DATE($B$3+1,1,1)),"Coincide","Revisa los movimientos"))</f>
      </c>
    </row>
    <row r="18" spans="1:8" x14ac:dyDescent="0.25">
      <c r="A18" s="10"/>
      <c r="B18" s="15">
        <f>IF($A18="","",SUMIFS(Movimientos!$I$5:$I$604,Movimientos!$C$5:$C$604,$A18,Movimientos!$A$5:$A$604,"&lt;"&amp;DATE($B$3,1,1)))</f>
      </c>
      <c r="C18" s="15">
        <f>IF($A18="","",SUMIFS(Movimientos!$I$5:$I$604,Movimientos!$C$5:$C$604,$A18,Movimientos!$J$5:$J$604,$B$3,Movimientos!$I$5:$I$604,1))</f>
      </c>
      <c r="D18" s="15">
        <f>IF($A18="","",COUNTIFS(Movimientos!$C$5:$C$604,$A18,Movimientos!$J$5:$J$604,$B$3,Movimientos!$D$5:$D$604,"Baja"))</f>
      </c>
      <c r="E18" s="15">
        <f>IF($A18="","",COUNTIFS(Movimientos!$C$5:$C$604,$A18,Movimientos!$J$5:$J$604,$B$3,Movimientos!$D$5:$D$604,"Traslado saliente"))</f>
      </c>
      <c r="F18" s="15">
        <f>IF($A18="","",B18+C18-D18-E18)</f>
      </c>
      <c r="G18" s="15">
        <f>IF($A18="","",SUMIFS(Movimientos!$I$5:$I$604,Movimientos!$C$5:$C$604,$A18))</f>
      </c>
      <c r="H18" s="13">
        <f>IF($A18="","",IF(F18=SUMIFS(Movimientos!$I$5:$I$604,Movimientos!$C$5:$C$604,$A18,Movimientos!$A$5:$A$604,"&lt;"&amp;DATE($B$3+1,1,1)),"Coincide","Revisa los movimientos"))</f>
      </c>
    </row>
    <row r="19" spans="1:8" x14ac:dyDescent="0.25">
      <c r="A19" s="10"/>
      <c r="B19" s="15">
        <f>IF($A19="","",SUMIFS(Movimientos!$I$5:$I$604,Movimientos!$C$5:$C$604,$A19,Movimientos!$A$5:$A$604,"&lt;"&amp;DATE($B$3,1,1)))</f>
      </c>
      <c r="C19" s="15">
        <f>IF($A19="","",SUMIFS(Movimientos!$I$5:$I$604,Movimientos!$C$5:$C$604,$A19,Movimientos!$J$5:$J$604,$B$3,Movimientos!$I$5:$I$604,1))</f>
      </c>
      <c r="D19" s="15">
        <f>IF($A19="","",COUNTIFS(Movimientos!$C$5:$C$604,$A19,Movimientos!$J$5:$J$604,$B$3,Movimientos!$D$5:$D$604,"Baja"))</f>
      </c>
      <c r="E19" s="15">
        <f>IF($A19="","",COUNTIFS(Movimientos!$C$5:$C$604,$A19,Movimientos!$J$5:$J$604,$B$3,Movimientos!$D$5:$D$604,"Traslado saliente"))</f>
      </c>
      <c r="F19" s="15">
        <f>IF($A19="","",B19+C19-D19-E19)</f>
      </c>
      <c r="G19" s="15">
        <f>IF($A19="","",SUMIFS(Movimientos!$I$5:$I$604,Movimientos!$C$5:$C$604,$A19))</f>
      </c>
      <c r="H19" s="13">
        <f>IF($A19="","",IF(F19=SUMIFS(Movimientos!$I$5:$I$604,Movimientos!$C$5:$C$604,$A19,Movimientos!$A$5:$A$604,"&lt;"&amp;DATE($B$3+1,1,1)),"Coincide","Revisa los movimientos"))</f>
      </c>
    </row>
    <row r="20" spans="1:8" x14ac:dyDescent="0.25">
      <c r="A20" s="10"/>
      <c r="B20" s="15">
        <f>IF($A20="","",SUMIFS(Movimientos!$I$5:$I$604,Movimientos!$C$5:$C$604,$A20,Movimientos!$A$5:$A$604,"&lt;"&amp;DATE($B$3,1,1)))</f>
      </c>
      <c r="C20" s="15">
        <f>IF($A20="","",SUMIFS(Movimientos!$I$5:$I$604,Movimientos!$C$5:$C$604,$A20,Movimientos!$J$5:$J$604,$B$3,Movimientos!$I$5:$I$604,1))</f>
      </c>
      <c r="D20" s="15">
        <f>IF($A20="","",COUNTIFS(Movimientos!$C$5:$C$604,$A20,Movimientos!$J$5:$J$604,$B$3,Movimientos!$D$5:$D$604,"Baja"))</f>
      </c>
      <c r="E20" s="15">
        <f>IF($A20="","",COUNTIFS(Movimientos!$C$5:$C$604,$A20,Movimientos!$J$5:$J$604,$B$3,Movimientos!$D$5:$D$604,"Traslado saliente"))</f>
      </c>
      <c r="F20" s="15">
        <f>IF($A20="","",B20+C20-D20-E20)</f>
      </c>
      <c r="G20" s="15">
        <f>IF($A20="","",SUMIFS(Movimientos!$I$5:$I$604,Movimientos!$C$5:$C$604,$A20))</f>
      </c>
      <c r="H20" s="13">
        <f>IF($A20="","",IF(F20=SUMIFS(Movimientos!$I$5:$I$604,Movimientos!$C$5:$C$604,$A20,Movimientos!$A$5:$A$604,"&lt;"&amp;DATE($B$3+1,1,1)),"Coincide","Revisa los movimientos"))</f>
      </c>
    </row>
    <row r="21" spans="1:8" x14ac:dyDescent="0.25">
      <c r="A21" s="10"/>
      <c r="B21" s="15">
        <f>IF($A21="","",SUMIFS(Movimientos!$I$5:$I$604,Movimientos!$C$5:$C$604,$A21,Movimientos!$A$5:$A$604,"&lt;"&amp;DATE($B$3,1,1)))</f>
      </c>
      <c r="C21" s="15">
        <f>IF($A21="","",SUMIFS(Movimientos!$I$5:$I$604,Movimientos!$C$5:$C$604,$A21,Movimientos!$J$5:$J$604,$B$3,Movimientos!$I$5:$I$604,1))</f>
      </c>
      <c r="D21" s="15">
        <f>IF($A21="","",COUNTIFS(Movimientos!$C$5:$C$604,$A21,Movimientos!$J$5:$J$604,$B$3,Movimientos!$D$5:$D$604,"Baja"))</f>
      </c>
      <c r="E21" s="15">
        <f>IF($A21="","",COUNTIFS(Movimientos!$C$5:$C$604,$A21,Movimientos!$J$5:$J$604,$B$3,Movimientos!$D$5:$D$604,"Traslado saliente"))</f>
      </c>
      <c r="F21" s="15">
        <f>IF($A21="","",B21+C21-D21-E21)</f>
      </c>
      <c r="G21" s="15">
        <f>IF($A21="","",SUMIFS(Movimientos!$I$5:$I$604,Movimientos!$C$5:$C$604,$A21))</f>
      </c>
      <c r="H21" s="13">
        <f>IF($A21="","",IF(F21=SUMIFS(Movimientos!$I$5:$I$604,Movimientos!$C$5:$C$604,$A21,Movimientos!$A$5:$A$604,"&lt;"&amp;DATE($B$3+1,1,1)),"Coincide","Revisa los movimientos"))</f>
      </c>
    </row>
    <row r="22" spans="1:8" x14ac:dyDescent="0.25">
      <c r="A22" s="10"/>
      <c r="B22" s="15">
        <f>IF($A22="","",SUMIFS(Movimientos!$I$5:$I$604,Movimientos!$C$5:$C$604,$A22,Movimientos!$A$5:$A$604,"&lt;"&amp;DATE($B$3,1,1)))</f>
      </c>
      <c r="C22" s="15">
        <f>IF($A22="","",SUMIFS(Movimientos!$I$5:$I$604,Movimientos!$C$5:$C$604,$A22,Movimientos!$J$5:$J$604,$B$3,Movimientos!$I$5:$I$604,1))</f>
      </c>
      <c r="D22" s="15">
        <f>IF($A22="","",COUNTIFS(Movimientos!$C$5:$C$604,$A22,Movimientos!$J$5:$J$604,$B$3,Movimientos!$D$5:$D$604,"Baja"))</f>
      </c>
      <c r="E22" s="15">
        <f>IF($A22="","",COUNTIFS(Movimientos!$C$5:$C$604,$A22,Movimientos!$J$5:$J$604,$B$3,Movimientos!$D$5:$D$604,"Traslado saliente"))</f>
      </c>
      <c r="F22" s="15">
        <f>IF($A22="","",B22+C22-D22-E22)</f>
      </c>
      <c r="G22" s="15">
        <f>IF($A22="","",SUMIFS(Movimientos!$I$5:$I$604,Movimientos!$C$5:$C$604,$A22))</f>
      </c>
      <c r="H22" s="13">
        <f>IF($A22="","",IF(F22=SUMIFS(Movimientos!$I$5:$I$604,Movimientos!$C$5:$C$604,$A22,Movimientos!$A$5:$A$604,"&lt;"&amp;DATE($B$3+1,1,1)),"Coincide","Revisa los movimientos"))</f>
      </c>
    </row>
    <row r="23" spans="1:8" x14ac:dyDescent="0.25">
      <c r="A23" s="10"/>
      <c r="B23" s="15">
        <f>IF($A23="","",SUMIFS(Movimientos!$I$5:$I$604,Movimientos!$C$5:$C$604,$A23,Movimientos!$A$5:$A$604,"&lt;"&amp;DATE($B$3,1,1)))</f>
      </c>
      <c r="C23" s="15">
        <f>IF($A23="","",SUMIFS(Movimientos!$I$5:$I$604,Movimientos!$C$5:$C$604,$A23,Movimientos!$J$5:$J$604,$B$3,Movimientos!$I$5:$I$604,1))</f>
      </c>
      <c r="D23" s="15">
        <f>IF($A23="","",COUNTIFS(Movimientos!$C$5:$C$604,$A23,Movimientos!$J$5:$J$604,$B$3,Movimientos!$D$5:$D$604,"Baja"))</f>
      </c>
      <c r="E23" s="15">
        <f>IF($A23="","",COUNTIFS(Movimientos!$C$5:$C$604,$A23,Movimientos!$J$5:$J$604,$B$3,Movimientos!$D$5:$D$604,"Traslado saliente"))</f>
      </c>
      <c r="F23" s="15">
        <f>IF($A23="","",B23+C23-D23-E23)</f>
      </c>
      <c r="G23" s="15">
        <f>IF($A23="","",SUMIFS(Movimientos!$I$5:$I$604,Movimientos!$C$5:$C$604,$A23))</f>
      </c>
      <c r="H23" s="13">
        <f>IF($A23="","",IF(F23=SUMIFS(Movimientos!$I$5:$I$604,Movimientos!$C$5:$C$604,$A23,Movimientos!$A$5:$A$604,"&lt;"&amp;DATE($B$3+1,1,1)),"Coincide","Revisa los movimientos"))</f>
      </c>
    </row>
    <row r="24" spans="1:8" x14ac:dyDescent="0.25">
      <c r="A24" s="10"/>
      <c r="B24" s="15">
        <f>IF($A24="","",SUMIFS(Movimientos!$I$5:$I$604,Movimientos!$C$5:$C$604,$A24,Movimientos!$A$5:$A$604,"&lt;"&amp;DATE($B$3,1,1)))</f>
      </c>
      <c r="C24" s="15">
        <f>IF($A24="","",SUMIFS(Movimientos!$I$5:$I$604,Movimientos!$C$5:$C$604,$A24,Movimientos!$J$5:$J$604,$B$3,Movimientos!$I$5:$I$604,1))</f>
      </c>
      <c r="D24" s="15">
        <f>IF($A24="","",COUNTIFS(Movimientos!$C$5:$C$604,$A24,Movimientos!$J$5:$J$604,$B$3,Movimientos!$D$5:$D$604,"Baja"))</f>
      </c>
      <c r="E24" s="15">
        <f>IF($A24="","",COUNTIFS(Movimientos!$C$5:$C$604,$A24,Movimientos!$J$5:$J$604,$B$3,Movimientos!$D$5:$D$604,"Traslado saliente"))</f>
      </c>
      <c r="F24" s="15">
        <f>IF($A24="","",B24+C24-D24-E24)</f>
      </c>
      <c r="G24" s="15">
        <f>IF($A24="","",SUMIFS(Movimientos!$I$5:$I$604,Movimientos!$C$5:$C$604,$A24))</f>
      </c>
      <c r="H24" s="13">
        <f>IF($A24="","",IF(F24=SUMIFS(Movimientos!$I$5:$I$604,Movimientos!$C$5:$C$604,$A24,Movimientos!$A$5:$A$604,"&lt;"&amp;DATE($B$3+1,1,1)),"Coincide","Revisa los movimientos"))</f>
      </c>
    </row>
    <row r="25" spans="1:8" x14ac:dyDescent="0.25">
      <c r="A25" s="10"/>
      <c r="B25" s="15">
        <f>IF($A25="","",SUMIFS(Movimientos!$I$5:$I$604,Movimientos!$C$5:$C$604,$A25,Movimientos!$A$5:$A$604,"&lt;"&amp;DATE($B$3,1,1)))</f>
      </c>
      <c r="C25" s="15">
        <f>IF($A25="","",SUMIFS(Movimientos!$I$5:$I$604,Movimientos!$C$5:$C$604,$A25,Movimientos!$J$5:$J$604,$B$3,Movimientos!$I$5:$I$604,1))</f>
      </c>
      <c r="D25" s="15">
        <f>IF($A25="","",COUNTIFS(Movimientos!$C$5:$C$604,$A25,Movimientos!$J$5:$J$604,$B$3,Movimientos!$D$5:$D$604,"Baja"))</f>
      </c>
      <c r="E25" s="15">
        <f>IF($A25="","",COUNTIFS(Movimientos!$C$5:$C$604,$A25,Movimientos!$J$5:$J$604,$B$3,Movimientos!$D$5:$D$604,"Traslado saliente"))</f>
      </c>
      <c r="F25" s="15">
        <f>IF($A25="","",B25+C25-D25-E25)</f>
      </c>
      <c r="G25" s="15">
        <f>IF($A25="","",SUMIFS(Movimientos!$I$5:$I$604,Movimientos!$C$5:$C$604,$A25))</f>
      </c>
      <c r="H25" s="13">
        <f>IF($A25="","",IF(F25=SUMIFS(Movimientos!$I$5:$I$604,Movimientos!$C$5:$C$604,$A25,Movimientos!$A$5:$A$604,"&lt;"&amp;DATE($B$3+1,1,1)),"Coincide","Revisa los movimientos"))</f>
      </c>
    </row>
    <row r="26" spans="1:8" x14ac:dyDescent="0.25">
      <c r="A26" s="10"/>
      <c r="B26" s="15">
        <f>IF($A26="","",SUMIFS(Movimientos!$I$5:$I$604,Movimientos!$C$5:$C$604,$A26,Movimientos!$A$5:$A$604,"&lt;"&amp;DATE($B$3,1,1)))</f>
      </c>
      <c r="C26" s="15">
        <f>IF($A26="","",SUMIFS(Movimientos!$I$5:$I$604,Movimientos!$C$5:$C$604,$A26,Movimientos!$J$5:$J$604,$B$3,Movimientos!$I$5:$I$604,1))</f>
      </c>
      <c r="D26" s="15">
        <f>IF($A26="","",COUNTIFS(Movimientos!$C$5:$C$604,$A26,Movimientos!$J$5:$J$604,$B$3,Movimientos!$D$5:$D$604,"Baja"))</f>
      </c>
      <c r="E26" s="15">
        <f>IF($A26="","",COUNTIFS(Movimientos!$C$5:$C$604,$A26,Movimientos!$J$5:$J$604,$B$3,Movimientos!$D$5:$D$604,"Traslado saliente"))</f>
      </c>
      <c r="F26" s="15">
        <f>IF($A26="","",B26+C26-D26-E26)</f>
      </c>
      <c r="G26" s="15">
        <f>IF($A26="","",SUMIFS(Movimientos!$I$5:$I$604,Movimientos!$C$5:$C$604,$A26))</f>
      </c>
      <c r="H26" s="13">
        <f>IF($A26="","",IF(F26=SUMIFS(Movimientos!$I$5:$I$604,Movimientos!$C$5:$C$604,$A26,Movimientos!$A$5:$A$604,"&lt;"&amp;DATE($B$3+1,1,1)),"Coincide","Revisa los movimientos"))</f>
      </c>
    </row>
    <row r="27" spans="1:8" x14ac:dyDescent="0.25">
      <c r="A27" s="10"/>
      <c r="B27" s="15">
        <f>IF($A27="","",SUMIFS(Movimientos!$I$5:$I$604,Movimientos!$C$5:$C$604,$A27,Movimientos!$A$5:$A$604,"&lt;"&amp;DATE($B$3,1,1)))</f>
      </c>
      <c r="C27" s="15">
        <f>IF($A27="","",SUMIFS(Movimientos!$I$5:$I$604,Movimientos!$C$5:$C$604,$A27,Movimientos!$J$5:$J$604,$B$3,Movimientos!$I$5:$I$604,1))</f>
      </c>
      <c r="D27" s="15">
        <f>IF($A27="","",COUNTIFS(Movimientos!$C$5:$C$604,$A27,Movimientos!$J$5:$J$604,$B$3,Movimientos!$D$5:$D$604,"Baja"))</f>
      </c>
      <c r="E27" s="15">
        <f>IF($A27="","",COUNTIFS(Movimientos!$C$5:$C$604,$A27,Movimientos!$J$5:$J$604,$B$3,Movimientos!$D$5:$D$604,"Traslado saliente"))</f>
      </c>
      <c r="F27" s="15">
        <f>IF($A27="","",B27+C27-D27-E27)</f>
      </c>
      <c r="G27" s="15">
        <f>IF($A27="","",SUMIFS(Movimientos!$I$5:$I$604,Movimientos!$C$5:$C$604,$A27))</f>
      </c>
      <c r="H27" s="13">
        <f>IF($A27="","",IF(F27=SUMIFS(Movimientos!$I$5:$I$604,Movimientos!$C$5:$C$604,$A27,Movimientos!$A$5:$A$604,"&lt;"&amp;DATE($B$3+1,1,1)),"Coincide","Revisa los movimientos"))</f>
      </c>
    </row>
    <row r="28" spans="1:8" x14ac:dyDescent="0.25">
      <c r="A28" s="10"/>
      <c r="B28" s="15">
        <f>IF($A28="","",SUMIFS(Movimientos!$I$5:$I$604,Movimientos!$C$5:$C$604,$A28,Movimientos!$A$5:$A$604,"&lt;"&amp;DATE($B$3,1,1)))</f>
      </c>
      <c r="C28" s="15">
        <f>IF($A28="","",SUMIFS(Movimientos!$I$5:$I$604,Movimientos!$C$5:$C$604,$A28,Movimientos!$J$5:$J$604,$B$3,Movimientos!$I$5:$I$604,1))</f>
      </c>
      <c r="D28" s="15">
        <f>IF($A28="","",COUNTIFS(Movimientos!$C$5:$C$604,$A28,Movimientos!$J$5:$J$604,$B$3,Movimientos!$D$5:$D$604,"Baja"))</f>
      </c>
      <c r="E28" s="15">
        <f>IF($A28="","",COUNTIFS(Movimientos!$C$5:$C$604,$A28,Movimientos!$J$5:$J$604,$B$3,Movimientos!$D$5:$D$604,"Traslado saliente"))</f>
      </c>
      <c r="F28" s="15">
        <f>IF($A28="","",B28+C28-D28-E28)</f>
      </c>
      <c r="G28" s="15">
        <f>IF($A28="","",SUMIFS(Movimientos!$I$5:$I$604,Movimientos!$C$5:$C$604,$A28))</f>
      </c>
      <c r="H28" s="13">
        <f>IF($A28="","",IF(F28=SUMIFS(Movimientos!$I$5:$I$604,Movimientos!$C$5:$C$604,$A28,Movimientos!$A$5:$A$604,"&lt;"&amp;DATE($B$3+1,1,1)),"Coincide","Revisa los movimientos"))</f>
      </c>
    </row>
    <row r="29" spans="1:8" x14ac:dyDescent="0.25">
      <c r="A29" s="10"/>
      <c r="B29" s="15">
        <f>IF($A29="","",SUMIFS(Movimientos!$I$5:$I$604,Movimientos!$C$5:$C$604,$A29,Movimientos!$A$5:$A$604,"&lt;"&amp;DATE($B$3,1,1)))</f>
      </c>
      <c r="C29" s="15">
        <f>IF($A29="","",SUMIFS(Movimientos!$I$5:$I$604,Movimientos!$C$5:$C$604,$A29,Movimientos!$J$5:$J$604,$B$3,Movimientos!$I$5:$I$604,1))</f>
      </c>
      <c r="D29" s="15">
        <f>IF($A29="","",COUNTIFS(Movimientos!$C$5:$C$604,$A29,Movimientos!$J$5:$J$604,$B$3,Movimientos!$D$5:$D$604,"Baja"))</f>
      </c>
      <c r="E29" s="15">
        <f>IF($A29="","",COUNTIFS(Movimientos!$C$5:$C$604,$A29,Movimientos!$J$5:$J$604,$B$3,Movimientos!$D$5:$D$604,"Traslado saliente"))</f>
      </c>
      <c r="F29" s="15">
        <f>IF($A29="","",B29+C29-D29-E29)</f>
      </c>
      <c r="G29" s="15">
        <f>IF($A29="","",SUMIFS(Movimientos!$I$5:$I$604,Movimientos!$C$5:$C$604,$A29))</f>
      </c>
      <c r="H29" s="13">
        <f>IF($A29="","",IF(F29=SUMIFS(Movimientos!$I$5:$I$604,Movimientos!$C$5:$C$604,$A29,Movimientos!$A$5:$A$604,"&lt;"&amp;DATE($B$3+1,1,1)),"Coincide","Revisa los movimientos"))</f>
      </c>
    </row>
    <row r="30" spans="1:8" x14ac:dyDescent="0.25">
      <c r="A30" s="10"/>
      <c r="B30" s="15">
        <f>IF($A30="","",SUMIFS(Movimientos!$I$5:$I$604,Movimientos!$C$5:$C$604,$A30,Movimientos!$A$5:$A$604,"&lt;"&amp;DATE($B$3,1,1)))</f>
      </c>
      <c r="C30" s="15">
        <f>IF($A30="","",SUMIFS(Movimientos!$I$5:$I$604,Movimientos!$C$5:$C$604,$A30,Movimientos!$J$5:$J$604,$B$3,Movimientos!$I$5:$I$604,1))</f>
      </c>
      <c r="D30" s="15">
        <f>IF($A30="","",COUNTIFS(Movimientos!$C$5:$C$604,$A30,Movimientos!$J$5:$J$604,$B$3,Movimientos!$D$5:$D$604,"Baja"))</f>
      </c>
      <c r="E30" s="15">
        <f>IF($A30="","",COUNTIFS(Movimientos!$C$5:$C$604,$A30,Movimientos!$J$5:$J$604,$B$3,Movimientos!$D$5:$D$604,"Traslado saliente"))</f>
      </c>
      <c r="F30" s="15">
        <f>IF($A30="","",B30+C30-D30-E30)</f>
      </c>
      <c r="G30" s="15">
        <f>IF($A30="","",SUMIFS(Movimientos!$I$5:$I$604,Movimientos!$C$5:$C$604,$A30))</f>
      </c>
      <c r="H30" s="13">
        <f>IF($A30="","",IF(F30=SUMIFS(Movimientos!$I$5:$I$604,Movimientos!$C$5:$C$604,$A30,Movimientos!$A$5:$A$604,"&lt;"&amp;DATE($B$3+1,1,1)),"Coincide","Revisa los movimientos"))</f>
      </c>
    </row>
    <row r="31" spans="1:8" x14ac:dyDescent="0.25">
      <c r="A31" s="10"/>
      <c r="B31" s="15">
        <f>IF($A31="","",SUMIFS(Movimientos!$I$5:$I$604,Movimientos!$C$5:$C$604,$A31,Movimientos!$A$5:$A$604,"&lt;"&amp;DATE($B$3,1,1)))</f>
      </c>
      <c r="C31" s="15">
        <f>IF($A31="","",SUMIFS(Movimientos!$I$5:$I$604,Movimientos!$C$5:$C$604,$A31,Movimientos!$J$5:$J$604,$B$3,Movimientos!$I$5:$I$604,1))</f>
      </c>
      <c r="D31" s="15">
        <f>IF($A31="","",COUNTIFS(Movimientos!$C$5:$C$604,$A31,Movimientos!$J$5:$J$604,$B$3,Movimientos!$D$5:$D$604,"Baja"))</f>
      </c>
      <c r="E31" s="15">
        <f>IF($A31="","",COUNTIFS(Movimientos!$C$5:$C$604,$A31,Movimientos!$J$5:$J$604,$B$3,Movimientos!$D$5:$D$604,"Traslado saliente"))</f>
      </c>
      <c r="F31" s="15">
        <f>IF($A31="","",B31+C31-D31-E31)</f>
      </c>
      <c r="G31" s="15">
        <f>IF($A31="","",SUMIFS(Movimientos!$I$5:$I$604,Movimientos!$C$5:$C$604,$A31))</f>
      </c>
      <c r="H31" s="13">
        <f>IF($A31="","",IF(F31=SUMIFS(Movimientos!$I$5:$I$604,Movimientos!$C$5:$C$604,$A31,Movimientos!$A$5:$A$604,"&lt;"&amp;DATE($B$3+1,1,1)),"Coincide","Revisa los movimientos"))</f>
      </c>
    </row>
    <row r="32" spans="1:8" x14ac:dyDescent="0.25">
      <c r="A32" s="10"/>
      <c r="B32" s="15">
        <f>IF($A32="","",SUMIFS(Movimientos!$I$5:$I$604,Movimientos!$C$5:$C$604,$A32,Movimientos!$A$5:$A$604,"&lt;"&amp;DATE($B$3,1,1)))</f>
      </c>
      <c r="C32" s="15">
        <f>IF($A32="","",SUMIFS(Movimientos!$I$5:$I$604,Movimientos!$C$5:$C$604,$A32,Movimientos!$J$5:$J$604,$B$3,Movimientos!$I$5:$I$604,1))</f>
      </c>
      <c r="D32" s="15">
        <f>IF($A32="","",COUNTIFS(Movimientos!$C$5:$C$604,$A32,Movimientos!$J$5:$J$604,$B$3,Movimientos!$D$5:$D$604,"Baja"))</f>
      </c>
      <c r="E32" s="15">
        <f>IF($A32="","",COUNTIFS(Movimientos!$C$5:$C$604,$A32,Movimientos!$J$5:$J$604,$B$3,Movimientos!$D$5:$D$604,"Traslado saliente"))</f>
      </c>
      <c r="F32" s="15">
        <f>IF($A32="","",B32+C32-D32-E32)</f>
      </c>
      <c r="G32" s="15">
        <f>IF($A32="","",SUMIFS(Movimientos!$I$5:$I$604,Movimientos!$C$5:$C$604,$A32))</f>
      </c>
      <c r="H32" s="13">
        <f>IF($A32="","",IF(F32=SUMIFS(Movimientos!$I$5:$I$604,Movimientos!$C$5:$C$604,$A32,Movimientos!$A$5:$A$604,"&lt;"&amp;DATE($B$3+1,1,1)),"Coincide","Revisa los movimientos"))</f>
      </c>
    </row>
    <row r="33" spans="1:8" x14ac:dyDescent="0.25">
      <c r="A33" s="10"/>
      <c r="B33" s="15">
        <f>IF($A33="","",SUMIFS(Movimientos!$I$5:$I$604,Movimientos!$C$5:$C$604,$A33,Movimientos!$A$5:$A$604,"&lt;"&amp;DATE($B$3,1,1)))</f>
      </c>
      <c r="C33" s="15">
        <f>IF($A33="","",SUMIFS(Movimientos!$I$5:$I$604,Movimientos!$C$5:$C$604,$A33,Movimientos!$J$5:$J$604,$B$3,Movimientos!$I$5:$I$604,1))</f>
      </c>
      <c r="D33" s="15">
        <f>IF($A33="","",COUNTIFS(Movimientos!$C$5:$C$604,$A33,Movimientos!$J$5:$J$604,$B$3,Movimientos!$D$5:$D$604,"Baja"))</f>
      </c>
      <c r="E33" s="15">
        <f>IF($A33="","",COUNTIFS(Movimientos!$C$5:$C$604,$A33,Movimientos!$J$5:$J$604,$B$3,Movimientos!$D$5:$D$604,"Traslado saliente"))</f>
      </c>
      <c r="F33" s="15">
        <f>IF($A33="","",B33+C33-D33-E33)</f>
      </c>
      <c r="G33" s="15">
        <f>IF($A33="","",SUMIFS(Movimientos!$I$5:$I$604,Movimientos!$C$5:$C$604,$A33))</f>
      </c>
      <c r="H33" s="13">
        <f>IF($A33="","",IF(F33=SUMIFS(Movimientos!$I$5:$I$604,Movimientos!$C$5:$C$604,$A33,Movimientos!$A$5:$A$604,"&lt;"&amp;DATE($B$3+1,1,1)),"Coincide","Revisa los movimientos"))</f>
      </c>
    </row>
    <row r="34" spans="1:8" x14ac:dyDescent="0.25">
      <c r="A34" s="10"/>
      <c r="B34" s="15">
        <f>IF($A34="","",SUMIFS(Movimientos!$I$5:$I$604,Movimientos!$C$5:$C$604,$A34,Movimientos!$A$5:$A$604,"&lt;"&amp;DATE($B$3,1,1)))</f>
      </c>
      <c r="C34" s="15">
        <f>IF($A34="","",SUMIFS(Movimientos!$I$5:$I$604,Movimientos!$C$5:$C$604,$A34,Movimientos!$J$5:$J$604,$B$3,Movimientos!$I$5:$I$604,1))</f>
      </c>
      <c r="D34" s="15">
        <f>IF($A34="","",COUNTIFS(Movimientos!$C$5:$C$604,$A34,Movimientos!$J$5:$J$604,$B$3,Movimientos!$D$5:$D$604,"Baja"))</f>
      </c>
      <c r="E34" s="15">
        <f>IF($A34="","",COUNTIFS(Movimientos!$C$5:$C$604,$A34,Movimientos!$J$5:$J$604,$B$3,Movimientos!$D$5:$D$604,"Traslado saliente"))</f>
      </c>
      <c r="F34" s="15">
        <f>IF($A34="","",B34+C34-D34-E34)</f>
      </c>
      <c r="G34" s="15">
        <f>IF($A34="","",SUMIFS(Movimientos!$I$5:$I$604,Movimientos!$C$5:$C$604,$A34))</f>
      </c>
      <c r="H34" s="13">
        <f>IF($A34="","",IF(F34=SUMIFS(Movimientos!$I$5:$I$604,Movimientos!$C$5:$C$604,$A34,Movimientos!$A$5:$A$604,"&lt;"&amp;DATE($B$3+1,1,1)),"Coincide","Revisa los movimientos"))</f>
      </c>
    </row>
    <row r="35" spans="1:8" x14ac:dyDescent="0.25">
      <c r="A35" s="10"/>
      <c r="B35" s="15">
        <f>IF($A35="","",SUMIFS(Movimientos!$I$5:$I$604,Movimientos!$C$5:$C$604,$A35,Movimientos!$A$5:$A$604,"&lt;"&amp;DATE($B$3,1,1)))</f>
      </c>
      <c r="C35" s="15">
        <f>IF($A35="","",SUMIFS(Movimientos!$I$5:$I$604,Movimientos!$C$5:$C$604,$A35,Movimientos!$J$5:$J$604,$B$3,Movimientos!$I$5:$I$604,1))</f>
      </c>
      <c r="D35" s="15">
        <f>IF($A35="","",COUNTIFS(Movimientos!$C$5:$C$604,$A35,Movimientos!$J$5:$J$604,$B$3,Movimientos!$D$5:$D$604,"Baja"))</f>
      </c>
      <c r="E35" s="15">
        <f>IF($A35="","",COUNTIFS(Movimientos!$C$5:$C$604,$A35,Movimientos!$J$5:$J$604,$B$3,Movimientos!$D$5:$D$604,"Traslado saliente"))</f>
      </c>
      <c r="F35" s="15">
        <f>IF($A35="","",B35+C35-D35-E35)</f>
      </c>
      <c r="G35" s="15">
        <f>IF($A35="","",SUMIFS(Movimientos!$I$5:$I$604,Movimientos!$C$5:$C$604,$A35))</f>
      </c>
      <c r="H35" s="13">
        <f>IF($A35="","",IF(F35=SUMIFS(Movimientos!$I$5:$I$604,Movimientos!$C$5:$C$604,$A35,Movimientos!$A$5:$A$604,"&lt;"&amp;DATE($B$3+1,1,1)),"Coincide","Revisa los movimientos"))</f>
      </c>
    </row>
    <row r="36" spans="1:7" x14ac:dyDescent="0.25">
      <c r="A36" s="21" t="s">
        <v>102</v>
      </c>
      <c r="B36" s="22">
        <f>SUM(B6:B35)</f>
      </c>
      <c r="C36" s="22">
        <f>SUM(C6:C35)</f>
      </c>
      <c r="D36" s="22">
        <f>SUM(D6:D35)</f>
      </c>
      <c r="E36" s="22">
        <f>SUM(E6:E35)</f>
      </c>
      <c r="F36" s="22">
        <f>SUM(F6:F35)</f>
      </c>
      <c r="G36" s="22">
        <f>SUM(G6:G35)</f>
      </c>
    </row>
  </sheetData>
  <mergeCells count="2">
    <mergeCell ref="A1:H1"/>
    <mergeCell ref="A2:H2"/>
  </mergeCells>
  <conditionalFormatting sqref="H6:H35">
    <cfRule type="expression" dxfId="2" priority="24">
      <formula>LEFT($H6,6)="Revisa"</formula>
    </cfRule>
  </conditionalFormatting>
  <conditionalFormatting sqref="H6:H35">
    <cfRule type="expression" dxfId="3" priority="25">
      <formula>$H6="Coincide"</formula>
    </cfRule>
  </conditionalFormatting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Ejemplares</vt:lpstr>
      <vt:lpstr>Movimientos</vt:lpstr>
      <vt:lpstr>Resumen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Registro de ingresos, bajas y traslados de ejemplares</dc:title>
  <dc:subject>Registro interno de movimientos de ejemplares con resumen anual por especie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