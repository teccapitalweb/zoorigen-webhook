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hart1.xml" ContentType="application/vnd.openxmlformats-officedocument.drawingml.char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ciones" state="visible" r:id="rId4"/>
    <sheet sheetId="2" name="Ejemplares" state="visible" r:id="rId5"/>
    <sheet sheetId="3" name="Registro" state="visible" r:id="rId6"/>
    <sheet sheetId="4" name="Curva" state="visible" r:id="rId7"/>
  </sheets>
  <calcPr calcId="171027" fullCalcOnLoad="1"/>
</workbook>
</file>

<file path=xl/sharedStrings.xml><?xml version="1.0" encoding="utf-8"?>
<sst xmlns="http://schemas.openxmlformats.org/spreadsheetml/2006/main" count="89" uniqueCount="72">
  <si>
    <t>Registro de peso y curva de crecimiento por ejemplar</t>
  </si>
  <si>
    <t>Zoorigen · Club VIP · Versión 1.0 · 22 de octubre de 2026 · Material original de Zoorigen</t>
  </si>
  <si>
    <t>Para qué sirve</t>
  </si>
  <si>
    <t/>
  </si>
  <si>
    <t>Anota los pesajes de cada ejemplar y mira su curva: la hoja calcula cuánto cambió entre un pesaje y el siguiente y dibuja la gráfica de la persona o el animal que elijas. Es una herramienta de registro: la interpretación de un peso o de una curva le corresponde al médico veterinario o al biólogo responsable.</t>
  </si>
  <si>
    <t>Qué hay en cada hoja</t>
  </si>
  <si>
    <t>Ejemplares</t>
  </si>
  <si>
    <t>Lista de tus ejemplares y la unidad en que pesas a cada uno.</t>
  </si>
  <si>
    <t>Registro</t>
  </si>
  <si>
    <t>Un renglón por pesaje. Cálculos automáticos de cambio y ganancia por día.</t>
  </si>
  <si>
    <t>Curva</t>
  </si>
  <si>
    <t>Elige un ejemplar de la lista y ve su tabla y su gráfica.</t>
  </si>
  <si>
    <t>Cómo usarlo, paso a paso</t>
  </si>
  <si>
    <t>Paso 1</t>
  </si>
  <si>
    <t>En «Ejemplares» borra los EJEMPLOS y escribe tus ejemplares: identificador, nombre común, especie, sexo y la unidad de peso (kg o g).</t>
  </si>
  <si>
    <t>Paso 2</t>
  </si>
  <si>
    <t>En «Registro» elige el ejemplar de la lista, escribe la fecha y el peso. Escribe los pesajes de cada ejemplar en orden cronológico (del más antiguo al más reciente).</t>
  </si>
  <si>
    <t>Paso 3</t>
  </si>
  <si>
    <t>Las columnas grises calculan el cambio de peso, los días transcurridos y la ganancia por día respecto al pesaje anterior del mismo ejemplar.</t>
  </si>
  <si>
    <t>Paso 4</t>
  </si>
  <si>
    <t>Abre «Curva», elige el ejemplar en la celda verde y revisa la gráfica. La curva se actualiza al cambiar de ejemplar.</t>
  </si>
  <si>
    <t>Paso 5</t>
  </si>
  <si>
    <t>Usa siempre la misma báscula y las mismas condiciones de pesaje cuando sea posible, para que las comparaciones tengan sentido.</t>
  </si>
  <si>
    <t>Colores y celdas</t>
  </si>
  <si>
    <t>Celdas blancas</t>
  </si>
  <si>
    <t>Son para que escribas o elijas de una lista.</t>
  </si>
  <si>
    <t>Celdas grises</t>
  </si>
  <si>
    <t>Se calculan solas con fórmulas: no las borres ni escribas encima.</t>
  </si>
  <si>
    <t>Filas de EJEMPLO</t>
  </si>
  <si>
    <t>Las filas marcadas con la palabra EJEMPLO (fondo dorado claro) solo muestran cómo se llena. Bórralas antes de empezar con tus datos reales: selecciona la fila y usa «Eliminar contenido» para conservar las fórmulas.</t>
  </si>
  <si>
    <t>Ten en cuenta</t>
  </si>
  <si>
    <t>La gráfica muestra hasta 40 pesajes por ejemplar. Si tienes más, usa un ejemplar con otro identificador por periodo.</t>
  </si>
  <si>
    <t>Un peso por sí solo no dice si un animal está sano: esta hoja no emite diagnósticos ni valores de referencia.</t>
  </si>
  <si>
    <t>Aviso</t>
  </si>
  <si>
    <t>Material de apoyo de Zoorigen: no sustituye el criterio profesional ni la asesoría legal. Consulta siempre la normatividad vigente.</t>
  </si>
  <si>
    <t>Zoorigen · Material de apoyo</t>
  </si>
  <si>
    <t>Identificador</t>
  </si>
  <si>
    <t>Nombre común</t>
  </si>
  <si>
    <t>Nombre científico</t>
  </si>
  <si>
    <t>Sexo</t>
  </si>
  <si>
    <t>Nacimiento o ingreso</t>
  </si>
  <si>
    <t>Unidad de peso</t>
  </si>
  <si>
    <t>Nota</t>
  </si>
  <si>
    <t>EJ-001</t>
  </si>
  <si>
    <t>Especie de ejemplo A</t>
  </si>
  <si>
    <t>(escribe el nombre científico)</t>
  </si>
  <si>
    <t>Hembra</t>
  </si>
  <si>
    <t>kg</t>
  </si>
  <si>
    <t>EJEMPLO</t>
  </si>
  <si>
    <t>EJ-002</t>
  </si>
  <si>
    <t>Especie de ejemplo B</t>
  </si>
  <si>
    <t>Macho</t>
  </si>
  <si>
    <t>g</t>
  </si>
  <si>
    <t>Registro de pesajes</t>
  </si>
  <si>
    <t>Zoorigen · Material de apoyo. Escribe los pesajes de cada ejemplar del más antiguo al más reciente.</t>
  </si>
  <si>
    <t>Ejemplar</t>
  </si>
  <si>
    <t>Fecha</t>
  </si>
  <si>
    <t>Peso</t>
  </si>
  <si>
    <t>Unidad</t>
  </si>
  <si>
    <t>Observaciones</t>
  </si>
  <si>
    <t>N.º de pesaje</t>
  </si>
  <si>
    <t>Clave</t>
  </si>
  <si>
    <t>Cambio de peso</t>
  </si>
  <si>
    <t>Días desde el pesaje anterior</t>
  </si>
  <si>
    <t>Ganancia por día</t>
  </si>
  <si>
    <t>Curva de crecimiento</t>
  </si>
  <si>
    <t>Elige un ejemplar en la celda verde. La tabla y la gráfica se actualizan solas.</t>
  </si>
  <si>
    <t>Ejemplar:</t>
  </si>
  <si>
    <t>N.º</t>
  </si>
  <si>
    <t>Días desde el primer pesaje</t>
  </si>
  <si>
    <t>Cambio vs. anterior</t>
  </si>
  <si>
    <t>Los #N/A (en gris claro) son filas sin pesaje: es normal y así la gráfica no dibuja puntos vacíos.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</si>
</sst>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+#,##0.00;-#,##0.00;0.00"/>
    <numFmt numFmtId="166" formatCode="+#,##0.000;-#,##0.000;0.0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6B7A70"/>
      <sz val="10"/>
      <name val="Calibri"/>
    </font>
    <font>
      <b/>
      <color rgb="FF1F5F3A"/>
      <sz val="12"/>
      <name val="Calibri"/>
    </font>
    <font>
      <b/>
      <color rgb="FF1D2A22"/>
      <sz val="11"/>
      <name val="Calibri"/>
    </font>
    <font>
      <color rgb="FF1D2A22"/>
      <sz val="11"/>
      <name val="Calibri"/>
    </font>
    <font>
      <b/>
      <color rgb="FFFFFFFF"/>
      <sz val="16"/>
      <name val="Calibri"/>
    </font>
    <font>
      <b/>
      <color rgb="FFFFFFFF"/>
      <sz val="11"/>
      <name val="Calibri"/>
    </font>
    <font>
      <i/>
      <color rgb="FF1D2A22"/>
      <sz val="11"/>
      <name val="Calibri"/>
    </font>
    <font>
      <color rgb="FF6B7A70"/>
      <sz val="11"/>
      <name val="Calibri"/>
    </font>
    <font>
      <b/>
      <color rgb="FFFFFFFF"/>
    </font>
  </fonts>
  <fills count="7">
    <fill>
      <patternFill patternType="none"/>
    </fill>
    <fill>
      <patternFill patternType="gray125"/>
    </fill>
    <fill>
      <patternFill patternType="solid">
        <fgColor rgb="FF1F5F3A"/>
        <bgColor rgb="FF1F5F3A"/>
      </patternFill>
    </fill>
    <fill>
      <patternFill patternType="solid">
        <fgColor rgb="FFFBF1D8"/>
        <bgColor rgb="FFFBF1D8"/>
      </patternFill>
    </fill>
    <fill>
      <patternFill patternType="solid">
        <fgColor rgb="FF2F7A4F"/>
        <bgColor rgb="FF2F7A4F"/>
      </patternFill>
    </fill>
    <fill>
      <patternFill patternType="solid">
        <fgColor rgb="FFF1F3EF"/>
        <bgColor rgb="FFF1F3EF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E8A317"/>
      </bottom>
      <diagonal/>
    </border>
    <border>
      <left style="thin">
        <color rgb="FFD8DDD6"/>
      </left>
      <right style="thin">
        <color rgb="FFD8DDD6"/>
      </right>
      <top style="thin">
        <color rgb="FFD8DDD6"/>
      </top>
      <bottom style="thin">
        <color rgb="FFD8DDD6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3" borderId="0" xfId="0" applyFont="1" applyFill="1" applyAlignment="1">
      <alignment indent="1"/>
    </xf>
    <xf numFmtId="0" fontId="3" fillId="0" borderId="1" xfId="0" applyFont="1" applyBorder="1"/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wrapText="1" indent="1"/>
    </xf>
    <xf numFmtId="0" fontId="7" fillId="2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 applyProtection="1">
      <alignment vertical="center"/>
      <protection locked="0"/>
    </xf>
    <xf numFmtId="164" fontId="8" fillId="3" borderId="2" xfId="0" applyNumberFormat="1" applyFont="1" applyFill="1" applyBorder="1" applyAlignment="1" applyProtection="1">
      <alignment vertical="center"/>
      <protection locked="0"/>
    </xf>
    <xf numFmtId="0" fontId="5" fillId="0" borderId="2" xfId="0" applyFont="1" applyBorder="1" applyAlignment="1" applyProtection="1">
      <alignment vertical="center"/>
      <protection locked="0"/>
    </xf>
    <xf numFmtId="164" fontId="5" fillId="0" borderId="2" xfId="0" applyNumberFormat="1" applyFont="1" applyBorder="1" applyAlignment="1" applyProtection="1">
      <alignment vertical="center"/>
      <protection locked="0"/>
    </xf>
    <xf numFmtId="0" fontId="7" fillId="4" borderId="2" xfId="0" applyFont="1" applyFill="1" applyBorder="1" applyAlignment="1">
      <alignment horizontal="center" vertical="center" wrapText="1"/>
    </xf>
    <xf numFmtId="4" fontId="8" fillId="3" borderId="2" xfId="0" applyNumberFormat="1" applyFont="1" applyFill="1" applyBorder="1" applyAlignment="1" applyProtection="1">
      <alignment vertical="center"/>
      <protection locked="0"/>
    </xf>
    <xf numFmtId="0" fontId="9" fillId="5" borderId="2" xfId="0" applyFont="1" applyFill="1" applyBorder="1" applyAlignment="1" applyProtection="1">
      <alignment vertical="center"/>
    </xf>
    <xf numFmtId="1" fontId="9" fillId="5" borderId="2" xfId="0" applyNumberFormat="1" applyFont="1" applyFill="1" applyBorder="1" applyAlignment="1" applyProtection="1">
      <alignment vertical="center"/>
    </xf>
    <xf numFmtId="165" fontId="9" fillId="5" borderId="2" xfId="0" applyNumberFormat="1" applyFont="1" applyFill="1" applyBorder="1" applyAlignment="1" applyProtection="1">
      <alignment vertical="center"/>
    </xf>
    <xf numFmtId="166" fontId="9" fillId="5" borderId="2" xfId="0" applyNumberFormat="1" applyFont="1" applyFill="1" applyBorder="1" applyAlignment="1" applyProtection="1">
      <alignment vertical="center"/>
    </xf>
    <xf numFmtId="4" fontId="5" fillId="0" borderId="2" xfId="0" applyNumberFormat="1" applyFont="1" applyBorder="1" applyAlignment="1" applyProtection="1">
      <alignment vertical="center"/>
      <protection locked="0"/>
    </xf>
    <xf numFmtId="0" fontId="4" fillId="0" borderId="0" xfId="0" applyFont="1" applyAlignment="1">
      <alignment horizontal="left" vertical="center"/>
    </xf>
    <xf numFmtId="0" fontId="3" fillId="6" borderId="2" xfId="0" applyFont="1" applyFill="1" applyBorder="1" applyAlignment="1" applyProtection="1">
      <alignment horizontal="center"/>
      <protection locked="0"/>
    </xf>
    <xf numFmtId="0" fontId="10" fillId="2" borderId="2" xfId="0" applyFont="1" applyFill="1" applyBorder="1" applyAlignment="1">
      <alignment horizontal="center" vertical="center" wrapText="1"/>
    </xf>
    <xf numFmtId="164" fontId="9" fillId="5" borderId="2" xfId="0" applyNumberFormat="1" applyFont="1" applyFill="1" applyBorder="1" applyAlignment="1" applyProtection="1">
      <alignment vertical="center"/>
    </xf>
    <xf numFmtId="4" fontId="9" fillId="5" borderId="2" xfId="0" applyNumberFormat="1" applyFont="1" applyFill="1" applyBorder="1" applyAlignment="1" applyProtection="1">
      <alignment vertical="center"/>
    </xf>
    <xf numFmtId="0" fontId="9" fillId="0" borderId="0" xfId="0" applyFont="1" applyAlignment="1">
      <alignment horizontal="left" vertical="center"/>
    </xf>
  </cellXfs>
  <cellStyles count="1">
    <cellStyle name="Normal" xfId="0" builtinId="0"/>
  </cellStyles>
  <dxfs count="2">
    <dxf>
      <font>
        <b/>
        <color rgb="FFB42318"/>
      </font>
    </dxf>
    <dxf>
      <font>
        <color rgb="FFF1F3EF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pPr>
              <a:defRPr sz="1400" b="1"/>
            </a:pPr>
            <a:r>
              <a:rPr lang="es-MX" sz="1400" b="1"/>
              <a:t>Curva de peso del ejemplar elegido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Peso</c:v>
          </c:tx>
          <c:spPr>
            <a:ln w="28575" cap="rnd">
              <a:solidFill>
                <a:srgbClr val="1F5F3A"/>
              </a:solidFill>
              <a:round/>
            </a:ln>
          </c:spPr>
          <c:marker>
            <c:symbol val="circle"/>
            <c:size val="7"/>
            <c:spPr>
              <a:solidFill>
                <a:srgbClr val="1F5F3A"/>
              </a:solidFill>
            </c:spPr>
          </c:marker>
          <c:xVal>
            <c:numRef>
              <c:f>Curva!$C$6:$C$45</c:f>
            </c:numRef>
          </c:xVal>
          <c:yVal>
            <c:numRef>
              <c:f>Curva!$D$6:$D$45</c:f>
            </c:numRef>
          </c:yVal>
          <c:smooth val="0"/>
        </c:ser>
        <c:axId val="50010"/>
        <c:axId val="50020"/>
      </c:scatterChart>
      <c:valAx>
        <c:axId val="500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/>
                </a:pPr>
                <a:r>
                  <a:rPr lang="es-MX" sz="1000" b="0"/>
                  <a:t>Días desde el primer pesaje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20"/>
        <c:crosses val="autoZero"/>
        <c:crossBetween val="midCat"/>
      </c:valAx>
      <c:valAx>
        <c:axId val="50020"/>
        <c:scaling>
          <c:orientation val="minMax"/>
        </c:scaling>
        <c:delete val="0"/>
        <c:axPos val="l"/>
        <c:majorGridlines>
          <c:spPr>
            <a:ln w="6350">
              <a:solidFill>
                <a:srgbClr val="D8DDD6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0"/>
                </a:pPr>
                <a:r>
                  <a:rPr lang="es-MX" sz="1000" b="0"/>
                  <a:t>Peso</a:t>
                </a:r>
              </a:p>
            </c:rich>
          </c:tx>
          <c:overlay val="0"/>
        </c:title>
        <c:numFmt formatCode="#,##0.0" sourceLinked="0"/>
        <c:majorTickMark val="out"/>
        <c:minorTickMark val="none"/>
        <c:tickLblPos val="nextTo"/>
        <c:crossAx val="50010"/>
        <c:crosses val="autoZero"/>
        <c:crossBetween val="midCat"/>
      </c:valAx>
    </c:plotArea>
    <c:plotVisOnly val="1"/>
    <c:dispBlanksAs val="gap"/>
  </c:chart>
  <c:spPr>
    <a:solidFill>
      <a:srgbClr val="FFFFFF"/>
    </a:solidFill>
    <a:ln w="9525">
      <a:solidFill>
        <a:srgbClr val="D8DDD6"/>
      </a:solidFill>
    </a:ln>
  </c:spPr>
  <c:txPr>
    <a:bodyPr/>
    <a:lstStyle/>
    <a:p>
      <a:pPr>
        <a:defRPr sz="1000">
          <a:latin typeface="Calibri"/>
        </a:defRPr>
      </a:pPr>
      <a:endParaRPr lang="es-MX"/>
    </a:p>
  </c:txPr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</xdr:row>
      <xdr:rowOff>0</xdr:rowOff>
    </xdr:from>
    <xdr:to>
      <xdr:col>15</xdr:col>
      <xdr:colOff>0</xdr:colOff>
      <xdr:row>23</xdr:row>
      <xdr:rowOff>0</xdr:rowOff>
    </xdr:to>
    <xdr:graphicFrame macro="">
      <xdr:nvGraphicFramePr>
        <xdr:cNvPr id="2" name="Gráfico 1" descr="Curva de peso del ejemplar elegid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8A317"/>
    <pageSetUpPr fitToPage="1"/>
  </sheetPr>
  <dimension ref="A1:C29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28" customWidth="1"/>
    <col min="3" max="3" width="100" customWidth="1"/>
  </cols>
  <sheetData>
    <row r="1" ht="34" customHeight="1" spans="1:3" x14ac:dyDescent="0.25">
      <c r="A1" s="1" t="s">
        <v>0</v>
      </c>
      <c r="B1" s="1"/>
      <c r="C1" s="1"/>
    </row>
    <row r="2" spans="1:3" x14ac:dyDescent="0.25">
      <c r="A2" s="2" t="s">
        <v>1</v>
      </c>
      <c r="B2" s="2"/>
      <c r="C2" s="2"/>
    </row>
    <row r="4" spans="2:3" x14ac:dyDescent="0.25">
      <c r="B4" s="3" t="s">
        <v>2</v>
      </c>
      <c r="C4" s="3"/>
    </row>
    <row r="5" ht="68" customHeight="1" spans="2:3" x14ac:dyDescent="0.25">
      <c r="B5" s="4" t="s">
        <v>3</v>
      </c>
      <c r="C5" s="5" t="s">
        <v>4</v>
      </c>
    </row>
    <row r="7" spans="2:3" x14ac:dyDescent="0.25">
      <c r="B7" s="3" t="s">
        <v>5</v>
      </c>
      <c r="C7" s="3"/>
    </row>
    <row r="8" ht="20" customHeight="1" spans="2:3" x14ac:dyDescent="0.25">
      <c r="B8" s="4" t="s">
        <v>6</v>
      </c>
      <c r="C8" s="5" t="s">
        <v>7</v>
      </c>
    </row>
    <row r="9" ht="20" customHeight="1" spans="2:3" x14ac:dyDescent="0.25">
      <c r="B9" s="4" t="s">
        <v>8</v>
      </c>
      <c r="C9" s="5" t="s">
        <v>9</v>
      </c>
    </row>
    <row r="10" ht="20" customHeight="1" spans="2:3" x14ac:dyDescent="0.25">
      <c r="B10" s="4" t="s">
        <v>10</v>
      </c>
      <c r="C10" s="5" t="s">
        <v>11</v>
      </c>
    </row>
    <row r="12" spans="2:3" x14ac:dyDescent="0.25">
      <c r="B12" s="3" t="s">
        <v>12</v>
      </c>
      <c r="C12" s="3"/>
    </row>
    <row r="13" ht="36" customHeight="1" spans="2:3" x14ac:dyDescent="0.25">
      <c r="B13" s="4" t="s">
        <v>13</v>
      </c>
      <c r="C13" s="5" t="s">
        <v>14</v>
      </c>
    </row>
    <row r="14" ht="36" customHeight="1" spans="2:3" x14ac:dyDescent="0.25">
      <c r="B14" s="4" t="s">
        <v>15</v>
      </c>
      <c r="C14" s="5" t="s">
        <v>16</v>
      </c>
    </row>
    <row r="15" ht="36" customHeight="1" spans="2:3" x14ac:dyDescent="0.25">
      <c r="B15" s="4" t="s">
        <v>17</v>
      </c>
      <c r="C15" s="5" t="s">
        <v>18</v>
      </c>
    </row>
    <row r="16" ht="36" customHeight="1" spans="2:3" x14ac:dyDescent="0.25">
      <c r="B16" s="4" t="s">
        <v>19</v>
      </c>
      <c r="C16" s="5" t="s">
        <v>20</v>
      </c>
    </row>
    <row r="17" ht="36" customHeight="1" spans="2:3" x14ac:dyDescent="0.25">
      <c r="B17" s="4" t="s">
        <v>21</v>
      </c>
      <c r="C17" s="5" t="s">
        <v>22</v>
      </c>
    </row>
    <row r="19" spans="2:3" x14ac:dyDescent="0.25">
      <c r="B19" s="3" t="s">
        <v>23</v>
      </c>
      <c r="C19" s="3"/>
    </row>
    <row r="20" ht="20" customHeight="1" spans="2:3" x14ac:dyDescent="0.25">
      <c r="B20" s="4" t="s">
        <v>24</v>
      </c>
      <c r="C20" s="5" t="s">
        <v>25</v>
      </c>
    </row>
    <row r="21" ht="20" customHeight="1" spans="2:3" x14ac:dyDescent="0.25">
      <c r="B21" s="4" t="s">
        <v>26</v>
      </c>
      <c r="C21" s="5" t="s">
        <v>27</v>
      </c>
    </row>
    <row r="22" ht="52" customHeight="1" spans="2:3" x14ac:dyDescent="0.25">
      <c r="B22" s="4" t="s">
        <v>28</v>
      </c>
      <c r="C22" s="5" t="s">
        <v>29</v>
      </c>
    </row>
    <row r="24" spans="2:3" x14ac:dyDescent="0.25">
      <c r="B24" s="3" t="s">
        <v>30</v>
      </c>
      <c r="C24" s="3"/>
    </row>
    <row r="25" ht="36" customHeight="1" spans="2:3" x14ac:dyDescent="0.25">
      <c r="B25" s="4" t="s">
        <v>3</v>
      </c>
      <c r="C25" s="5" t="s">
        <v>31</v>
      </c>
    </row>
    <row r="26" ht="36" customHeight="1" spans="2:3" x14ac:dyDescent="0.25">
      <c r="B26" s="4" t="s">
        <v>3</v>
      </c>
      <c r="C26" s="5" t="s">
        <v>32</v>
      </c>
    </row>
    <row r="28" spans="2:3" x14ac:dyDescent="0.25">
      <c r="B28" s="3" t="s">
        <v>33</v>
      </c>
      <c r="C28" s="3"/>
    </row>
    <row r="29" ht="36" customHeight="1" spans="2:3" x14ac:dyDescent="0.25">
      <c r="B29" s="4" t="s">
        <v>3</v>
      </c>
      <c r="C29" s="5" t="s">
        <v>34</v>
      </c>
    </row>
  </sheetData>
  <sheetProtection sheet="1"/>
  <mergeCells count="8">
    <mergeCell ref="A1:C1"/>
    <mergeCell ref="A2:C2"/>
    <mergeCell ref="B4:C4"/>
    <mergeCell ref="B7:C7"/>
    <mergeCell ref="B12:C12"/>
    <mergeCell ref="B19:C19"/>
    <mergeCell ref="B24:C24"/>
    <mergeCell ref="B28:C28"/>
  </mergeCells>
  <pageSetup paperSize="1"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5F3A"/>
    <pageSetUpPr fitToPage="1"/>
  </sheetPr>
  <dimension ref="A1:G64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2" customWidth="1"/>
    <col min="3" max="3" width="26" customWidth="1"/>
    <col min="4" max="4" width="14" customWidth="1"/>
    <col min="5" max="5" width="18" customWidth="1"/>
    <col min="6" max="6" width="14" customWidth="1"/>
    <col min="7" max="7" width="11" customWidth="1"/>
  </cols>
  <sheetData>
    <row r="1" ht="30" customHeight="1" spans="1:7" x14ac:dyDescent="0.25">
      <c r="A1" s="6" t="s">
        <v>6</v>
      </c>
      <c r="B1" s="6"/>
      <c r="C1" s="6"/>
      <c r="D1" s="6"/>
      <c r="E1" s="6"/>
      <c r="F1" s="6"/>
      <c r="G1" s="6"/>
    </row>
    <row r="2" ht="22" customHeight="1" spans="1:7" x14ac:dyDescent="0.25">
      <c r="A2" s="7" t="s">
        <v>35</v>
      </c>
      <c r="B2" s="7"/>
      <c r="C2" s="7"/>
      <c r="D2" s="7"/>
      <c r="E2" s="7"/>
      <c r="F2" s="7"/>
      <c r="G2" s="7"/>
    </row>
    <row r="4" ht="34" customHeight="1" spans="1:7" x14ac:dyDescent="0.25">
      <c r="A4" s="8" t="s">
        <v>36</v>
      </c>
      <c r="B4" s="8" t="s">
        <v>37</v>
      </c>
      <c r="C4" s="8" t="s">
        <v>38</v>
      </c>
      <c r="D4" s="8" t="s">
        <v>39</v>
      </c>
      <c r="E4" s="8" t="s">
        <v>40</v>
      </c>
      <c r="F4" s="8" t="s">
        <v>41</v>
      </c>
      <c r="G4" s="8" t="s">
        <v>42</v>
      </c>
    </row>
    <row r="5" spans="1:7" x14ac:dyDescent="0.25">
      <c r="A5" s="9" t="s">
        <v>43</v>
      </c>
      <c r="B5" s="9" t="s">
        <v>44</v>
      </c>
      <c r="C5" s="9" t="s">
        <v>45</v>
      </c>
      <c r="D5" s="9" t="s">
        <v>46</v>
      </c>
      <c r="E5" s="10">
        <v>46097</v>
      </c>
      <c r="F5" s="9" t="s">
        <v>47</v>
      </c>
      <c r="G5" s="9" t="s">
        <v>48</v>
      </c>
    </row>
    <row r="6" spans="1:7" x14ac:dyDescent="0.25">
      <c r="A6" s="9" t="s">
        <v>49</v>
      </c>
      <c r="B6" s="9" t="s">
        <v>50</v>
      </c>
      <c r="C6" s="9" t="s">
        <v>45</v>
      </c>
      <c r="D6" s="9" t="s">
        <v>51</v>
      </c>
      <c r="E6" s="10">
        <v>46127</v>
      </c>
      <c r="F6" s="9" t="s">
        <v>52</v>
      </c>
      <c r="G6" s="9" t="s">
        <v>48</v>
      </c>
    </row>
    <row r="7" spans="1:7" x14ac:dyDescent="0.25">
      <c r="A7" s="11"/>
      <c r="B7" s="11"/>
      <c r="C7" s="11"/>
      <c r="D7" s="11"/>
      <c r="E7" s="12"/>
      <c r="F7" s="11"/>
      <c r="G7" s="11"/>
    </row>
    <row r="8" spans="1:7" x14ac:dyDescent="0.25">
      <c r="A8" s="11"/>
      <c r="B8" s="11"/>
      <c r="C8" s="11"/>
      <c r="D8" s="11"/>
      <c r="E8" s="12"/>
      <c r="F8" s="11"/>
      <c r="G8" s="11"/>
    </row>
    <row r="9" spans="1:7" x14ac:dyDescent="0.25">
      <c r="A9" s="11"/>
      <c r="B9" s="11"/>
      <c r="C9" s="11"/>
      <c r="D9" s="11"/>
      <c r="E9" s="12"/>
      <c r="F9" s="11"/>
      <c r="G9" s="11"/>
    </row>
    <row r="10" spans="1:7" x14ac:dyDescent="0.25">
      <c r="A10" s="11"/>
      <c r="B10" s="11"/>
      <c r="C10" s="11"/>
      <c r="D10" s="11"/>
      <c r="E10" s="12"/>
      <c r="F10" s="11"/>
      <c r="G10" s="11"/>
    </row>
    <row r="11" spans="1:7" x14ac:dyDescent="0.25">
      <c r="A11" s="11"/>
      <c r="B11" s="11"/>
      <c r="C11" s="11"/>
      <c r="D11" s="11"/>
      <c r="E11" s="12"/>
      <c r="F11" s="11"/>
      <c r="G11" s="11"/>
    </row>
    <row r="12" spans="1:7" x14ac:dyDescent="0.25">
      <c r="A12" s="11"/>
      <c r="B12" s="11"/>
      <c r="C12" s="11"/>
      <c r="D12" s="11"/>
      <c r="E12" s="12"/>
      <c r="F12" s="11"/>
      <c r="G12" s="11"/>
    </row>
    <row r="13" spans="1:7" x14ac:dyDescent="0.25">
      <c r="A13" s="11"/>
      <c r="B13" s="11"/>
      <c r="C13" s="11"/>
      <c r="D13" s="11"/>
      <c r="E13" s="12"/>
      <c r="F13" s="11"/>
      <c r="G13" s="11"/>
    </row>
    <row r="14" spans="1:7" x14ac:dyDescent="0.25">
      <c r="A14" s="11"/>
      <c r="B14" s="11"/>
      <c r="C14" s="11"/>
      <c r="D14" s="11"/>
      <c r="E14" s="12"/>
      <c r="F14" s="11"/>
      <c r="G14" s="11"/>
    </row>
    <row r="15" spans="1:7" x14ac:dyDescent="0.25">
      <c r="A15" s="11"/>
      <c r="B15" s="11"/>
      <c r="C15" s="11"/>
      <c r="D15" s="11"/>
      <c r="E15" s="12"/>
      <c r="F15" s="11"/>
      <c r="G15" s="11"/>
    </row>
    <row r="16" spans="1:7" x14ac:dyDescent="0.25">
      <c r="A16" s="11"/>
      <c r="B16" s="11"/>
      <c r="C16" s="11"/>
      <c r="D16" s="11"/>
      <c r="E16" s="12"/>
      <c r="F16" s="11"/>
      <c r="G16" s="11"/>
    </row>
    <row r="17" spans="1:7" x14ac:dyDescent="0.25">
      <c r="A17" s="11"/>
      <c r="B17" s="11"/>
      <c r="C17" s="11"/>
      <c r="D17" s="11"/>
      <c r="E17" s="12"/>
      <c r="F17" s="11"/>
      <c r="G17" s="11"/>
    </row>
    <row r="18" spans="1:7" x14ac:dyDescent="0.25">
      <c r="A18" s="11"/>
      <c r="B18" s="11"/>
      <c r="C18" s="11"/>
      <c r="D18" s="11"/>
      <c r="E18" s="12"/>
      <c r="F18" s="11"/>
      <c r="G18" s="11"/>
    </row>
    <row r="19" spans="1:7" x14ac:dyDescent="0.25">
      <c r="A19" s="11"/>
      <c r="B19" s="11"/>
      <c r="C19" s="11"/>
      <c r="D19" s="11"/>
      <c r="E19" s="12"/>
      <c r="F19" s="11"/>
      <c r="G19" s="11"/>
    </row>
    <row r="20" spans="1:7" x14ac:dyDescent="0.25">
      <c r="A20" s="11"/>
      <c r="B20" s="11"/>
      <c r="C20" s="11"/>
      <c r="D20" s="11"/>
      <c r="E20" s="12"/>
      <c r="F20" s="11"/>
      <c r="G20" s="11"/>
    </row>
    <row r="21" spans="1:7" x14ac:dyDescent="0.25">
      <c r="A21" s="11"/>
      <c r="B21" s="11"/>
      <c r="C21" s="11"/>
      <c r="D21" s="11"/>
      <c r="E21" s="12"/>
      <c r="F21" s="11"/>
      <c r="G21" s="11"/>
    </row>
    <row r="22" spans="1:7" x14ac:dyDescent="0.25">
      <c r="A22" s="11"/>
      <c r="B22" s="11"/>
      <c r="C22" s="11"/>
      <c r="D22" s="11"/>
      <c r="E22" s="12"/>
      <c r="F22" s="11"/>
      <c r="G22" s="11"/>
    </row>
    <row r="23" spans="1:7" x14ac:dyDescent="0.25">
      <c r="A23" s="11"/>
      <c r="B23" s="11"/>
      <c r="C23" s="11"/>
      <c r="D23" s="11"/>
      <c r="E23" s="12"/>
      <c r="F23" s="11"/>
      <c r="G23" s="11"/>
    </row>
    <row r="24" spans="1:7" x14ac:dyDescent="0.25">
      <c r="A24" s="11"/>
      <c r="B24" s="11"/>
      <c r="C24" s="11"/>
      <c r="D24" s="11"/>
      <c r="E24" s="12"/>
      <c r="F24" s="11"/>
      <c r="G24" s="11"/>
    </row>
    <row r="25" spans="1:7" x14ac:dyDescent="0.25">
      <c r="A25" s="11"/>
      <c r="B25" s="11"/>
      <c r="C25" s="11"/>
      <c r="D25" s="11"/>
      <c r="E25" s="12"/>
      <c r="F25" s="11"/>
      <c r="G25" s="11"/>
    </row>
    <row r="26" spans="1:7" x14ac:dyDescent="0.25">
      <c r="A26" s="11"/>
      <c r="B26" s="11"/>
      <c r="C26" s="11"/>
      <c r="D26" s="11"/>
      <c r="E26" s="12"/>
      <c r="F26" s="11"/>
      <c r="G26" s="11"/>
    </row>
    <row r="27" spans="1:7" x14ac:dyDescent="0.25">
      <c r="A27" s="11"/>
      <c r="B27" s="11"/>
      <c r="C27" s="11"/>
      <c r="D27" s="11"/>
      <c r="E27" s="12"/>
      <c r="F27" s="11"/>
      <c r="G27" s="11"/>
    </row>
    <row r="28" spans="1:7" x14ac:dyDescent="0.25">
      <c r="A28" s="11"/>
      <c r="B28" s="11"/>
      <c r="C28" s="11"/>
      <c r="D28" s="11"/>
      <c r="E28" s="12"/>
      <c r="F28" s="11"/>
      <c r="G28" s="11"/>
    </row>
    <row r="29" spans="1:7" x14ac:dyDescent="0.25">
      <c r="A29" s="11"/>
      <c r="B29" s="11"/>
      <c r="C29" s="11"/>
      <c r="D29" s="11"/>
      <c r="E29" s="12"/>
      <c r="F29" s="11"/>
      <c r="G29" s="11"/>
    </row>
    <row r="30" spans="1:7" x14ac:dyDescent="0.25">
      <c r="A30" s="11"/>
      <c r="B30" s="11"/>
      <c r="C30" s="11"/>
      <c r="D30" s="11"/>
      <c r="E30" s="12"/>
      <c r="F30" s="11"/>
      <c r="G30" s="11"/>
    </row>
    <row r="31" spans="1:7" x14ac:dyDescent="0.25">
      <c r="A31" s="11"/>
      <c r="B31" s="11"/>
      <c r="C31" s="11"/>
      <c r="D31" s="11"/>
      <c r="E31" s="12"/>
      <c r="F31" s="11"/>
      <c r="G31" s="11"/>
    </row>
    <row r="32" spans="1:7" x14ac:dyDescent="0.25">
      <c r="A32" s="11"/>
      <c r="B32" s="11"/>
      <c r="C32" s="11"/>
      <c r="D32" s="11"/>
      <c r="E32" s="12"/>
      <c r="F32" s="11"/>
      <c r="G32" s="11"/>
    </row>
    <row r="33" spans="1:7" x14ac:dyDescent="0.25">
      <c r="A33" s="11"/>
      <c r="B33" s="11"/>
      <c r="C33" s="11"/>
      <c r="D33" s="11"/>
      <c r="E33" s="12"/>
      <c r="F33" s="11"/>
      <c r="G33" s="11"/>
    </row>
    <row r="34" spans="1:7" x14ac:dyDescent="0.25">
      <c r="A34" s="11"/>
      <c r="B34" s="11"/>
      <c r="C34" s="11"/>
      <c r="D34" s="11"/>
      <c r="E34" s="12"/>
      <c r="F34" s="11"/>
      <c r="G34" s="11"/>
    </row>
    <row r="35" spans="1:7" x14ac:dyDescent="0.25">
      <c r="A35" s="11"/>
      <c r="B35" s="11"/>
      <c r="C35" s="11"/>
      <c r="D35" s="11"/>
      <c r="E35" s="12"/>
      <c r="F35" s="11"/>
      <c r="G35" s="11"/>
    </row>
    <row r="36" spans="1:7" x14ac:dyDescent="0.25">
      <c r="A36" s="11"/>
      <c r="B36" s="11"/>
      <c r="C36" s="11"/>
      <c r="D36" s="11"/>
      <c r="E36" s="12"/>
      <c r="F36" s="11"/>
      <c r="G36" s="11"/>
    </row>
    <row r="37" spans="1:7" x14ac:dyDescent="0.25">
      <c r="A37" s="11"/>
      <c r="B37" s="11"/>
      <c r="C37" s="11"/>
      <c r="D37" s="11"/>
      <c r="E37" s="12"/>
      <c r="F37" s="11"/>
      <c r="G37" s="11"/>
    </row>
    <row r="38" spans="1:7" x14ac:dyDescent="0.25">
      <c r="A38" s="11"/>
      <c r="B38" s="11"/>
      <c r="C38" s="11"/>
      <c r="D38" s="11"/>
      <c r="E38" s="12"/>
      <c r="F38" s="11"/>
      <c r="G38" s="11"/>
    </row>
    <row r="39" spans="1:7" x14ac:dyDescent="0.25">
      <c r="A39" s="11"/>
      <c r="B39" s="11"/>
      <c r="C39" s="11"/>
      <c r="D39" s="11"/>
      <c r="E39" s="12"/>
      <c r="F39" s="11"/>
      <c r="G39" s="11"/>
    </row>
    <row r="40" spans="1:7" x14ac:dyDescent="0.25">
      <c r="A40" s="11"/>
      <c r="B40" s="11"/>
      <c r="C40" s="11"/>
      <c r="D40" s="11"/>
      <c r="E40" s="12"/>
      <c r="F40" s="11"/>
      <c r="G40" s="11"/>
    </row>
    <row r="41" spans="1:7" x14ac:dyDescent="0.25">
      <c r="A41" s="11"/>
      <c r="B41" s="11"/>
      <c r="C41" s="11"/>
      <c r="D41" s="11"/>
      <c r="E41" s="12"/>
      <c r="F41" s="11"/>
      <c r="G41" s="11"/>
    </row>
    <row r="42" spans="1:7" x14ac:dyDescent="0.25">
      <c r="A42" s="11"/>
      <c r="B42" s="11"/>
      <c r="C42" s="11"/>
      <c r="D42" s="11"/>
      <c r="E42" s="12"/>
      <c r="F42" s="11"/>
      <c r="G42" s="11"/>
    </row>
    <row r="43" spans="1:7" x14ac:dyDescent="0.25">
      <c r="A43" s="11"/>
      <c r="B43" s="11"/>
      <c r="C43" s="11"/>
      <c r="D43" s="11"/>
      <c r="E43" s="12"/>
      <c r="F43" s="11"/>
      <c r="G43" s="11"/>
    </row>
    <row r="44" spans="1:7" x14ac:dyDescent="0.25">
      <c r="A44" s="11"/>
      <c r="B44" s="11"/>
      <c r="C44" s="11"/>
      <c r="D44" s="11"/>
      <c r="E44" s="12"/>
      <c r="F44" s="11"/>
      <c r="G44" s="11"/>
    </row>
    <row r="45" spans="1:7" x14ac:dyDescent="0.25">
      <c r="A45" s="11"/>
      <c r="B45" s="11"/>
      <c r="C45" s="11"/>
      <c r="D45" s="11"/>
      <c r="E45" s="12"/>
      <c r="F45" s="11"/>
      <c r="G45" s="11"/>
    </row>
    <row r="46" spans="1:7" x14ac:dyDescent="0.25">
      <c r="A46" s="11"/>
      <c r="B46" s="11"/>
      <c r="C46" s="11"/>
      <c r="D46" s="11"/>
      <c r="E46" s="12"/>
      <c r="F46" s="11"/>
      <c r="G46" s="11"/>
    </row>
    <row r="47" spans="1:7" x14ac:dyDescent="0.25">
      <c r="A47" s="11"/>
      <c r="B47" s="11"/>
      <c r="C47" s="11"/>
      <c r="D47" s="11"/>
      <c r="E47" s="12"/>
      <c r="F47" s="11"/>
      <c r="G47" s="11"/>
    </row>
    <row r="48" spans="1:7" x14ac:dyDescent="0.25">
      <c r="A48" s="11"/>
      <c r="B48" s="11"/>
      <c r="C48" s="11"/>
      <c r="D48" s="11"/>
      <c r="E48" s="12"/>
      <c r="F48" s="11"/>
      <c r="G48" s="11"/>
    </row>
    <row r="49" spans="1:7" x14ac:dyDescent="0.25">
      <c r="A49" s="11"/>
      <c r="B49" s="11"/>
      <c r="C49" s="11"/>
      <c r="D49" s="11"/>
      <c r="E49" s="12"/>
      <c r="F49" s="11"/>
      <c r="G49" s="11"/>
    </row>
    <row r="50" spans="1:7" x14ac:dyDescent="0.25">
      <c r="A50" s="11"/>
      <c r="B50" s="11"/>
      <c r="C50" s="11"/>
      <c r="D50" s="11"/>
      <c r="E50" s="12"/>
      <c r="F50" s="11"/>
      <c r="G50" s="11"/>
    </row>
    <row r="51" spans="1:7" x14ac:dyDescent="0.25">
      <c r="A51" s="11"/>
      <c r="B51" s="11"/>
      <c r="C51" s="11"/>
      <c r="D51" s="11"/>
      <c r="E51" s="12"/>
      <c r="F51" s="11"/>
      <c r="G51" s="11"/>
    </row>
    <row r="52" spans="1:7" x14ac:dyDescent="0.25">
      <c r="A52" s="11"/>
      <c r="B52" s="11"/>
      <c r="C52" s="11"/>
      <c r="D52" s="11"/>
      <c r="E52" s="12"/>
      <c r="F52" s="11"/>
      <c r="G52" s="11"/>
    </row>
    <row r="53" spans="1:7" x14ac:dyDescent="0.25">
      <c r="A53" s="11"/>
      <c r="B53" s="11"/>
      <c r="C53" s="11"/>
      <c r="D53" s="11"/>
      <c r="E53" s="12"/>
      <c r="F53" s="11"/>
      <c r="G53" s="11"/>
    </row>
    <row r="54" spans="1:7" x14ac:dyDescent="0.25">
      <c r="A54" s="11"/>
      <c r="B54" s="11"/>
      <c r="C54" s="11"/>
      <c r="D54" s="11"/>
      <c r="E54" s="12"/>
      <c r="F54" s="11"/>
      <c r="G54" s="11"/>
    </row>
    <row r="55" spans="1:7" x14ac:dyDescent="0.25">
      <c r="A55" s="11"/>
      <c r="B55" s="11"/>
      <c r="C55" s="11"/>
      <c r="D55" s="11"/>
      <c r="E55" s="12"/>
      <c r="F55" s="11"/>
      <c r="G55" s="11"/>
    </row>
    <row r="56" spans="1:7" x14ac:dyDescent="0.25">
      <c r="A56" s="11"/>
      <c r="B56" s="11"/>
      <c r="C56" s="11"/>
      <c r="D56" s="11"/>
      <c r="E56" s="12"/>
      <c r="F56" s="11"/>
      <c r="G56" s="11"/>
    </row>
    <row r="57" spans="1:7" x14ac:dyDescent="0.25">
      <c r="A57" s="11"/>
      <c r="B57" s="11"/>
      <c r="C57" s="11"/>
      <c r="D57" s="11"/>
      <c r="E57" s="12"/>
      <c r="F57" s="11"/>
      <c r="G57" s="11"/>
    </row>
    <row r="58" spans="1:7" x14ac:dyDescent="0.25">
      <c r="A58" s="11"/>
      <c r="B58" s="11"/>
      <c r="C58" s="11"/>
      <c r="D58" s="11"/>
      <c r="E58" s="12"/>
      <c r="F58" s="11"/>
      <c r="G58" s="11"/>
    </row>
    <row r="59" spans="1:7" x14ac:dyDescent="0.25">
      <c r="A59" s="11"/>
      <c r="B59" s="11"/>
      <c r="C59" s="11"/>
      <c r="D59" s="11"/>
      <c r="E59" s="12"/>
      <c r="F59" s="11"/>
      <c r="G59" s="11"/>
    </row>
    <row r="60" spans="1:7" x14ac:dyDescent="0.25">
      <c r="A60" s="11"/>
      <c r="B60" s="11"/>
      <c r="C60" s="11"/>
      <c r="D60" s="11"/>
      <c r="E60" s="12"/>
      <c r="F60" s="11"/>
      <c r="G60" s="11"/>
    </row>
    <row r="61" spans="1:7" x14ac:dyDescent="0.25">
      <c r="A61" s="11"/>
      <c r="B61" s="11"/>
      <c r="C61" s="11"/>
      <c r="D61" s="11"/>
      <c r="E61" s="12"/>
      <c r="F61" s="11"/>
      <c r="G61" s="11"/>
    </row>
    <row r="62" spans="1:7" x14ac:dyDescent="0.25">
      <c r="A62" s="11"/>
      <c r="B62" s="11"/>
      <c r="C62" s="11"/>
      <c r="D62" s="11"/>
      <c r="E62" s="12"/>
      <c r="F62" s="11"/>
      <c r="G62" s="11"/>
    </row>
    <row r="63" spans="1:7" x14ac:dyDescent="0.25">
      <c r="A63" s="11"/>
      <c r="B63" s="11"/>
      <c r="C63" s="11"/>
      <c r="D63" s="11"/>
      <c r="E63" s="12"/>
      <c r="F63" s="11"/>
      <c r="G63" s="11"/>
    </row>
    <row r="64" spans="1:7" x14ac:dyDescent="0.25">
      <c r="A64" s="11"/>
      <c r="B64" s="11"/>
      <c r="C64" s="11"/>
      <c r="D64" s="11"/>
      <c r="E64" s="12"/>
      <c r="F64" s="11"/>
      <c r="G64" s="11"/>
    </row>
  </sheetData>
  <mergeCells count="2">
    <mergeCell ref="A1:G1"/>
    <mergeCell ref="A2:G2"/>
  </mergeCells>
  <dataValidations count="4">
    <dataValidation type="custom" allowBlank="1" showInputMessage="1" promptTitle="Identificador" prompt="Un identificador único (marca, anillo, nombre o código)." sqref="A5:A64">
      <formula1>TRUE</formula1>
    </dataValidation>
    <dataValidation type="list" allowBlank="1" promptTitle="Sexo" showErrorMessage="1" errorStyle="warning" errorTitle="Elige de la lista" error="Elige una opción de la lista desplegable." sqref="D5:D64">
      <formula1>"Macho,Hembra,Indeterminado"</formula1>
    </dataValidation>
    <dataValidation type="date" operator="greaterThan" allowBlank="1" promptTitle="Nacimiento o ingreso" showErrorMessage="1" errorStyle="warning" errorTitle="Fecha" error="Escribe una fecha válida, por ejemplo 15/03/2026." sqref="E5:E64">
      <formula1>32874</formula1>
    </dataValidation>
    <dataValidation type="list" allowBlank="1" promptTitle="Unidad de peso" showErrorMessage="1" errorStyle="warning" errorTitle="Elige de la lista" error="Elige una opción de la lista desplegable." sqref="F5:F64">
      <formula1>"kg,g"</formula1>
    </dataValidation>
  </dataValidations>
  <pageSetup paperSize="1"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5F3A"/>
    <pageSetUpPr fitToPage="1"/>
  </sheetPr>
  <dimension ref="A1:J504"/>
  <sheetViews>
    <sheetView workbookViewId="0" showGridLines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16" customWidth="1"/>
    <col min="2" max="2" width="13" customWidth="1"/>
    <col min="3" max="3" width="11" customWidth="1"/>
    <col min="5" max="5" width="28" customWidth="1"/>
    <col min="6" max="6" width="10" customWidth="1"/>
    <col min="7" max="7" width="14" customWidth="1"/>
    <col min="8" max="8" width="12" customWidth="1"/>
    <col min="9" max="9" width="14" customWidth="1"/>
    <col min="10" max="10" width="13" customWidth="1"/>
  </cols>
  <sheetData>
    <row r="1" ht="30" customHeight="1" spans="1:10" x14ac:dyDescent="0.25">
      <c r="A1" s="6" t="s">
        <v>53</v>
      </c>
      <c r="B1" s="6"/>
      <c r="C1" s="6"/>
      <c r="D1" s="6"/>
      <c r="E1" s="6"/>
      <c r="F1" s="6"/>
      <c r="G1" s="6"/>
      <c r="H1" s="6"/>
      <c r="I1" s="6"/>
      <c r="J1" s="6"/>
    </row>
    <row r="2" ht="22" customHeight="1" spans="1:10" x14ac:dyDescent="0.25">
      <c r="A2" s="7" t="s">
        <v>54</v>
      </c>
      <c r="B2" s="7"/>
      <c r="C2" s="7"/>
      <c r="D2" s="7"/>
      <c r="E2" s="7"/>
      <c r="F2" s="7"/>
      <c r="G2" s="7"/>
      <c r="H2" s="7"/>
      <c r="I2" s="7"/>
      <c r="J2" s="7"/>
    </row>
    <row r="4" ht="44" customHeight="1" spans="1:10" x14ac:dyDescent="0.25">
      <c r="A4" s="8" t="s">
        <v>55</v>
      </c>
      <c r="B4" s="8" t="s">
        <v>56</v>
      </c>
      <c r="C4" s="8" t="s">
        <v>57</v>
      </c>
      <c r="D4" s="13" t="s">
        <v>58</v>
      </c>
      <c r="E4" s="8" t="s">
        <v>59</v>
      </c>
      <c r="F4" s="13" t="s">
        <v>60</v>
      </c>
      <c r="G4" s="13" t="s">
        <v>61</v>
      </c>
      <c r="H4" s="13" t="s">
        <v>62</v>
      </c>
      <c r="I4" s="13" t="s">
        <v>63</v>
      </c>
      <c r="J4" s="13" t="s">
        <v>64</v>
      </c>
    </row>
    <row r="5" spans="1:10" x14ac:dyDescent="0.25">
      <c r="A5" s="9" t="s">
        <v>43</v>
      </c>
      <c r="B5" s="10">
        <v>46217</v>
      </c>
      <c r="C5" s="14">
        <v>2.4</v>
      </c>
      <c r="D5" s="15">
        <f>IF(A5="","",IFERROR(INDEX(Ejemplares!$F$5:$F$64,MATCH(A5,Ejemplares!$A$5:$A$64,0)),""))</f>
      </c>
      <c r="E5" s="9"/>
      <c r="F5" s="16">
        <f>IF(A5="","",COUNTIF($A$5:$A5,A5))</f>
      </c>
      <c r="G5" s="15">
        <f>IF(A5="","",A5&amp;"|"&amp;F5)</f>
      </c>
      <c r="H5" s="17">
        <f>IF(OR(F5="",F5&lt;2,C5=""),"",IFERROR(C5-INDEX($C$5:$C$504,MATCH(A5&amp;"|"&amp;(F5-1),$G$5:$G$504,0)),""))</f>
      </c>
      <c r="I5" s="16">
        <f>IF(OR(F5="",F5&lt;2,B5=""),"",IFERROR(B5-INDEX($B$5:$B$504,MATCH(A5&amp;"|"&amp;(F5-1),$G$5:$G$504,0)),""))</f>
      </c>
      <c r="J5" s="18">
        <f>IF(OR(H5="",I5="",I5=0),"",H5/I5)</f>
      </c>
    </row>
    <row r="6" spans="1:10" x14ac:dyDescent="0.25">
      <c r="A6" s="9" t="s">
        <v>43</v>
      </c>
      <c r="B6" s="10">
        <v>46247</v>
      </c>
      <c r="C6" s="14">
        <v>3.1</v>
      </c>
      <c r="D6" s="15">
        <f>IF(A6="","",IFERROR(INDEX(Ejemplares!$F$5:$F$64,MATCH(A6,Ejemplares!$A$5:$A$64,0)),""))</f>
      </c>
      <c r="E6" s="9"/>
      <c r="F6" s="16">
        <f>IF(A6="","",COUNTIF($A$5:$A6,A6))</f>
      </c>
      <c r="G6" s="15">
        <f>IF(A6="","",A6&amp;"|"&amp;F6)</f>
      </c>
      <c r="H6" s="17">
        <f>IF(OR(F6="",F6&lt;2,C6=""),"",IFERROR(C6-INDEX($C$5:$C$504,MATCH(A6&amp;"|"&amp;(F6-1),$G$5:$G$504,0)),""))</f>
      </c>
      <c r="I6" s="16">
        <f>IF(OR(F6="",F6&lt;2,B6=""),"",IFERROR(B6-INDEX($B$5:$B$504,MATCH(A6&amp;"|"&amp;(F6-1),$G$5:$G$504,0)),""))</f>
      </c>
      <c r="J6" s="18">
        <f>IF(OR(H6="",I6="",I6=0),"",H6/I6)</f>
      </c>
    </row>
    <row r="7" spans="1:10" x14ac:dyDescent="0.25">
      <c r="A7" s="9" t="s">
        <v>43</v>
      </c>
      <c r="B7" s="10">
        <v>46277</v>
      </c>
      <c r="C7" s="14">
        <v>3.9</v>
      </c>
      <c r="D7" s="15">
        <f>IF(A7="","",IFERROR(INDEX(Ejemplares!$F$5:$F$64,MATCH(A7,Ejemplares!$A$5:$A$64,0)),""))</f>
      </c>
      <c r="E7" s="9"/>
      <c r="F7" s="16">
        <f>IF(A7="","",COUNTIF($A$5:$A7,A7))</f>
      </c>
      <c r="G7" s="15">
        <f>IF(A7="","",A7&amp;"|"&amp;F7)</f>
      </c>
      <c r="H7" s="17">
        <f>IF(OR(F7="",F7&lt;2,C7=""),"",IFERROR(C7-INDEX($C$5:$C$504,MATCH(A7&amp;"|"&amp;(F7-1),$G$5:$G$504,0)),""))</f>
      </c>
      <c r="I7" s="16">
        <f>IF(OR(F7="",F7&lt;2,B7=""),"",IFERROR(B7-INDEX($B$5:$B$504,MATCH(A7&amp;"|"&amp;(F7-1),$G$5:$G$504,0)),""))</f>
      </c>
      <c r="J7" s="18">
        <f>IF(OR(H7="",I7="",I7=0),"",H7/I7)</f>
      </c>
    </row>
    <row r="8" spans="1:10" x14ac:dyDescent="0.25">
      <c r="A8" s="9" t="s">
        <v>43</v>
      </c>
      <c r="B8" s="10">
        <v>46307</v>
      </c>
      <c r="C8" s="14">
        <v>4.5</v>
      </c>
      <c r="D8" s="15">
        <f>IF(A8="","",IFERROR(INDEX(Ejemplares!$F$5:$F$64,MATCH(A8,Ejemplares!$A$5:$A$64,0)),""))</f>
      </c>
      <c r="E8" s="9"/>
      <c r="F8" s="16">
        <f>IF(A8="","",COUNTIF($A$5:$A8,A8))</f>
      </c>
      <c r="G8" s="15">
        <f>IF(A8="","",A8&amp;"|"&amp;F8)</f>
      </c>
      <c r="H8" s="17">
        <f>IF(OR(F8="",F8&lt;2,C8=""),"",IFERROR(C8-INDEX($C$5:$C$504,MATCH(A8&amp;"|"&amp;(F8-1),$G$5:$G$504,0)),""))</f>
      </c>
      <c r="I8" s="16">
        <f>IF(OR(F8="",F8&lt;2,B8=""),"",IFERROR(B8-INDEX($B$5:$B$504,MATCH(A8&amp;"|"&amp;(F8-1),$G$5:$G$504,0)),""))</f>
      </c>
      <c r="J8" s="18">
        <f>IF(OR(H8="",I8="",I8=0),"",H8/I8)</f>
      </c>
    </row>
    <row r="9" spans="1:10" x14ac:dyDescent="0.25">
      <c r="A9" s="9" t="s">
        <v>49</v>
      </c>
      <c r="B9" s="10">
        <v>46227</v>
      </c>
      <c r="C9" s="14">
        <v>310</v>
      </c>
      <c r="D9" s="15">
        <f>IF(A9="","",IFERROR(INDEX(Ejemplares!$F$5:$F$64,MATCH(A9,Ejemplares!$A$5:$A$64,0)),""))</f>
      </c>
      <c r="E9" s="9"/>
      <c r="F9" s="16">
        <f>IF(A9="","",COUNTIF($A$5:$A9,A9))</f>
      </c>
      <c r="G9" s="15">
        <f>IF(A9="","",A9&amp;"|"&amp;F9)</f>
      </c>
      <c r="H9" s="17">
        <f>IF(OR(F9="",F9&lt;2,C9=""),"",IFERROR(C9-INDEX($C$5:$C$504,MATCH(A9&amp;"|"&amp;(F9-1),$G$5:$G$504,0)),""))</f>
      </c>
      <c r="I9" s="16">
        <f>IF(OR(F9="",F9&lt;2,B9=""),"",IFERROR(B9-INDEX($B$5:$B$504,MATCH(A9&amp;"|"&amp;(F9-1),$G$5:$G$504,0)),""))</f>
      </c>
      <c r="J9" s="18">
        <f>IF(OR(H9="",I9="",I9=0),"",H9/I9)</f>
      </c>
    </row>
    <row r="10" spans="1:10" x14ac:dyDescent="0.25">
      <c r="A10" s="9" t="s">
        <v>49</v>
      </c>
      <c r="B10" s="10">
        <v>46257</v>
      </c>
      <c r="C10" s="14">
        <v>365</v>
      </c>
      <c r="D10" s="15">
        <f>IF(A10="","",IFERROR(INDEX(Ejemplares!$F$5:$F$64,MATCH(A10,Ejemplares!$A$5:$A$64,0)),""))</f>
      </c>
      <c r="E10" s="9"/>
      <c r="F10" s="16">
        <f>IF(A10="","",COUNTIF($A$5:$A10,A10))</f>
      </c>
      <c r="G10" s="15">
        <f>IF(A10="","",A10&amp;"|"&amp;F10)</f>
      </c>
      <c r="H10" s="17">
        <f>IF(OR(F10="",F10&lt;2,C10=""),"",IFERROR(C10-INDEX($C$5:$C$504,MATCH(A10&amp;"|"&amp;(F10-1),$G$5:$G$504,0)),""))</f>
      </c>
      <c r="I10" s="16">
        <f>IF(OR(F10="",F10&lt;2,B10=""),"",IFERROR(B10-INDEX($B$5:$B$504,MATCH(A10&amp;"|"&amp;(F10-1),$G$5:$G$504,0)),""))</f>
      </c>
      <c r="J10" s="18">
        <f>IF(OR(H10="",I10="",I10=0),"",H10/I10)</f>
      </c>
    </row>
    <row r="11" spans="1:10" x14ac:dyDescent="0.25">
      <c r="A11" s="9" t="s">
        <v>49</v>
      </c>
      <c r="B11" s="10">
        <v>46287</v>
      </c>
      <c r="C11" s="14">
        <v>402</v>
      </c>
      <c r="D11" s="15">
        <f>IF(A11="","",IFERROR(INDEX(Ejemplares!$F$5:$F$64,MATCH(A11,Ejemplares!$A$5:$A$64,0)),""))</f>
      </c>
      <c r="E11" s="9"/>
      <c r="F11" s="16">
        <f>IF(A11="","",COUNTIF($A$5:$A11,A11))</f>
      </c>
      <c r="G11" s="15">
        <f>IF(A11="","",A11&amp;"|"&amp;F11)</f>
      </c>
      <c r="H11" s="17">
        <f>IF(OR(F11="",F11&lt;2,C11=""),"",IFERROR(C11-INDEX($C$5:$C$504,MATCH(A11&amp;"|"&amp;(F11-1),$G$5:$G$504,0)),""))</f>
      </c>
      <c r="I11" s="16">
        <f>IF(OR(F11="",F11&lt;2,B11=""),"",IFERROR(B11-INDEX($B$5:$B$504,MATCH(A11&amp;"|"&amp;(F11-1),$G$5:$G$504,0)),""))</f>
      </c>
      <c r="J11" s="18">
        <f>IF(OR(H11="",I11="",I11=0),"",H11/I11)</f>
      </c>
    </row>
    <row r="12" spans="1:10" x14ac:dyDescent="0.25">
      <c r="A12" s="11"/>
      <c r="B12" s="12"/>
      <c r="C12" s="19"/>
      <c r="D12" s="15">
        <f>IF(A12="","",IFERROR(INDEX(Ejemplares!$F$5:$F$64,MATCH(A12,Ejemplares!$A$5:$A$64,0)),""))</f>
      </c>
      <c r="E12" s="11"/>
      <c r="F12" s="16">
        <f>IF(A12="","",COUNTIF($A$5:$A12,A12))</f>
      </c>
      <c r="G12" s="15">
        <f>IF(A12="","",A12&amp;"|"&amp;F12)</f>
      </c>
      <c r="H12" s="17">
        <f>IF(OR(F12="",F12&lt;2,C12=""),"",IFERROR(C12-INDEX($C$5:$C$504,MATCH(A12&amp;"|"&amp;(F12-1),$G$5:$G$504,0)),""))</f>
      </c>
      <c r="I12" s="16">
        <f>IF(OR(F12="",F12&lt;2,B12=""),"",IFERROR(B12-INDEX($B$5:$B$504,MATCH(A12&amp;"|"&amp;(F12-1),$G$5:$G$504,0)),""))</f>
      </c>
      <c r="J12" s="18">
        <f>IF(OR(H12="",I12="",I12=0),"",H12/I12)</f>
      </c>
    </row>
    <row r="13" spans="1:10" x14ac:dyDescent="0.25">
      <c r="A13" s="11"/>
      <c r="B13" s="12"/>
      <c r="C13" s="19"/>
      <c r="D13" s="15">
        <f>IF(A13="","",IFERROR(INDEX(Ejemplares!$F$5:$F$64,MATCH(A13,Ejemplares!$A$5:$A$64,0)),""))</f>
      </c>
      <c r="E13" s="11"/>
      <c r="F13" s="16">
        <f>IF(A13="","",COUNTIF($A$5:$A13,A13))</f>
      </c>
      <c r="G13" s="15">
        <f>IF(A13="","",A13&amp;"|"&amp;F13)</f>
      </c>
      <c r="H13" s="17">
        <f>IF(OR(F13="",F13&lt;2,C13=""),"",IFERROR(C13-INDEX($C$5:$C$504,MATCH(A13&amp;"|"&amp;(F13-1),$G$5:$G$504,0)),""))</f>
      </c>
      <c r="I13" s="16">
        <f>IF(OR(F13="",F13&lt;2,B13=""),"",IFERROR(B13-INDEX($B$5:$B$504,MATCH(A13&amp;"|"&amp;(F13-1),$G$5:$G$504,0)),""))</f>
      </c>
      <c r="J13" s="18">
        <f>IF(OR(H13="",I13="",I13=0),"",H13/I13)</f>
      </c>
    </row>
    <row r="14" spans="1:10" x14ac:dyDescent="0.25">
      <c r="A14" s="11"/>
      <c r="B14" s="12"/>
      <c r="C14" s="19"/>
      <c r="D14" s="15">
        <f>IF(A14="","",IFERROR(INDEX(Ejemplares!$F$5:$F$64,MATCH(A14,Ejemplares!$A$5:$A$64,0)),""))</f>
      </c>
      <c r="E14" s="11"/>
      <c r="F14" s="16">
        <f>IF(A14="","",COUNTIF($A$5:$A14,A14))</f>
      </c>
      <c r="G14" s="15">
        <f>IF(A14="","",A14&amp;"|"&amp;F14)</f>
      </c>
      <c r="H14" s="17">
        <f>IF(OR(F14="",F14&lt;2,C14=""),"",IFERROR(C14-INDEX($C$5:$C$504,MATCH(A14&amp;"|"&amp;(F14-1),$G$5:$G$504,0)),""))</f>
      </c>
      <c r="I14" s="16">
        <f>IF(OR(F14="",F14&lt;2,B14=""),"",IFERROR(B14-INDEX($B$5:$B$504,MATCH(A14&amp;"|"&amp;(F14-1),$G$5:$G$504,0)),""))</f>
      </c>
      <c r="J14" s="18">
        <f>IF(OR(H14="",I14="",I14=0),"",H14/I14)</f>
      </c>
    </row>
    <row r="15" spans="1:10" x14ac:dyDescent="0.25">
      <c r="A15" s="11"/>
      <c r="B15" s="12"/>
      <c r="C15" s="19"/>
      <c r="D15" s="15">
        <f>IF(A15="","",IFERROR(INDEX(Ejemplares!$F$5:$F$64,MATCH(A15,Ejemplares!$A$5:$A$64,0)),""))</f>
      </c>
      <c r="E15" s="11"/>
      <c r="F15" s="16">
        <f>IF(A15="","",COUNTIF($A$5:$A15,A15))</f>
      </c>
      <c r="G15" s="15">
        <f>IF(A15="","",A15&amp;"|"&amp;F15)</f>
      </c>
      <c r="H15" s="17">
        <f>IF(OR(F15="",F15&lt;2,C15=""),"",IFERROR(C15-INDEX($C$5:$C$504,MATCH(A15&amp;"|"&amp;(F15-1),$G$5:$G$504,0)),""))</f>
      </c>
      <c r="I15" s="16">
        <f>IF(OR(F15="",F15&lt;2,B15=""),"",IFERROR(B15-INDEX($B$5:$B$504,MATCH(A15&amp;"|"&amp;(F15-1),$G$5:$G$504,0)),""))</f>
      </c>
      <c r="J15" s="18">
        <f>IF(OR(H15="",I15="",I15=0),"",H15/I15)</f>
      </c>
    </row>
    <row r="16" spans="1:10" x14ac:dyDescent="0.25">
      <c r="A16" s="11"/>
      <c r="B16" s="12"/>
      <c r="C16" s="19"/>
      <c r="D16" s="15">
        <f>IF(A16="","",IFERROR(INDEX(Ejemplares!$F$5:$F$64,MATCH(A16,Ejemplares!$A$5:$A$64,0)),""))</f>
      </c>
      <c r="E16" s="11"/>
      <c r="F16" s="16">
        <f>IF(A16="","",COUNTIF($A$5:$A16,A16))</f>
      </c>
      <c r="G16" s="15">
        <f>IF(A16="","",A16&amp;"|"&amp;F16)</f>
      </c>
      <c r="H16" s="17">
        <f>IF(OR(F16="",F16&lt;2,C16=""),"",IFERROR(C16-INDEX($C$5:$C$504,MATCH(A16&amp;"|"&amp;(F16-1),$G$5:$G$504,0)),""))</f>
      </c>
      <c r="I16" s="16">
        <f>IF(OR(F16="",F16&lt;2,B16=""),"",IFERROR(B16-INDEX($B$5:$B$504,MATCH(A16&amp;"|"&amp;(F16-1),$G$5:$G$504,0)),""))</f>
      </c>
      <c r="J16" s="18">
        <f>IF(OR(H16="",I16="",I16=0),"",H16/I16)</f>
      </c>
    </row>
    <row r="17" spans="1:10" x14ac:dyDescent="0.25">
      <c r="A17" s="11"/>
      <c r="B17" s="12"/>
      <c r="C17" s="19"/>
      <c r="D17" s="15">
        <f>IF(A17="","",IFERROR(INDEX(Ejemplares!$F$5:$F$64,MATCH(A17,Ejemplares!$A$5:$A$64,0)),""))</f>
      </c>
      <c r="E17" s="11"/>
      <c r="F17" s="16">
        <f>IF(A17="","",COUNTIF($A$5:$A17,A17))</f>
      </c>
      <c r="G17" s="15">
        <f>IF(A17="","",A17&amp;"|"&amp;F17)</f>
      </c>
      <c r="H17" s="17">
        <f>IF(OR(F17="",F17&lt;2,C17=""),"",IFERROR(C17-INDEX($C$5:$C$504,MATCH(A17&amp;"|"&amp;(F17-1),$G$5:$G$504,0)),""))</f>
      </c>
      <c r="I17" s="16">
        <f>IF(OR(F17="",F17&lt;2,B17=""),"",IFERROR(B17-INDEX($B$5:$B$504,MATCH(A17&amp;"|"&amp;(F17-1),$G$5:$G$504,0)),""))</f>
      </c>
      <c r="J17" s="18">
        <f>IF(OR(H17="",I17="",I17=0),"",H17/I17)</f>
      </c>
    </row>
    <row r="18" spans="1:10" x14ac:dyDescent="0.25">
      <c r="A18" s="11"/>
      <c r="B18" s="12"/>
      <c r="C18" s="19"/>
      <c r="D18" s="15">
        <f>IF(A18="","",IFERROR(INDEX(Ejemplares!$F$5:$F$64,MATCH(A18,Ejemplares!$A$5:$A$64,0)),""))</f>
      </c>
      <c r="E18" s="11"/>
      <c r="F18" s="16">
        <f>IF(A18="","",COUNTIF($A$5:$A18,A18))</f>
      </c>
      <c r="G18" s="15">
        <f>IF(A18="","",A18&amp;"|"&amp;F18)</f>
      </c>
      <c r="H18" s="17">
        <f>IF(OR(F18="",F18&lt;2,C18=""),"",IFERROR(C18-INDEX($C$5:$C$504,MATCH(A18&amp;"|"&amp;(F18-1),$G$5:$G$504,0)),""))</f>
      </c>
      <c r="I18" s="16">
        <f>IF(OR(F18="",F18&lt;2,B18=""),"",IFERROR(B18-INDEX($B$5:$B$504,MATCH(A18&amp;"|"&amp;(F18-1),$G$5:$G$504,0)),""))</f>
      </c>
      <c r="J18" s="18">
        <f>IF(OR(H18="",I18="",I18=0),"",H18/I18)</f>
      </c>
    </row>
    <row r="19" spans="1:10" x14ac:dyDescent="0.25">
      <c r="A19" s="11"/>
      <c r="B19" s="12"/>
      <c r="C19" s="19"/>
      <c r="D19" s="15">
        <f>IF(A19="","",IFERROR(INDEX(Ejemplares!$F$5:$F$64,MATCH(A19,Ejemplares!$A$5:$A$64,0)),""))</f>
      </c>
      <c r="E19" s="11"/>
      <c r="F19" s="16">
        <f>IF(A19="","",COUNTIF($A$5:$A19,A19))</f>
      </c>
      <c r="G19" s="15">
        <f>IF(A19="","",A19&amp;"|"&amp;F19)</f>
      </c>
      <c r="H19" s="17">
        <f>IF(OR(F19="",F19&lt;2,C19=""),"",IFERROR(C19-INDEX($C$5:$C$504,MATCH(A19&amp;"|"&amp;(F19-1),$G$5:$G$504,0)),""))</f>
      </c>
      <c r="I19" s="16">
        <f>IF(OR(F19="",F19&lt;2,B19=""),"",IFERROR(B19-INDEX($B$5:$B$504,MATCH(A19&amp;"|"&amp;(F19-1),$G$5:$G$504,0)),""))</f>
      </c>
      <c r="J19" s="18">
        <f>IF(OR(H19="",I19="",I19=0),"",H19/I19)</f>
      </c>
    </row>
    <row r="20" spans="1:10" x14ac:dyDescent="0.25">
      <c r="A20" s="11"/>
      <c r="B20" s="12"/>
      <c r="C20" s="19"/>
      <c r="D20" s="15">
        <f>IF(A20="","",IFERROR(INDEX(Ejemplares!$F$5:$F$64,MATCH(A20,Ejemplares!$A$5:$A$64,0)),""))</f>
      </c>
      <c r="E20" s="11"/>
      <c r="F20" s="16">
        <f>IF(A20="","",COUNTIF($A$5:$A20,A20))</f>
      </c>
      <c r="G20" s="15">
        <f>IF(A20="","",A20&amp;"|"&amp;F20)</f>
      </c>
      <c r="H20" s="17">
        <f>IF(OR(F20="",F20&lt;2,C20=""),"",IFERROR(C20-INDEX($C$5:$C$504,MATCH(A20&amp;"|"&amp;(F20-1),$G$5:$G$504,0)),""))</f>
      </c>
      <c r="I20" s="16">
        <f>IF(OR(F20="",F20&lt;2,B20=""),"",IFERROR(B20-INDEX($B$5:$B$504,MATCH(A20&amp;"|"&amp;(F20-1),$G$5:$G$504,0)),""))</f>
      </c>
      <c r="J20" s="18">
        <f>IF(OR(H20="",I20="",I20=0),"",H20/I20)</f>
      </c>
    </row>
    <row r="21" spans="1:10" x14ac:dyDescent="0.25">
      <c r="A21" s="11"/>
      <c r="B21" s="12"/>
      <c r="C21" s="19"/>
      <c r="D21" s="15">
        <f>IF(A21="","",IFERROR(INDEX(Ejemplares!$F$5:$F$64,MATCH(A21,Ejemplares!$A$5:$A$64,0)),""))</f>
      </c>
      <c r="E21" s="11"/>
      <c r="F21" s="16">
        <f>IF(A21="","",COUNTIF($A$5:$A21,A21))</f>
      </c>
      <c r="G21" s="15">
        <f>IF(A21="","",A21&amp;"|"&amp;F21)</f>
      </c>
      <c r="H21" s="17">
        <f>IF(OR(F21="",F21&lt;2,C21=""),"",IFERROR(C21-INDEX($C$5:$C$504,MATCH(A21&amp;"|"&amp;(F21-1),$G$5:$G$504,0)),""))</f>
      </c>
      <c r="I21" s="16">
        <f>IF(OR(F21="",F21&lt;2,B21=""),"",IFERROR(B21-INDEX($B$5:$B$504,MATCH(A21&amp;"|"&amp;(F21-1),$G$5:$G$504,0)),""))</f>
      </c>
      <c r="J21" s="18">
        <f>IF(OR(H21="",I21="",I21=0),"",H21/I21)</f>
      </c>
    </row>
    <row r="22" spans="1:10" x14ac:dyDescent="0.25">
      <c r="A22" s="11"/>
      <c r="B22" s="12"/>
      <c r="C22" s="19"/>
      <c r="D22" s="15">
        <f>IF(A22="","",IFERROR(INDEX(Ejemplares!$F$5:$F$64,MATCH(A22,Ejemplares!$A$5:$A$64,0)),""))</f>
      </c>
      <c r="E22" s="11"/>
      <c r="F22" s="16">
        <f>IF(A22="","",COUNTIF($A$5:$A22,A22))</f>
      </c>
      <c r="G22" s="15">
        <f>IF(A22="","",A22&amp;"|"&amp;F22)</f>
      </c>
      <c r="H22" s="17">
        <f>IF(OR(F22="",F22&lt;2,C22=""),"",IFERROR(C22-INDEX($C$5:$C$504,MATCH(A22&amp;"|"&amp;(F22-1),$G$5:$G$504,0)),""))</f>
      </c>
      <c r="I22" s="16">
        <f>IF(OR(F22="",F22&lt;2,B22=""),"",IFERROR(B22-INDEX($B$5:$B$504,MATCH(A22&amp;"|"&amp;(F22-1),$G$5:$G$504,0)),""))</f>
      </c>
      <c r="J22" s="18">
        <f>IF(OR(H22="",I22="",I22=0),"",H22/I22)</f>
      </c>
    </row>
    <row r="23" spans="1:10" x14ac:dyDescent="0.25">
      <c r="A23" s="11"/>
      <c r="B23" s="12"/>
      <c r="C23" s="19"/>
      <c r="D23" s="15">
        <f>IF(A23="","",IFERROR(INDEX(Ejemplares!$F$5:$F$64,MATCH(A23,Ejemplares!$A$5:$A$64,0)),""))</f>
      </c>
      <c r="E23" s="11"/>
      <c r="F23" s="16">
        <f>IF(A23="","",COUNTIF($A$5:$A23,A23))</f>
      </c>
      <c r="G23" s="15">
        <f>IF(A23="","",A23&amp;"|"&amp;F23)</f>
      </c>
      <c r="H23" s="17">
        <f>IF(OR(F23="",F23&lt;2,C23=""),"",IFERROR(C23-INDEX($C$5:$C$504,MATCH(A23&amp;"|"&amp;(F23-1),$G$5:$G$504,0)),""))</f>
      </c>
      <c r="I23" s="16">
        <f>IF(OR(F23="",F23&lt;2,B23=""),"",IFERROR(B23-INDEX($B$5:$B$504,MATCH(A23&amp;"|"&amp;(F23-1),$G$5:$G$504,0)),""))</f>
      </c>
      <c r="J23" s="18">
        <f>IF(OR(H23="",I23="",I23=0),"",H23/I23)</f>
      </c>
    </row>
    <row r="24" spans="1:10" x14ac:dyDescent="0.25">
      <c r="A24" s="11"/>
      <c r="B24" s="12"/>
      <c r="C24" s="19"/>
      <c r="D24" s="15">
        <f>IF(A24="","",IFERROR(INDEX(Ejemplares!$F$5:$F$64,MATCH(A24,Ejemplares!$A$5:$A$64,0)),""))</f>
      </c>
      <c r="E24" s="11"/>
      <c r="F24" s="16">
        <f>IF(A24="","",COUNTIF($A$5:$A24,A24))</f>
      </c>
      <c r="G24" s="15">
        <f>IF(A24="","",A24&amp;"|"&amp;F24)</f>
      </c>
      <c r="H24" s="17">
        <f>IF(OR(F24="",F24&lt;2,C24=""),"",IFERROR(C24-INDEX($C$5:$C$504,MATCH(A24&amp;"|"&amp;(F24-1),$G$5:$G$504,0)),""))</f>
      </c>
      <c r="I24" s="16">
        <f>IF(OR(F24="",F24&lt;2,B24=""),"",IFERROR(B24-INDEX($B$5:$B$504,MATCH(A24&amp;"|"&amp;(F24-1),$G$5:$G$504,0)),""))</f>
      </c>
      <c r="J24" s="18">
        <f>IF(OR(H24="",I24="",I24=0),"",H24/I24)</f>
      </c>
    </row>
    <row r="25" spans="1:10" x14ac:dyDescent="0.25">
      <c r="A25" s="11"/>
      <c r="B25" s="12"/>
      <c r="C25" s="19"/>
      <c r="D25" s="15">
        <f>IF(A25="","",IFERROR(INDEX(Ejemplares!$F$5:$F$64,MATCH(A25,Ejemplares!$A$5:$A$64,0)),""))</f>
      </c>
      <c r="E25" s="11"/>
      <c r="F25" s="16">
        <f>IF(A25="","",COUNTIF($A$5:$A25,A25))</f>
      </c>
      <c r="G25" s="15">
        <f>IF(A25="","",A25&amp;"|"&amp;F25)</f>
      </c>
      <c r="H25" s="17">
        <f>IF(OR(F25="",F25&lt;2,C25=""),"",IFERROR(C25-INDEX($C$5:$C$504,MATCH(A25&amp;"|"&amp;(F25-1),$G$5:$G$504,0)),""))</f>
      </c>
      <c r="I25" s="16">
        <f>IF(OR(F25="",F25&lt;2,B25=""),"",IFERROR(B25-INDEX($B$5:$B$504,MATCH(A25&amp;"|"&amp;(F25-1),$G$5:$G$504,0)),""))</f>
      </c>
      <c r="J25" s="18">
        <f>IF(OR(H25="",I25="",I25=0),"",H25/I25)</f>
      </c>
    </row>
    <row r="26" spans="1:10" x14ac:dyDescent="0.25">
      <c r="A26" s="11"/>
      <c r="B26" s="12"/>
      <c r="C26" s="19"/>
      <c r="D26" s="15">
        <f>IF(A26="","",IFERROR(INDEX(Ejemplares!$F$5:$F$64,MATCH(A26,Ejemplares!$A$5:$A$64,0)),""))</f>
      </c>
      <c r="E26" s="11"/>
      <c r="F26" s="16">
        <f>IF(A26="","",COUNTIF($A$5:$A26,A26))</f>
      </c>
      <c r="G26" s="15">
        <f>IF(A26="","",A26&amp;"|"&amp;F26)</f>
      </c>
      <c r="H26" s="17">
        <f>IF(OR(F26="",F26&lt;2,C26=""),"",IFERROR(C26-INDEX($C$5:$C$504,MATCH(A26&amp;"|"&amp;(F26-1),$G$5:$G$504,0)),""))</f>
      </c>
      <c r="I26" s="16">
        <f>IF(OR(F26="",F26&lt;2,B26=""),"",IFERROR(B26-INDEX($B$5:$B$504,MATCH(A26&amp;"|"&amp;(F26-1),$G$5:$G$504,0)),""))</f>
      </c>
      <c r="J26" s="18">
        <f>IF(OR(H26="",I26="",I26=0),"",H26/I26)</f>
      </c>
    </row>
    <row r="27" spans="1:10" x14ac:dyDescent="0.25">
      <c r="A27" s="11"/>
      <c r="B27" s="12"/>
      <c r="C27" s="19"/>
      <c r="D27" s="15">
        <f>IF(A27="","",IFERROR(INDEX(Ejemplares!$F$5:$F$64,MATCH(A27,Ejemplares!$A$5:$A$64,0)),""))</f>
      </c>
      <c r="E27" s="11"/>
      <c r="F27" s="16">
        <f>IF(A27="","",COUNTIF($A$5:$A27,A27))</f>
      </c>
      <c r="G27" s="15">
        <f>IF(A27="","",A27&amp;"|"&amp;F27)</f>
      </c>
      <c r="H27" s="17">
        <f>IF(OR(F27="",F27&lt;2,C27=""),"",IFERROR(C27-INDEX($C$5:$C$504,MATCH(A27&amp;"|"&amp;(F27-1),$G$5:$G$504,0)),""))</f>
      </c>
      <c r="I27" s="16">
        <f>IF(OR(F27="",F27&lt;2,B27=""),"",IFERROR(B27-INDEX($B$5:$B$504,MATCH(A27&amp;"|"&amp;(F27-1),$G$5:$G$504,0)),""))</f>
      </c>
      <c r="J27" s="18">
        <f>IF(OR(H27="",I27="",I27=0),"",H27/I27)</f>
      </c>
    </row>
    <row r="28" spans="1:10" x14ac:dyDescent="0.25">
      <c r="A28" s="11"/>
      <c r="B28" s="12"/>
      <c r="C28" s="19"/>
      <c r="D28" s="15">
        <f>IF(A28="","",IFERROR(INDEX(Ejemplares!$F$5:$F$64,MATCH(A28,Ejemplares!$A$5:$A$64,0)),""))</f>
      </c>
      <c r="E28" s="11"/>
      <c r="F28" s="16">
        <f>IF(A28="","",COUNTIF($A$5:$A28,A28))</f>
      </c>
      <c r="G28" s="15">
        <f>IF(A28="","",A28&amp;"|"&amp;F28)</f>
      </c>
      <c r="H28" s="17">
        <f>IF(OR(F28="",F28&lt;2,C28=""),"",IFERROR(C28-INDEX($C$5:$C$504,MATCH(A28&amp;"|"&amp;(F28-1),$G$5:$G$504,0)),""))</f>
      </c>
      <c r="I28" s="16">
        <f>IF(OR(F28="",F28&lt;2,B28=""),"",IFERROR(B28-INDEX($B$5:$B$504,MATCH(A28&amp;"|"&amp;(F28-1),$G$5:$G$504,0)),""))</f>
      </c>
      <c r="J28" s="18">
        <f>IF(OR(H28="",I28="",I28=0),"",H28/I28)</f>
      </c>
    </row>
    <row r="29" spans="1:10" x14ac:dyDescent="0.25">
      <c r="A29" s="11"/>
      <c r="B29" s="12"/>
      <c r="C29" s="19"/>
      <c r="D29" s="15">
        <f>IF(A29="","",IFERROR(INDEX(Ejemplares!$F$5:$F$64,MATCH(A29,Ejemplares!$A$5:$A$64,0)),""))</f>
      </c>
      <c r="E29" s="11"/>
      <c r="F29" s="16">
        <f>IF(A29="","",COUNTIF($A$5:$A29,A29))</f>
      </c>
      <c r="G29" s="15">
        <f>IF(A29="","",A29&amp;"|"&amp;F29)</f>
      </c>
      <c r="H29" s="17">
        <f>IF(OR(F29="",F29&lt;2,C29=""),"",IFERROR(C29-INDEX($C$5:$C$504,MATCH(A29&amp;"|"&amp;(F29-1),$G$5:$G$504,0)),""))</f>
      </c>
      <c r="I29" s="16">
        <f>IF(OR(F29="",F29&lt;2,B29=""),"",IFERROR(B29-INDEX($B$5:$B$504,MATCH(A29&amp;"|"&amp;(F29-1),$G$5:$G$504,0)),""))</f>
      </c>
      <c r="J29" s="18">
        <f>IF(OR(H29="",I29="",I29=0),"",H29/I29)</f>
      </c>
    </row>
    <row r="30" spans="1:10" x14ac:dyDescent="0.25">
      <c r="A30" s="11"/>
      <c r="B30" s="12"/>
      <c r="C30" s="19"/>
      <c r="D30" s="15">
        <f>IF(A30="","",IFERROR(INDEX(Ejemplares!$F$5:$F$64,MATCH(A30,Ejemplares!$A$5:$A$64,0)),""))</f>
      </c>
      <c r="E30" s="11"/>
      <c r="F30" s="16">
        <f>IF(A30="","",COUNTIF($A$5:$A30,A30))</f>
      </c>
      <c r="G30" s="15">
        <f>IF(A30="","",A30&amp;"|"&amp;F30)</f>
      </c>
      <c r="H30" s="17">
        <f>IF(OR(F30="",F30&lt;2,C30=""),"",IFERROR(C30-INDEX($C$5:$C$504,MATCH(A30&amp;"|"&amp;(F30-1),$G$5:$G$504,0)),""))</f>
      </c>
      <c r="I30" s="16">
        <f>IF(OR(F30="",F30&lt;2,B30=""),"",IFERROR(B30-INDEX($B$5:$B$504,MATCH(A30&amp;"|"&amp;(F30-1),$G$5:$G$504,0)),""))</f>
      </c>
      <c r="J30" s="18">
        <f>IF(OR(H30="",I30="",I30=0),"",H30/I30)</f>
      </c>
    </row>
    <row r="31" spans="1:10" x14ac:dyDescent="0.25">
      <c r="A31" s="11"/>
      <c r="B31" s="12"/>
      <c r="C31" s="19"/>
      <c r="D31" s="15">
        <f>IF(A31="","",IFERROR(INDEX(Ejemplares!$F$5:$F$64,MATCH(A31,Ejemplares!$A$5:$A$64,0)),""))</f>
      </c>
      <c r="E31" s="11"/>
      <c r="F31" s="16">
        <f>IF(A31="","",COUNTIF($A$5:$A31,A31))</f>
      </c>
      <c r="G31" s="15">
        <f>IF(A31="","",A31&amp;"|"&amp;F31)</f>
      </c>
      <c r="H31" s="17">
        <f>IF(OR(F31="",F31&lt;2,C31=""),"",IFERROR(C31-INDEX($C$5:$C$504,MATCH(A31&amp;"|"&amp;(F31-1),$G$5:$G$504,0)),""))</f>
      </c>
      <c r="I31" s="16">
        <f>IF(OR(F31="",F31&lt;2,B31=""),"",IFERROR(B31-INDEX($B$5:$B$504,MATCH(A31&amp;"|"&amp;(F31-1),$G$5:$G$504,0)),""))</f>
      </c>
      <c r="J31" s="18">
        <f>IF(OR(H31="",I31="",I31=0),"",H31/I31)</f>
      </c>
    </row>
    <row r="32" spans="1:10" x14ac:dyDescent="0.25">
      <c r="A32" s="11"/>
      <c r="B32" s="12"/>
      <c r="C32" s="19"/>
      <c r="D32" s="15">
        <f>IF(A32="","",IFERROR(INDEX(Ejemplares!$F$5:$F$64,MATCH(A32,Ejemplares!$A$5:$A$64,0)),""))</f>
      </c>
      <c r="E32" s="11"/>
      <c r="F32" s="16">
        <f>IF(A32="","",COUNTIF($A$5:$A32,A32))</f>
      </c>
      <c r="G32" s="15">
        <f>IF(A32="","",A32&amp;"|"&amp;F32)</f>
      </c>
      <c r="H32" s="17">
        <f>IF(OR(F32="",F32&lt;2,C32=""),"",IFERROR(C32-INDEX($C$5:$C$504,MATCH(A32&amp;"|"&amp;(F32-1),$G$5:$G$504,0)),""))</f>
      </c>
      <c r="I32" s="16">
        <f>IF(OR(F32="",F32&lt;2,B32=""),"",IFERROR(B32-INDEX($B$5:$B$504,MATCH(A32&amp;"|"&amp;(F32-1),$G$5:$G$504,0)),""))</f>
      </c>
      <c r="J32" s="18">
        <f>IF(OR(H32="",I32="",I32=0),"",H32/I32)</f>
      </c>
    </row>
    <row r="33" spans="1:10" x14ac:dyDescent="0.25">
      <c r="A33" s="11"/>
      <c r="B33" s="12"/>
      <c r="C33" s="19"/>
      <c r="D33" s="15">
        <f>IF(A33="","",IFERROR(INDEX(Ejemplares!$F$5:$F$64,MATCH(A33,Ejemplares!$A$5:$A$64,0)),""))</f>
      </c>
      <c r="E33" s="11"/>
      <c r="F33" s="16">
        <f>IF(A33="","",COUNTIF($A$5:$A33,A33))</f>
      </c>
      <c r="G33" s="15">
        <f>IF(A33="","",A33&amp;"|"&amp;F33)</f>
      </c>
      <c r="H33" s="17">
        <f>IF(OR(F33="",F33&lt;2,C33=""),"",IFERROR(C33-INDEX($C$5:$C$504,MATCH(A33&amp;"|"&amp;(F33-1),$G$5:$G$504,0)),""))</f>
      </c>
      <c r="I33" s="16">
        <f>IF(OR(F33="",F33&lt;2,B33=""),"",IFERROR(B33-INDEX($B$5:$B$504,MATCH(A33&amp;"|"&amp;(F33-1),$G$5:$G$504,0)),""))</f>
      </c>
      <c r="J33" s="18">
        <f>IF(OR(H33="",I33="",I33=0),"",H33/I33)</f>
      </c>
    </row>
    <row r="34" spans="1:10" x14ac:dyDescent="0.25">
      <c r="A34" s="11"/>
      <c r="B34" s="12"/>
      <c r="C34" s="19"/>
      <c r="D34" s="15">
        <f>IF(A34="","",IFERROR(INDEX(Ejemplares!$F$5:$F$64,MATCH(A34,Ejemplares!$A$5:$A$64,0)),""))</f>
      </c>
      <c r="E34" s="11"/>
      <c r="F34" s="16">
        <f>IF(A34="","",COUNTIF($A$5:$A34,A34))</f>
      </c>
      <c r="G34" s="15">
        <f>IF(A34="","",A34&amp;"|"&amp;F34)</f>
      </c>
      <c r="H34" s="17">
        <f>IF(OR(F34="",F34&lt;2,C34=""),"",IFERROR(C34-INDEX($C$5:$C$504,MATCH(A34&amp;"|"&amp;(F34-1),$G$5:$G$504,0)),""))</f>
      </c>
      <c r="I34" s="16">
        <f>IF(OR(F34="",F34&lt;2,B34=""),"",IFERROR(B34-INDEX($B$5:$B$504,MATCH(A34&amp;"|"&amp;(F34-1),$G$5:$G$504,0)),""))</f>
      </c>
      <c r="J34" s="18">
        <f>IF(OR(H34="",I34="",I34=0),"",H34/I34)</f>
      </c>
    </row>
    <row r="35" spans="1:10" x14ac:dyDescent="0.25">
      <c r="A35" s="11"/>
      <c r="B35" s="12"/>
      <c r="C35" s="19"/>
      <c r="D35" s="15">
        <f>IF(A35="","",IFERROR(INDEX(Ejemplares!$F$5:$F$64,MATCH(A35,Ejemplares!$A$5:$A$64,0)),""))</f>
      </c>
      <c r="E35" s="11"/>
      <c r="F35" s="16">
        <f>IF(A35="","",COUNTIF($A$5:$A35,A35))</f>
      </c>
      <c r="G35" s="15">
        <f>IF(A35="","",A35&amp;"|"&amp;F35)</f>
      </c>
      <c r="H35" s="17">
        <f>IF(OR(F35="",F35&lt;2,C35=""),"",IFERROR(C35-INDEX($C$5:$C$504,MATCH(A35&amp;"|"&amp;(F35-1),$G$5:$G$504,0)),""))</f>
      </c>
      <c r="I35" s="16">
        <f>IF(OR(F35="",F35&lt;2,B35=""),"",IFERROR(B35-INDEX($B$5:$B$504,MATCH(A35&amp;"|"&amp;(F35-1),$G$5:$G$504,0)),""))</f>
      </c>
      <c r="J35" s="18">
        <f>IF(OR(H35="",I35="",I35=0),"",H35/I35)</f>
      </c>
    </row>
    <row r="36" spans="1:10" x14ac:dyDescent="0.25">
      <c r="A36" s="11"/>
      <c r="B36" s="12"/>
      <c r="C36" s="19"/>
      <c r="D36" s="15">
        <f>IF(A36="","",IFERROR(INDEX(Ejemplares!$F$5:$F$64,MATCH(A36,Ejemplares!$A$5:$A$64,0)),""))</f>
      </c>
      <c r="E36" s="11"/>
      <c r="F36" s="16">
        <f>IF(A36="","",COUNTIF($A$5:$A36,A36))</f>
      </c>
      <c r="G36" s="15">
        <f>IF(A36="","",A36&amp;"|"&amp;F36)</f>
      </c>
      <c r="H36" s="17">
        <f>IF(OR(F36="",F36&lt;2,C36=""),"",IFERROR(C36-INDEX($C$5:$C$504,MATCH(A36&amp;"|"&amp;(F36-1),$G$5:$G$504,0)),""))</f>
      </c>
      <c r="I36" s="16">
        <f>IF(OR(F36="",F36&lt;2,B36=""),"",IFERROR(B36-INDEX($B$5:$B$504,MATCH(A36&amp;"|"&amp;(F36-1),$G$5:$G$504,0)),""))</f>
      </c>
      <c r="J36" s="18">
        <f>IF(OR(H36="",I36="",I36=0),"",H36/I36)</f>
      </c>
    </row>
    <row r="37" spans="1:10" x14ac:dyDescent="0.25">
      <c r="A37" s="11"/>
      <c r="B37" s="12"/>
      <c r="C37" s="19"/>
      <c r="D37" s="15">
        <f>IF(A37="","",IFERROR(INDEX(Ejemplares!$F$5:$F$64,MATCH(A37,Ejemplares!$A$5:$A$64,0)),""))</f>
      </c>
      <c r="E37" s="11"/>
      <c r="F37" s="16">
        <f>IF(A37="","",COUNTIF($A$5:$A37,A37))</f>
      </c>
      <c r="G37" s="15">
        <f>IF(A37="","",A37&amp;"|"&amp;F37)</f>
      </c>
      <c r="H37" s="17">
        <f>IF(OR(F37="",F37&lt;2,C37=""),"",IFERROR(C37-INDEX($C$5:$C$504,MATCH(A37&amp;"|"&amp;(F37-1),$G$5:$G$504,0)),""))</f>
      </c>
      <c r="I37" s="16">
        <f>IF(OR(F37="",F37&lt;2,B37=""),"",IFERROR(B37-INDEX($B$5:$B$504,MATCH(A37&amp;"|"&amp;(F37-1),$G$5:$G$504,0)),""))</f>
      </c>
      <c r="J37" s="18">
        <f>IF(OR(H37="",I37="",I37=0),"",H37/I37)</f>
      </c>
    </row>
    <row r="38" spans="1:10" x14ac:dyDescent="0.25">
      <c r="A38" s="11"/>
      <c r="B38" s="12"/>
      <c r="C38" s="19"/>
      <c r="D38" s="15">
        <f>IF(A38="","",IFERROR(INDEX(Ejemplares!$F$5:$F$64,MATCH(A38,Ejemplares!$A$5:$A$64,0)),""))</f>
      </c>
      <c r="E38" s="11"/>
      <c r="F38" s="16">
        <f>IF(A38="","",COUNTIF($A$5:$A38,A38))</f>
      </c>
      <c r="G38" s="15">
        <f>IF(A38="","",A38&amp;"|"&amp;F38)</f>
      </c>
      <c r="H38" s="17">
        <f>IF(OR(F38="",F38&lt;2,C38=""),"",IFERROR(C38-INDEX($C$5:$C$504,MATCH(A38&amp;"|"&amp;(F38-1),$G$5:$G$504,0)),""))</f>
      </c>
      <c r="I38" s="16">
        <f>IF(OR(F38="",F38&lt;2,B38=""),"",IFERROR(B38-INDEX($B$5:$B$504,MATCH(A38&amp;"|"&amp;(F38-1),$G$5:$G$504,0)),""))</f>
      </c>
      <c r="J38" s="18">
        <f>IF(OR(H38="",I38="",I38=0),"",H38/I38)</f>
      </c>
    </row>
    <row r="39" spans="1:10" x14ac:dyDescent="0.25">
      <c r="A39" s="11"/>
      <c r="B39" s="12"/>
      <c r="C39" s="19"/>
      <c r="D39" s="15">
        <f>IF(A39="","",IFERROR(INDEX(Ejemplares!$F$5:$F$64,MATCH(A39,Ejemplares!$A$5:$A$64,0)),""))</f>
      </c>
      <c r="E39" s="11"/>
      <c r="F39" s="16">
        <f>IF(A39="","",COUNTIF($A$5:$A39,A39))</f>
      </c>
      <c r="G39" s="15">
        <f>IF(A39="","",A39&amp;"|"&amp;F39)</f>
      </c>
      <c r="H39" s="17">
        <f>IF(OR(F39="",F39&lt;2,C39=""),"",IFERROR(C39-INDEX($C$5:$C$504,MATCH(A39&amp;"|"&amp;(F39-1),$G$5:$G$504,0)),""))</f>
      </c>
      <c r="I39" s="16">
        <f>IF(OR(F39="",F39&lt;2,B39=""),"",IFERROR(B39-INDEX($B$5:$B$504,MATCH(A39&amp;"|"&amp;(F39-1),$G$5:$G$504,0)),""))</f>
      </c>
      <c r="J39" s="18">
        <f>IF(OR(H39="",I39="",I39=0),"",H39/I39)</f>
      </c>
    </row>
    <row r="40" spans="1:10" x14ac:dyDescent="0.25">
      <c r="A40" s="11"/>
      <c r="B40" s="12"/>
      <c r="C40" s="19"/>
      <c r="D40" s="15">
        <f>IF(A40="","",IFERROR(INDEX(Ejemplares!$F$5:$F$64,MATCH(A40,Ejemplares!$A$5:$A$64,0)),""))</f>
      </c>
      <c r="E40" s="11"/>
      <c r="F40" s="16">
        <f>IF(A40="","",COUNTIF($A$5:$A40,A40))</f>
      </c>
      <c r="G40" s="15">
        <f>IF(A40="","",A40&amp;"|"&amp;F40)</f>
      </c>
      <c r="H40" s="17">
        <f>IF(OR(F40="",F40&lt;2,C40=""),"",IFERROR(C40-INDEX($C$5:$C$504,MATCH(A40&amp;"|"&amp;(F40-1),$G$5:$G$504,0)),""))</f>
      </c>
      <c r="I40" s="16">
        <f>IF(OR(F40="",F40&lt;2,B40=""),"",IFERROR(B40-INDEX($B$5:$B$504,MATCH(A40&amp;"|"&amp;(F40-1),$G$5:$G$504,0)),""))</f>
      </c>
      <c r="J40" s="18">
        <f>IF(OR(H40="",I40="",I40=0),"",H40/I40)</f>
      </c>
    </row>
    <row r="41" spans="1:10" x14ac:dyDescent="0.25">
      <c r="A41" s="11"/>
      <c r="B41" s="12"/>
      <c r="C41" s="19"/>
      <c r="D41" s="15">
        <f>IF(A41="","",IFERROR(INDEX(Ejemplares!$F$5:$F$64,MATCH(A41,Ejemplares!$A$5:$A$64,0)),""))</f>
      </c>
      <c r="E41" s="11"/>
      <c r="F41" s="16">
        <f>IF(A41="","",COUNTIF($A$5:$A41,A41))</f>
      </c>
      <c r="G41" s="15">
        <f>IF(A41="","",A41&amp;"|"&amp;F41)</f>
      </c>
      <c r="H41" s="17">
        <f>IF(OR(F41="",F41&lt;2,C41=""),"",IFERROR(C41-INDEX($C$5:$C$504,MATCH(A41&amp;"|"&amp;(F41-1),$G$5:$G$504,0)),""))</f>
      </c>
      <c r="I41" s="16">
        <f>IF(OR(F41="",F41&lt;2,B41=""),"",IFERROR(B41-INDEX($B$5:$B$504,MATCH(A41&amp;"|"&amp;(F41-1),$G$5:$G$504,0)),""))</f>
      </c>
      <c r="J41" s="18">
        <f>IF(OR(H41="",I41="",I41=0),"",H41/I41)</f>
      </c>
    </row>
    <row r="42" spans="1:10" x14ac:dyDescent="0.25">
      <c r="A42" s="11"/>
      <c r="B42" s="12"/>
      <c r="C42" s="19"/>
      <c r="D42" s="15">
        <f>IF(A42="","",IFERROR(INDEX(Ejemplares!$F$5:$F$64,MATCH(A42,Ejemplares!$A$5:$A$64,0)),""))</f>
      </c>
      <c r="E42" s="11"/>
      <c r="F42" s="16">
        <f>IF(A42="","",COUNTIF($A$5:$A42,A42))</f>
      </c>
      <c r="G42" s="15">
        <f>IF(A42="","",A42&amp;"|"&amp;F42)</f>
      </c>
      <c r="H42" s="17">
        <f>IF(OR(F42="",F42&lt;2,C42=""),"",IFERROR(C42-INDEX($C$5:$C$504,MATCH(A42&amp;"|"&amp;(F42-1),$G$5:$G$504,0)),""))</f>
      </c>
      <c r="I42" s="16">
        <f>IF(OR(F42="",F42&lt;2,B42=""),"",IFERROR(B42-INDEX($B$5:$B$504,MATCH(A42&amp;"|"&amp;(F42-1),$G$5:$G$504,0)),""))</f>
      </c>
      <c r="J42" s="18">
        <f>IF(OR(H42="",I42="",I42=0),"",H42/I42)</f>
      </c>
    </row>
    <row r="43" spans="1:10" x14ac:dyDescent="0.25">
      <c r="A43" s="11"/>
      <c r="B43" s="12"/>
      <c r="C43" s="19"/>
      <c r="D43" s="15">
        <f>IF(A43="","",IFERROR(INDEX(Ejemplares!$F$5:$F$64,MATCH(A43,Ejemplares!$A$5:$A$64,0)),""))</f>
      </c>
      <c r="E43" s="11"/>
      <c r="F43" s="16">
        <f>IF(A43="","",COUNTIF($A$5:$A43,A43))</f>
      </c>
      <c r="G43" s="15">
        <f>IF(A43="","",A43&amp;"|"&amp;F43)</f>
      </c>
      <c r="H43" s="17">
        <f>IF(OR(F43="",F43&lt;2,C43=""),"",IFERROR(C43-INDEX($C$5:$C$504,MATCH(A43&amp;"|"&amp;(F43-1),$G$5:$G$504,0)),""))</f>
      </c>
      <c r="I43" s="16">
        <f>IF(OR(F43="",F43&lt;2,B43=""),"",IFERROR(B43-INDEX($B$5:$B$504,MATCH(A43&amp;"|"&amp;(F43-1),$G$5:$G$504,0)),""))</f>
      </c>
      <c r="J43" s="18">
        <f>IF(OR(H43="",I43="",I43=0),"",H43/I43)</f>
      </c>
    </row>
    <row r="44" spans="1:10" x14ac:dyDescent="0.25">
      <c r="A44" s="11"/>
      <c r="B44" s="12"/>
      <c r="C44" s="19"/>
      <c r="D44" s="15">
        <f>IF(A44="","",IFERROR(INDEX(Ejemplares!$F$5:$F$64,MATCH(A44,Ejemplares!$A$5:$A$64,0)),""))</f>
      </c>
      <c r="E44" s="11"/>
      <c r="F44" s="16">
        <f>IF(A44="","",COUNTIF($A$5:$A44,A44))</f>
      </c>
      <c r="G44" s="15">
        <f>IF(A44="","",A44&amp;"|"&amp;F44)</f>
      </c>
      <c r="H44" s="17">
        <f>IF(OR(F44="",F44&lt;2,C44=""),"",IFERROR(C44-INDEX($C$5:$C$504,MATCH(A44&amp;"|"&amp;(F44-1),$G$5:$G$504,0)),""))</f>
      </c>
      <c r="I44" s="16">
        <f>IF(OR(F44="",F44&lt;2,B44=""),"",IFERROR(B44-INDEX($B$5:$B$504,MATCH(A44&amp;"|"&amp;(F44-1),$G$5:$G$504,0)),""))</f>
      </c>
      <c r="J44" s="18">
        <f>IF(OR(H44="",I44="",I44=0),"",H44/I44)</f>
      </c>
    </row>
    <row r="45" spans="1:10" x14ac:dyDescent="0.25">
      <c r="A45" s="11"/>
      <c r="B45" s="12"/>
      <c r="C45" s="19"/>
      <c r="D45" s="15">
        <f>IF(A45="","",IFERROR(INDEX(Ejemplares!$F$5:$F$64,MATCH(A45,Ejemplares!$A$5:$A$64,0)),""))</f>
      </c>
      <c r="E45" s="11"/>
      <c r="F45" s="16">
        <f>IF(A45="","",COUNTIF($A$5:$A45,A45))</f>
      </c>
      <c r="G45" s="15">
        <f>IF(A45="","",A45&amp;"|"&amp;F45)</f>
      </c>
      <c r="H45" s="17">
        <f>IF(OR(F45="",F45&lt;2,C45=""),"",IFERROR(C45-INDEX($C$5:$C$504,MATCH(A45&amp;"|"&amp;(F45-1),$G$5:$G$504,0)),""))</f>
      </c>
      <c r="I45" s="16">
        <f>IF(OR(F45="",F45&lt;2,B45=""),"",IFERROR(B45-INDEX($B$5:$B$504,MATCH(A45&amp;"|"&amp;(F45-1),$G$5:$G$504,0)),""))</f>
      </c>
      <c r="J45" s="18">
        <f>IF(OR(H45="",I45="",I45=0),"",H45/I45)</f>
      </c>
    </row>
    <row r="46" spans="1:10" x14ac:dyDescent="0.25">
      <c r="A46" s="11"/>
      <c r="B46" s="12"/>
      <c r="C46" s="19"/>
      <c r="D46" s="15">
        <f>IF(A46="","",IFERROR(INDEX(Ejemplares!$F$5:$F$64,MATCH(A46,Ejemplares!$A$5:$A$64,0)),""))</f>
      </c>
      <c r="E46" s="11"/>
      <c r="F46" s="16">
        <f>IF(A46="","",COUNTIF($A$5:$A46,A46))</f>
      </c>
      <c r="G46" s="15">
        <f>IF(A46="","",A46&amp;"|"&amp;F46)</f>
      </c>
      <c r="H46" s="17">
        <f>IF(OR(F46="",F46&lt;2,C46=""),"",IFERROR(C46-INDEX($C$5:$C$504,MATCH(A46&amp;"|"&amp;(F46-1),$G$5:$G$504,0)),""))</f>
      </c>
      <c r="I46" s="16">
        <f>IF(OR(F46="",F46&lt;2,B46=""),"",IFERROR(B46-INDEX($B$5:$B$504,MATCH(A46&amp;"|"&amp;(F46-1),$G$5:$G$504,0)),""))</f>
      </c>
      <c r="J46" s="18">
        <f>IF(OR(H46="",I46="",I46=0),"",H46/I46)</f>
      </c>
    </row>
    <row r="47" spans="1:10" x14ac:dyDescent="0.25">
      <c r="A47" s="11"/>
      <c r="B47" s="12"/>
      <c r="C47" s="19"/>
      <c r="D47" s="15">
        <f>IF(A47="","",IFERROR(INDEX(Ejemplares!$F$5:$F$64,MATCH(A47,Ejemplares!$A$5:$A$64,0)),""))</f>
      </c>
      <c r="E47" s="11"/>
      <c r="F47" s="16">
        <f>IF(A47="","",COUNTIF($A$5:$A47,A47))</f>
      </c>
      <c r="G47" s="15">
        <f>IF(A47="","",A47&amp;"|"&amp;F47)</f>
      </c>
      <c r="H47" s="17">
        <f>IF(OR(F47="",F47&lt;2,C47=""),"",IFERROR(C47-INDEX($C$5:$C$504,MATCH(A47&amp;"|"&amp;(F47-1),$G$5:$G$504,0)),""))</f>
      </c>
      <c r="I47" s="16">
        <f>IF(OR(F47="",F47&lt;2,B47=""),"",IFERROR(B47-INDEX($B$5:$B$504,MATCH(A47&amp;"|"&amp;(F47-1),$G$5:$G$504,0)),""))</f>
      </c>
      <c r="J47" s="18">
        <f>IF(OR(H47="",I47="",I47=0),"",H47/I47)</f>
      </c>
    </row>
    <row r="48" spans="1:10" x14ac:dyDescent="0.25">
      <c r="A48" s="11"/>
      <c r="B48" s="12"/>
      <c r="C48" s="19"/>
      <c r="D48" s="15">
        <f>IF(A48="","",IFERROR(INDEX(Ejemplares!$F$5:$F$64,MATCH(A48,Ejemplares!$A$5:$A$64,0)),""))</f>
      </c>
      <c r="E48" s="11"/>
      <c r="F48" s="16">
        <f>IF(A48="","",COUNTIF($A$5:$A48,A48))</f>
      </c>
      <c r="G48" s="15">
        <f>IF(A48="","",A48&amp;"|"&amp;F48)</f>
      </c>
      <c r="H48" s="17">
        <f>IF(OR(F48="",F48&lt;2,C48=""),"",IFERROR(C48-INDEX($C$5:$C$504,MATCH(A48&amp;"|"&amp;(F48-1),$G$5:$G$504,0)),""))</f>
      </c>
      <c r="I48" s="16">
        <f>IF(OR(F48="",F48&lt;2,B48=""),"",IFERROR(B48-INDEX($B$5:$B$504,MATCH(A48&amp;"|"&amp;(F48-1),$G$5:$G$504,0)),""))</f>
      </c>
      <c r="J48" s="18">
        <f>IF(OR(H48="",I48="",I48=0),"",H48/I48)</f>
      </c>
    </row>
    <row r="49" spans="1:10" x14ac:dyDescent="0.25">
      <c r="A49" s="11"/>
      <c r="B49" s="12"/>
      <c r="C49" s="19"/>
      <c r="D49" s="15">
        <f>IF(A49="","",IFERROR(INDEX(Ejemplares!$F$5:$F$64,MATCH(A49,Ejemplares!$A$5:$A$64,0)),""))</f>
      </c>
      <c r="E49" s="11"/>
      <c r="F49" s="16">
        <f>IF(A49="","",COUNTIF($A$5:$A49,A49))</f>
      </c>
      <c r="G49" s="15">
        <f>IF(A49="","",A49&amp;"|"&amp;F49)</f>
      </c>
      <c r="H49" s="17">
        <f>IF(OR(F49="",F49&lt;2,C49=""),"",IFERROR(C49-INDEX($C$5:$C$504,MATCH(A49&amp;"|"&amp;(F49-1),$G$5:$G$504,0)),""))</f>
      </c>
      <c r="I49" s="16">
        <f>IF(OR(F49="",F49&lt;2,B49=""),"",IFERROR(B49-INDEX($B$5:$B$504,MATCH(A49&amp;"|"&amp;(F49-1),$G$5:$G$504,0)),""))</f>
      </c>
      <c r="J49" s="18">
        <f>IF(OR(H49="",I49="",I49=0),"",H49/I49)</f>
      </c>
    </row>
    <row r="50" spans="1:10" x14ac:dyDescent="0.25">
      <c r="A50" s="11"/>
      <c r="B50" s="12"/>
      <c r="C50" s="19"/>
      <c r="D50" s="15">
        <f>IF(A50="","",IFERROR(INDEX(Ejemplares!$F$5:$F$64,MATCH(A50,Ejemplares!$A$5:$A$64,0)),""))</f>
      </c>
      <c r="E50" s="11"/>
      <c r="F50" s="16">
        <f>IF(A50="","",COUNTIF($A$5:$A50,A50))</f>
      </c>
      <c r="G50" s="15">
        <f>IF(A50="","",A50&amp;"|"&amp;F50)</f>
      </c>
      <c r="H50" s="17">
        <f>IF(OR(F50="",F50&lt;2,C50=""),"",IFERROR(C50-INDEX($C$5:$C$504,MATCH(A50&amp;"|"&amp;(F50-1),$G$5:$G$504,0)),""))</f>
      </c>
      <c r="I50" s="16">
        <f>IF(OR(F50="",F50&lt;2,B50=""),"",IFERROR(B50-INDEX($B$5:$B$504,MATCH(A50&amp;"|"&amp;(F50-1),$G$5:$G$504,0)),""))</f>
      </c>
      <c r="J50" s="18">
        <f>IF(OR(H50="",I50="",I50=0),"",H50/I50)</f>
      </c>
    </row>
    <row r="51" spans="1:10" x14ac:dyDescent="0.25">
      <c r="A51" s="11"/>
      <c r="B51" s="12"/>
      <c r="C51" s="19"/>
      <c r="D51" s="15">
        <f>IF(A51="","",IFERROR(INDEX(Ejemplares!$F$5:$F$64,MATCH(A51,Ejemplares!$A$5:$A$64,0)),""))</f>
      </c>
      <c r="E51" s="11"/>
      <c r="F51" s="16">
        <f>IF(A51="","",COUNTIF($A$5:$A51,A51))</f>
      </c>
      <c r="G51" s="15">
        <f>IF(A51="","",A51&amp;"|"&amp;F51)</f>
      </c>
      <c r="H51" s="17">
        <f>IF(OR(F51="",F51&lt;2,C51=""),"",IFERROR(C51-INDEX($C$5:$C$504,MATCH(A51&amp;"|"&amp;(F51-1),$G$5:$G$504,0)),""))</f>
      </c>
      <c r="I51" s="16">
        <f>IF(OR(F51="",F51&lt;2,B51=""),"",IFERROR(B51-INDEX($B$5:$B$504,MATCH(A51&amp;"|"&amp;(F51-1),$G$5:$G$504,0)),""))</f>
      </c>
      <c r="J51" s="18">
        <f>IF(OR(H51="",I51="",I51=0),"",H51/I51)</f>
      </c>
    </row>
    <row r="52" spans="1:10" x14ac:dyDescent="0.25">
      <c r="A52" s="11"/>
      <c r="B52" s="12"/>
      <c r="C52" s="19"/>
      <c r="D52" s="15">
        <f>IF(A52="","",IFERROR(INDEX(Ejemplares!$F$5:$F$64,MATCH(A52,Ejemplares!$A$5:$A$64,0)),""))</f>
      </c>
      <c r="E52" s="11"/>
      <c r="F52" s="16">
        <f>IF(A52="","",COUNTIF($A$5:$A52,A52))</f>
      </c>
      <c r="G52" s="15">
        <f>IF(A52="","",A52&amp;"|"&amp;F52)</f>
      </c>
      <c r="H52" s="17">
        <f>IF(OR(F52="",F52&lt;2,C52=""),"",IFERROR(C52-INDEX($C$5:$C$504,MATCH(A52&amp;"|"&amp;(F52-1),$G$5:$G$504,0)),""))</f>
      </c>
      <c r="I52" s="16">
        <f>IF(OR(F52="",F52&lt;2,B52=""),"",IFERROR(B52-INDEX($B$5:$B$504,MATCH(A52&amp;"|"&amp;(F52-1),$G$5:$G$504,0)),""))</f>
      </c>
      <c r="J52" s="18">
        <f>IF(OR(H52="",I52="",I52=0),"",H52/I52)</f>
      </c>
    </row>
    <row r="53" spans="1:10" x14ac:dyDescent="0.25">
      <c r="A53" s="11"/>
      <c r="B53" s="12"/>
      <c r="C53" s="19"/>
      <c r="D53" s="15">
        <f>IF(A53="","",IFERROR(INDEX(Ejemplares!$F$5:$F$64,MATCH(A53,Ejemplares!$A$5:$A$64,0)),""))</f>
      </c>
      <c r="E53" s="11"/>
      <c r="F53" s="16">
        <f>IF(A53="","",COUNTIF($A$5:$A53,A53))</f>
      </c>
      <c r="G53" s="15">
        <f>IF(A53="","",A53&amp;"|"&amp;F53)</f>
      </c>
      <c r="H53" s="17">
        <f>IF(OR(F53="",F53&lt;2,C53=""),"",IFERROR(C53-INDEX($C$5:$C$504,MATCH(A53&amp;"|"&amp;(F53-1),$G$5:$G$504,0)),""))</f>
      </c>
      <c r="I53" s="16">
        <f>IF(OR(F53="",F53&lt;2,B53=""),"",IFERROR(B53-INDEX($B$5:$B$504,MATCH(A53&amp;"|"&amp;(F53-1),$G$5:$G$504,0)),""))</f>
      </c>
      <c r="J53" s="18">
        <f>IF(OR(H53="",I53="",I53=0),"",H53/I53)</f>
      </c>
    </row>
    <row r="54" spans="1:10" x14ac:dyDescent="0.25">
      <c r="A54" s="11"/>
      <c r="B54" s="12"/>
      <c r="C54" s="19"/>
      <c r="D54" s="15">
        <f>IF(A54="","",IFERROR(INDEX(Ejemplares!$F$5:$F$64,MATCH(A54,Ejemplares!$A$5:$A$64,0)),""))</f>
      </c>
      <c r="E54" s="11"/>
      <c r="F54" s="16">
        <f>IF(A54="","",COUNTIF($A$5:$A54,A54))</f>
      </c>
      <c r="G54" s="15">
        <f>IF(A54="","",A54&amp;"|"&amp;F54)</f>
      </c>
      <c r="H54" s="17">
        <f>IF(OR(F54="",F54&lt;2,C54=""),"",IFERROR(C54-INDEX($C$5:$C$504,MATCH(A54&amp;"|"&amp;(F54-1),$G$5:$G$504,0)),""))</f>
      </c>
      <c r="I54" s="16">
        <f>IF(OR(F54="",F54&lt;2,B54=""),"",IFERROR(B54-INDEX($B$5:$B$504,MATCH(A54&amp;"|"&amp;(F54-1),$G$5:$G$504,0)),""))</f>
      </c>
      <c r="J54" s="18">
        <f>IF(OR(H54="",I54="",I54=0),"",H54/I54)</f>
      </c>
    </row>
    <row r="55" spans="1:10" x14ac:dyDescent="0.25">
      <c r="A55" s="11"/>
      <c r="B55" s="12"/>
      <c r="C55" s="19"/>
      <c r="D55" s="15">
        <f>IF(A55="","",IFERROR(INDEX(Ejemplares!$F$5:$F$64,MATCH(A55,Ejemplares!$A$5:$A$64,0)),""))</f>
      </c>
      <c r="E55" s="11"/>
      <c r="F55" s="16">
        <f>IF(A55="","",COUNTIF($A$5:$A55,A55))</f>
      </c>
      <c r="G55" s="15">
        <f>IF(A55="","",A55&amp;"|"&amp;F55)</f>
      </c>
      <c r="H55" s="17">
        <f>IF(OR(F55="",F55&lt;2,C55=""),"",IFERROR(C55-INDEX($C$5:$C$504,MATCH(A55&amp;"|"&amp;(F55-1),$G$5:$G$504,0)),""))</f>
      </c>
      <c r="I55" s="16">
        <f>IF(OR(F55="",F55&lt;2,B55=""),"",IFERROR(B55-INDEX($B$5:$B$504,MATCH(A55&amp;"|"&amp;(F55-1),$G$5:$G$504,0)),""))</f>
      </c>
      <c r="J55" s="18">
        <f>IF(OR(H55="",I55="",I55=0),"",H55/I55)</f>
      </c>
    </row>
    <row r="56" spans="1:10" x14ac:dyDescent="0.25">
      <c r="A56" s="11"/>
      <c r="B56" s="12"/>
      <c r="C56" s="19"/>
      <c r="D56" s="15">
        <f>IF(A56="","",IFERROR(INDEX(Ejemplares!$F$5:$F$64,MATCH(A56,Ejemplares!$A$5:$A$64,0)),""))</f>
      </c>
      <c r="E56" s="11"/>
      <c r="F56" s="16">
        <f>IF(A56="","",COUNTIF($A$5:$A56,A56))</f>
      </c>
      <c r="G56" s="15">
        <f>IF(A56="","",A56&amp;"|"&amp;F56)</f>
      </c>
      <c r="H56" s="17">
        <f>IF(OR(F56="",F56&lt;2,C56=""),"",IFERROR(C56-INDEX($C$5:$C$504,MATCH(A56&amp;"|"&amp;(F56-1),$G$5:$G$504,0)),""))</f>
      </c>
      <c r="I56" s="16">
        <f>IF(OR(F56="",F56&lt;2,B56=""),"",IFERROR(B56-INDEX($B$5:$B$504,MATCH(A56&amp;"|"&amp;(F56-1),$G$5:$G$504,0)),""))</f>
      </c>
      <c r="J56" s="18">
        <f>IF(OR(H56="",I56="",I56=0),"",H56/I56)</f>
      </c>
    </row>
    <row r="57" spans="1:10" x14ac:dyDescent="0.25">
      <c r="A57" s="11"/>
      <c r="B57" s="12"/>
      <c r="C57" s="19"/>
      <c r="D57" s="15">
        <f>IF(A57="","",IFERROR(INDEX(Ejemplares!$F$5:$F$64,MATCH(A57,Ejemplares!$A$5:$A$64,0)),""))</f>
      </c>
      <c r="E57" s="11"/>
      <c r="F57" s="16">
        <f>IF(A57="","",COUNTIF($A$5:$A57,A57))</f>
      </c>
      <c r="G57" s="15">
        <f>IF(A57="","",A57&amp;"|"&amp;F57)</f>
      </c>
      <c r="H57" s="17">
        <f>IF(OR(F57="",F57&lt;2,C57=""),"",IFERROR(C57-INDEX($C$5:$C$504,MATCH(A57&amp;"|"&amp;(F57-1),$G$5:$G$504,0)),""))</f>
      </c>
      <c r="I57" s="16">
        <f>IF(OR(F57="",F57&lt;2,B57=""),"",IFERROR(B57-INDEX($B$5:$B$504,MATCH(A57&amp;"|"&amp;(F57-1),$G$5:$G$504,0)),""))</f>
      </c>
      <c r="J57" s="18">
        <f>IF(OR(H57="",I57="",I57=0),"",H57/I57)</f>
      </c>
    </row>
    <row r="58" spans="1:10" x14ac:dyDescent="0.25">
      <c r="A58" s="11"/>
      <c r="B58" s="12"/>
      <c r="C58" s="19"/>
      <c r="D58" s="15">
        <f>IF(A58="","",IFERROR(INDEX(Ejemplares!$F$5:$F$64,MATCH(A58,Ejemplares!$A$5:$A$64,0)),""))</f>
      </c>
      <c r="E58" s="11"/>
      <c r="F58" s="16">
        <f>IF(A58="","",COUNTIF($A$5:$A58,A58))</f>
      </c>
      <c r="G58" s="15">
        <f>IF(A58="","",A58&amp;"|"&amp;F58)</f>
      </c>
      <c r="H58" s="17">
        <f>IF(OR(F58="",F58&lt;2,C58=""),"",IFERROR(C58-INDEX($C$5:$C$504,MATCH(A58&amp;"|"&amp;(F58-1),$G$5:$G$504,0)),""))</f>
      </c>
      <c r="I58" s="16">
        <f>IF(OR(F58="",F58&lt;2,B58=""),"",IFERROR(B58-INDEX($B$5:$B$504,MATCH(A58&amp;"|"&amp;(F58-1),$G$5:$G$504,0)),""))</f>
      </c>
      <c r="J58" s="18">
        <f>IF(OR(H58="",I58="",I58=0),"",H58/I58)</f>
      </c>
    </row>
    <row r="59" spans="1:10" x14ac:dyDescent="0.25">
      <c r="A59" s="11"/>
      <c r="B59" s="12"/>
      <c r="C59" s="19"/>
      <c r="D59" s="15">
        <f>IF(A59="","",IFERROR(INDEX(Ejemplares!$F$5:$F$64,MATCH(A59,Ejemplares!$A$5:$A$64,0)),""))</f>
      </c>
      <c r="E59" s="11"/>
      <c r="F59" s="16">
        <f>IF(A59="","",COUNTIF($A$5:$A59,A59))</f>
      </c>
      <c r="G59" s="15">
        <f>IF(A59="","",A59&amp;"|"&amp;F59)</f>
      </c>
      <c r="H59" s="17">
        <f>IF(OR(F59="",F59&lt;2,C59=""),"",IFERROR(C59-INDEX($C$5:$C$504,MATCH(A59&amp;"|"&amp;(F59-1),$G$5:$G$504,0)),""))</f>
      </c>
      <c r="I59" s="16">
        <f>IF(OR(F59="",F59&lt;2,B59=""),"",IFERROR(B59-INDEX($B$5:$B$504,MATCH(A59&amp;"|"&amp;(F59-1),$G$5:$G$504,0)),""))</f>
      </c>
      <c r="J59" s="18">
        <f>IF(OR(H59="",I59="",I59=0),"",H59/I59)</f>
      </c>
    </row>
    <row r="60" spans="1:10" x14ac:dyDescent="0.25">
      <c r="A60" s="11"/>
      <c r="B60" s="12"/>
      <c r="C60" s="19"/>
      <c r="D60" s="15">
        <f>IF(A60="","",IFERROR(INDEX(Ejemplares!$F$5:$F$64,MATCH(A60,Ejemplares!$A$5:$A$64,0)),""))</f>
      </c>
      <c r="E60" s="11"/>
      <c r="F60" s="16">
        <f>IF(A60="","",COUNTIF($A$5:$A60,A60))</f>
      </c>
      <c r="G60" s="15">
        <f>IF(A60="","",A60&amp;"|"&amp;F60)</f>
      </c>
      <c r="H60" s="17">
        <f>IF(OR(F60="",F60&lt;2,C60=""),"",IFERROR(C60-INDEX($C$5:$C$504,MATCH(A60&amp;"|"&amp;(F60-1),$G$5:$G$504,0)),""))</f>
      </c>
      <c r="I60" s="16">
        <f>IF(OR(F60="",F60&lt;2,B60=""),"",IFERROR(B60-INDEX($B$5:$B$504,MATCH(A60&amp;"|"&amp;(F60-1),$G$5:$G$504,0)),""))</f>
      </c>
      <c r="J60" s="18">
        <f>IF(OR(H60="",I60="",I60=0),"",H60/I60)</f>
      </c>
    </row>
    <row r="61" spans="1:10" x14ac:dyDescent="0.25">
      <c r="A61" s="11"/>
      <c r="B61" s="12"/>
      <c r="C61" s="19"/>
      <c r="D61" s="15">
        <f>IF(A61="","",IFERROR(INDEX(Ejemplares!$F$5:$F$64,MATCH(A61,Ejemplares!$A$5:$A$64,0)),""))</f>
      </c>
      <c r="E61" s="11"/>
      <c r="F61" s="16">
        <f>IF(A61="","",COUNTIF($A$5:$A61,A61))</f>
      </c>
      <c r="G61" s="15">
        <f>IF(A61="","",A61&amp;"|"&amp;F61)</f>
      </c>
      <c r="H61" s="17">
        <f>IF(OR(F61="",F61&lt;2,C61=""),"",IFERROR(C61-INDEX($C$5:$C$504,MATCH(A61&amp;"|"&amp;(F61-1),$G$5:$G$504,0)),""))</f>
      </c>
      <c r="I61" s="16">
        <f>IF(OR(F61="",F61&lt;2,B61=""),"",IFERROR(B61-INDEX($B$5:$B$504,MATCH(A61&amp;"|"&amp;(F61-1),$G$5:$G$504,0)),""))</f>
      </c>
      <c r="J61" s="18">
        <f>IF(OR(H61="",I61="",I61=0),"",H61/I61)</f>
      </c>
    </row>
    <row r="62" spans="1:10" x14ac:dyDescent="0.25">
      <c r="A62" s="11"/>
      <c r="B62" s="12"/>
      <c r="C62" s="19"/>
      <c r="D62" s="15">
        <f>IF(A62="","",IFERROR(INDEX(Ejemplares!$F$5:$F$64,MATCH(A62,Ejemplares!$A$5:$A$64,0)),""))</f>
      </c>
      <c r="E62" s="11"/>
      <c r="F62" s="16">
        <f>IF(A62="","",COUNTIF($A$5:$A62,A62))</f>
      </c>
      <c r="G62" s="15">
        <f>IF(A62="","",A62&amp;"|"&amp;F62)</f>
      </c>
      <c r="H62" s="17">
        <f>IF(OR(F62="",F62&lt;2,C62=""),"",IFERROR(C62-INDEX($C$5:$C$504,MATCH(A62&amp;"|"&amp;(F62-1),$G$5:$G$504,0)),""))</f>
      </c>
      <c r="I62" s="16">
        <f>IF(OR(F62="",F62&lt;2,B62=""),"",IFERROR(B62-INDEX($B$5:$B$504,MATCH(A62&amp;"|"&amp;(F62-1),$G$5:$G$504,0)),""))</f>
      </c>
      <c r="J62" s="18">
        <f>IF(OR(H62="",I62="",I62=0),"",H62/I62)</f>
      </c>
    </row>
    <row r="63" spans="1:10" x14ac:dyDescent="0.25">
      <c r="A63" s="11"/>
      <c r="B63" s="12"/>
      <c r="C63" s="19"/>
      <c r="D63" s="15">
        <f>IF(A63="","",IFERROR(INDEX(Ejemplares!$F$5:$F$64,MATCH(A63,Ejemplares!$A$5:$A$64,0)),""))</f>
      </c>
      <c r="E63" s="11"/>
      <c r="F63" s="16">
        <f>IF(A63="","",COUNTIF($A$5:$A63,A63))</f>
      </c>
      <c r="G63" s="15">
        <f>IF(A63="","",A63&amp;"|"&amp;F63)</f>
      </c>
      <c r="H63" s="17">
        <f>IF(OR(F63="",F63&lt;2,C63=""),"",IFERROR(C63-INDEX($C$5:$C$504,MATCH(A63&amp;"|"&amp;(F63-1),$G$5:$G$504,0)),""))</f>
      </c>
      <c r="I63" s="16">
        <f>IF(OR(F63="",F63&lt;2,B63=""),"",IFERROR(B63-INDEX($B$5:$B$504,MATCH(A63&amp;"|"&amp;(F63-1),$G$5:$G$504,0)),""))</f>
      </c>
      <c r="J63" s="18">
        <f>IF(OR(H63="",I63="",I63=0),"",H63/I63)</f>
      </c>
    </row>
    <row r="64" spans="1:10" x14ac:dyDescent="0.25">
      <c r="A64" s="11"/>
      <c r="B64" s="12"/>
      <c r="C64" s="19"/>
      <c r="D64" s="15">
        <f>IF(A64="","",IFERROR(INDEX(Ejemplares!$F$5:$F$64,MATCH(A64,Ejemplares!$A$5:$A$64,0)),""))</f>
      </c>
      <c r="E64" s="11"/>
      <c r="F64" s="16">
        <f>IF(A64="","",COUNTIF($A$5:$A64,A64))</f>
      </c>
      <c r="G64" s="15">
        <f>IF(A64="","",A64&amp;"|"&amp;F64)</f>
      </c>
      <c r="H64" s="17">
        <f>IF(OR(F64="",F64&lt;2,C64=""),"",IFERROR(C64-INDEX($C$5:$C$504,MATCH(A64&amp;"|"&amp;(F64-1),$G$5:$G$504,0)),""))</f>
      </c>
      <c r="I64" s="16">
        <f>IF(OR(F64="",F64&lt;2,B64=""),"",IFERROR(B64-INDEX($B$5:$B$504,MATCH(A64&amp;"|"&amp;(F64-1),$G$5:$G$504,0)),""))</f>
      </c>
      <c r="J64" s="18">
        <f>IF(OR(H64="",I64="",I64=0),"",H64/I64)</f>
      </c>
    </row>
    <row r="65" spans="1:10" x14ac:dyDescent="0.25">
      <c r="A65" s="11"/>
      <c r="B65" s="12"/>
      <c r="C65" s="19"/>
      <c r="D65" s="15">
        <f>IF(A65="","",IFERROR(INDEX(Ejemplares!$F$5:$F$64,MATCH(A65,Ejemplares!$A$5:$A$64,0)),""))</f>
      </c>
      <c r="E65" s="11"/>
      <c r="F65" s="16">
        <f>IF(A65="","",COUNTIF($A$5:$A65,A65))</f>
      </c>
      <c r="G65" s="15">
        <f>IF(A65="","",A65&amp;"|"&amp;F65)</f>
      </c>
      <c r="H65" s="17">
        <f>IF(OR(F65="",F65&lt;2,C65=""),"",IFERROR(C65-INDEX($C$5:$C$504,MATCH(A65&amp;"|"&amp;(F65-1),$G$5:$G$504,0)),""))</f>
      </c>
      <c r="I65" s="16">
        <f>IF(OR(F65="",F65&lt;2,B65=""),"",IFERROR(B65-INDEX($B$5:$B$504,MATCH(A65&amp;"|"&amp;(F65-1),$G$5:$G$504,0)),""))</f>
      </c>
      <c r="J65" s="18">
        <f>IF(OR(H65="",I65="",I65=0),"",H65/I65)</f>
      </c>
    </row>
    <row r="66" spans="1:10" x14ac:dyDescent="0.25">
      <c r="A66" s="11"/>
      <c r="B66" s="12"/>
      <c r="C66" s="19"/>
      <c r="D66" s="15">
        <f>IF(A66="","",IFERROR(INDEX(Ejemplares!$F$5:$F$64,MATCH(A66,Ejemplares!$A$5:$A$64,0)),""))</f>
      </c>
      <c r="E66" s="11"/>
      <c r="F66" s="16">
        <f>IF(A66="","",COUNTIF($A$5:$A66,A66))</f>
      </c>
      <c r="G66" s="15">
        <f>IF(A66="","",A66&amp;"|"&amp;F66)</f>
      </c>
      <c r="H66" s="17">
        <f>IF(OR(F66="",F66&lt;2,C66=""),"",IFERROR(C66-INDEX($C$5:$C$504,MATCH(A66&amp;"|"&amp;(F66-1),$G$5:$G$504,0)),""))</f>
      </c>
      <c r="I66" s="16">
        <f>IF(OR(F66="",F66&lt;2,B66=""),"",IFERROR(B66-INDEX($B$5:$B$504,MATCH(A66&amp;"|"&amp;(F66-1),$G$5:$G$504,0)),""))</f>
      </c>
      <c r="J66" s="18">
        <f>IF(OR(H66="",I66="",I66=0),"",H66/I66)</f>
      </c>
    </row>
    <row r="67" spans="1:10" x14ac:dyDescent="0.25">
      <c r="A67" s="11"/>
      <c r="B67" s="12"/>
      <c r="C67" s="19"/>
      <c r="D67" s="15">
        <f>IF(A67="","",IFERROR(INDEX(Ejemplares!$F$5:$F$64,MATCH(A67,Ejemplares!$A$5:$A$64,0)),""))</f>
      </c>
      <c r="E67" s="11"/>
      <c r="F67" s="16">
        <f>IF(A67="","",COUNTIF($A$5:$A67,A67))</f>
      </c>
      <c r="G67" s="15">
        <f>IF(A67="","",A67&amp;"|"&amp;F67)</f>
      </c>
      <c r="H67" s="17">
        <f>IF(OR(F67="",F67&lt;2,C67=""),"",IFERROR(C67-INDEX($C$5:$C$504,MATCH(A67&amp;"|"&amp;(F67-1),$G$5:$G$504,0)),""))</f>
      </c>
      <c r="I67" s="16">
        <f>IF(OR(F67="",F67&lt;2,B67=""),"",IFERROR(B67-INDEX($B$5:$B$504,MATCH(A67&amp;"|"&amp;(F67-1),$G$5:$G$504,0)),""))</f>
      </c>
      <c r="J67" s="18">
        <f>IF(OR(H67="",I67="",I67=0),"",H67/I67)</f>
      </c>
    </row>
    <row r="68" spans="1:10" x14ac:dyDescent="0.25">
      <c r="A68" s="11"/>
      <c r="B68" s="12"/>
      <c r="C68" s="19"/>
      <c r="D68" s="15">
        <f>IF(A68="","",IFERROR(INDEX(Ejemplares!$F$5:$F$64,MATCH(A68,Ejemplares!$A$5:$A$64,0)),""))</f>
      </c>
      <c r="E68" s="11"/>
      <c r="F68" s="16">
        <f>IF(A68="","",COUNTIF($A$5:$A68,A68))</f>
      </c>
      <c r="G68" s="15">
        <f>IF(A68="","",A68&amp;"|"&amp;F68)</f>
      </c>
      <c r="H68" s="17">
        <f>IF(OR(F68="",F68&lt;2,C68=""),"",IFERROR(C68-INDEX($C$5:$C$504,MATCH(A68&amp;"|"&amp;(F68-1),$G$5:$G$504,0)),""))</f>
      </c>
      <c r="I68" s="16">
        <f>IF(OR(F68="",F68&lt;2,B68=""),"",IFERROR(B68-INDEX($B$5:$B$504,MATCH(A68&amp;"|"&amp;(F68-1),$G$5:$G$504,0)),""))</f>
      </c>
      <c r="J68" s="18">
        <f>IF(OR(H68="",I68="",I68=0),"",H68/I68)</f>
      </c>
    </row>
    <row r="69" spans="1:10" x14ac:dyDescent="0.25">
      <c r="A69" s="11"/>
      <c r="B69" s="12"/>
      <c r="C69" s="19"/>
      <c r="D69" s="15">
        <f>IF(A69="","",IFERROR(INDEX(Ejemplares!$F$5:$F$64,MATCH(A69,Ejemplares!$A$5:$A$64,0)),""))</f>
      </c>
      <c r="E69" s="11"/>
      <c r="F69" s="16">
        <f>IF(A69="","",COUNTIF($A$5:$A69,A69))</f>
      </c>
      <c r="G69" s="15">
        <f>IF(A69="","",A69&amp;"|"&amp;F69)</f>
      </c>
      <c r="H69" s="17">
        <f>IF(OR(F69="",F69&lt;2,C69=""),"",IFERROR(C69-INDEX($C$5:$C$504,MATCH(A69&amp;"|"&amp;(F69-1),$G$5:$G$504,0)),""))</f>
      </c>
      <c r="I69" s="16">
        <f>IF(OR(F69="",F69&lt;2,B69=""),"",IFERROR(B69-INDEX($B$5:$B$504,MATCH(A69&amp;"|"&amp;(F69-1),$G$5:$G$504,0)),""))</f>
      </c>
      <c r="J69" s="18">
        <f>IF(OR(H69="",I69="",I69=0),"",H69/I69)</f>
      </c>
    </row>
    <row r="70" spans="1:10" x14ac:dyDescent="0.25">
      <c r="A70" s="11"/>
      <c r="B70" s="12"/>
      <c r="C70" s="19"/>
      <c r="D70" s="15">
        <f>IF(A70="","",IFERROR(INDEX(Ejemplares!$F$5:$F$64,MATCH(A70,Ejemplares!$A$5:$A$64,0)),""))</f>
      </c>
      <c r="E70" s="11"/>
      <c r="F70" s="16">
        <f>IF(A70="","",COUNTIF($A$5:$A70,A70))</f>
      </c>
      <c r="G70" s="15">
        <f>IF(A70="","",A70&amp;"|"&amp;F70)</f>
      </c>
      <c r="H70" s="17">
        <f>IF(OR(F70="",F70&lt;2,C70=""),"",IFERROR(C70-INDEX($C$5:$C$504,MATCH(A70&amp;"|"&amp;(F70-1),$G$5:$G$504,0)),""))</f>
      </c>
      <c r="I70" s="16">
        <f>IF(OR(F70="",F70&lt;2,B70=""),"",IFERROR(B70-INDEX($B$5:$B$504,MATCH(A70&amp;"|"&amp;(F70-1),$G$5:$G$504,0)),""))</f>
      </c>
      <c r="J70" s="18">
        <f>IF(OR(H70="",I70="",I70=0),"",H70/I70)</f>
      </c>
    </row>
    <row r="71" spans="1:10" x14ac:dyDescent="0.25">
      <c r="A71" s="11"/>
      <c r="B71" s="12"/>
      <c r="C71" s="19"/>
      <c r="D71" s="15">
        <f>IF(A71="","",IFERROR(INDEX(Ejemplares!$F$5:$F$64,MATCH(A71,Ejemplares!$A$5:$A$64,0)),""))</f>
      </c>
      <c r="E71" s="11"/>
      <c r="F71" s="16">
        <f>IF(A71="","",COUNTIF($A$5:$A71,A71))</f>
      </c>
      <c r="G71" s="15">
        <f>IF(A71="","",A71&amp;"|"&amp;F71)</f>
      </c>
      <c r="H71" s="17">
        <f>IF(OR(F71="",F71&lt;2,C71=""),"",IFERROR(C71-INDEX($C$5:$C$504,MATCH(A71&amp;"|"&amp;(F71-1),$G$5:$G$504,0)),""))</f>
      </c>
      <c r="I71" s="16">
        <f>IF(OR(F71="",F71&lt;2,B71=""),"",IFERROR(B71-INDEX($B$5:$B$504,MATCH(A71&amp;"|"&amp;(F71-1),$G$5:$G$504,0)),""))</f>
      </c>
      <c r="J71" s="18">
        <f>IF(OR(H71="",I71="",I71=0),"",H71/I71)</f>
      </c>
    </row>
    <row r="72" spans="1:10" x14ac:dyDescent="0.25">
      <c r="A72" s="11"/>
      <c r="B72" s="12"/>
      <c r="C72" s="19"/>
      <c r="D72" s="15">
        <f>IF(A72="","",IFERROR(INDEX(Ejemplares!$F$5:$F$64,MATCH(A72,Ejemplares!$A$5:$A$64,0)),""))</f>
      </c>
      <c r="E72" s="11"/>
      <c r="F72" s="16">
        <f>IF(A72="","",COUNTIF($A$5:$A72,A72))</f>
      </c>
      <c r="G72" s="15">
        <f>IF(A72="","",A72&amp;"|"&amp;F72)</f>
      </c>
      <c r="H72" s="17">
        <f>IF(OR(F72="",F72&lt;2,C72=""),"",IFERROR(C72-INDEX($C$5:$C$504,MATCH(A72&amp;"|"&amp;(F72-1),$G$5:$G$504,0)),""))</f>
      </c>
      <c r="I72" s="16">
        <f>IF(OR(F72="",F72&lt;2,B72=""),"",IFERROR(B72-INDEX($B$5:$B$504,MATCH(A72&amp;"|"&amp;(F72-1),$G$5:$G$504,0)),""))</f>
      </c>
      <c r="J72" s="18">
        <f>IF(OR(H72="",I72="",I72=0),"",H72/I72)</f>
      </c>
    </row>
    <row r="73" spans="1:10" x14ac:dyDescent="0.25">
      <c r="A73" s="11"/>
      <c r="B73" s="12"/>
      <c r="C73" s="19"/>
      <c r="D73" s="15">
        <f>IF(A73="","",IFERROR(INDEX(Ejemplares!$F$5:$F$64,MATCH(A73,Ejemplares!$A$5:$A$64,0)),""))</f>
      </c>
      <c r="E73" s="11"/>
      <c r="F73" s="16">
        <f>IF(A73="","",COUNTIF($A$5:$A73,A73))</f>
      </c>
      <c r="G73" s="15">
        <f>IF(A73="","",A73&amp;"|"&amp;F73)</f>
      </c>
      <c r="H73" s="17">
        <f>IF(OR(F73="",F73&lt;2,C73=""),"",IFERROR(C73-INDEX($C$5:$C$504,MATCH(A73&amp;"|"&amp;(F73-1),$G$5:$G$504,0)),""))</f>
      </c>
      <c r="I73" s="16">
        <f>IF(OR(F73="",F73&lt;2,B73=""),"",IFERROR(B73-INDEX($B$5:$B$504,MATCH(A73&amp;"|"&amp;(F73-1),$G$5:$G$504,0)),""))</f>
      </c>
      <c r="J73" s="18">
        <f>IF(OR(H73="",I73="",I73=0),"",H73/I73)</f>
      </c>
    </row>
    <row r="74" spans="1:10" x14ac:dyDescent="0.25">
      <c r="A74" s="11"/>
      <c r="B74" s="12"/>
      <c r="C74" s="19"/>
      <c r="D74" s="15">
        <f>IF(A74="","",IFERROR(INDEX(Ejemplares!$F$5:$F$64,MATCH(A74,Ejemplares!$A$5:$A$64,0)),""))</f>
      </c>
      <c r="E74" s="11"/>
      <c r="F74" s="16">
        <f>IF(A74="","",COUNTIF($A$5:$A74,A74))</f>
      </c>
      <c r="G74" s="15">
        <f>IF(A74="","",A74&amp;"|"&amp;F74)</f>
      </c>
      <c r="H74" s="17">
        <f>IF(OR(F74="",F74&lt;2,C74=""),"",IFERROR(C74-INDEX($C$5:$C$504,MATCH(A74&amp;"|"&amp;(F74-1),$G$5:$G$504,0)),""))</f>
      </c>
      <c r="I74" s="16">
        <f>IF(OR(F74="",F74&lt;2,B74=""),"",IFERROR(B74-INDEX($B$5:$B$504,MATCH(A74&amp;"|"&amp;(F74-1),$G$5:$G$504,0)),""))</f>
      </c>
      <c r="J74" s="18">
        <f>IF(OR(H74="",I74="",I74=0),"",H74/I74)</f>
      </c>
    </row>
    <row r="75" spans="1:10" x14ac:dyDescent="0.25">
      <c r="A75" s="11"/>
      <c r="B75" s="12"/>
      <c r="C75" s="19"/>
      <c r="D75" s="15">
        <f>IF(A75="","",IFERROR(INDEX(Ejemplares!$F$5:$F$64,MATCH(A75,Ejemplares!$A$5:$A$64,0)),""))</f>
      </c>
      <c r="E75" s="11"/>
      <c r="F75" s="16">
        <f>IF(A75="","",COUNTIF($A$5:$A75,A75))</f>
      </c>
      <c r="G75" s="15">
        <f>IF(A75="","",A75&amp;"|"&amp;F75)</f>
      </c>
      <c r="H75" s="17">
        <f>IF(OR(F75="",F75&lt;2,C75=""),"",IFERROR(C75-INDEX($C$5:$C$504,MATCH(A75&amp;"|"&amp;(F75-1),$G$5:$G$504,0)),""))</f>
      </c>
      <c r="I75" s="16">
        <f>IF(OR(F75="",F75&lt;2,B75=""),"",IFERROR(B75-INDEX($B$5:$B$504,MATCH(A75&amp;"|"&amp;(F75-1),$G$5:$G$504,0)),""))</f>
      </c>
      <c r="J75" s="18">
        <f>IF(OR(H75="",I75="",I75=0),"",H75/I75)</f>
      </c>
    </row>
    <row r="76" spans="1:10" x14ac:dyDescent="0.25">
      <c r="A76" s="11"/>
      <c r="B76" s="12"/>
      <c r="C76" s="19"/>
      <c r="D76" s="15">
        <f>IF(A76="","",IFERROR(INDEX(Ejemplares!$F$5:$F$64,MATCH(A76,Ejemplares!$A$5:$A$64,0)),""))</f>
      </c>
      <c r="E76" s="11"/>
      <c r="F76" s="16">
        <f>IF(A76="","",COUNTIF($A$5:$A76,A76))</f>
      </c>
      <c r="G76" s="15">
        <f>IF(A76="","",A76&amp;"|"&amp;F76)</f>
      </c>
      <c r="H76" s="17">
        <f>IF(OR(F76="",F76&lt;2,C76=""),"",IFERROR(C76-INDEX($C$5:$C$504,MATCH(A76&amp;"|"&amp;(F76-1),$G$5:$G$504,0)),""))</f>
      </c>
      <c r="I76" s="16">
        <f>IF(OR(F76="",F76&lt;2,B76=""),"",IFERROR(B76-INDEX($B$5:$B$504,MATCH(A76&amp;"|"&amp;(F76-1),$G$5:$G$504,0)),""))</f>
      </c>
      <c r="J76" s="18">
        <f>IF(OR(H76="",I76="",I76=0),"",H76/I76)</f>
      </c>
    </row>
    <row r="77" spans="1:10" x14ac:dyDescent="0.25">
      <c r="A77" s="11"/>
      <c r="B77" s="12"/>
      <c r="C77" s="19"/>
      <c r="D77" s="15">
        <f>IF(A77="","",IFERROR(INDEX(Ejemplares!$F$5:$F$64,MATCH(A77,Ejemplares!$A$5:$A$64,0)),""))</f>
      </c>
      <c r="E77" s="11"/>
      <c r="F77" s="16">
        <f>IF(A77="","",COUNTIF($A$5:$A77,A77))</f>
      </c>
      <c r="G77" s="15">
        <f>IF(A77="","",A77&amp;"|"&amp;F77)</f>
      </c>
      <c r="H77" s="17">
        <f>IF(OR(F77="",F77&lt;2,C77=""),"",IFERROR(C77-INDEX($C$5:$C$504,MATCH(A77&amp;"|"&amp;(F77-1),$G$5:$G$504,0)),""))</f>
      </c>
      <c r="I77" s="16">
        <f>IF(OR(F77="",F77&lt;2,B77=""),"",IFERROR(B77-INDEX($B$5:$B$504,MATCH(A77&amp;"|"&amp;(F77-1),$G$5:$G$504,0)),""))</f>
      </c>
      <c r="J77" s="18">
        <f>IF(OR(H77="",I77="",I77=0),"",H77/I77)</f>
      </c>
    </row>
    <row r="78" spans="1:10" x14ac:dyDescent="0.25">
      <c r="A78" s="11"/>
      <c r="B78" s="12"/>
      <c r="C78" s="19"/>
      <c r="D78" s="15">
        <f>IF(A78="","",IFERROR(INDEX(Ejemplares!$F$5:$F$64,MATCH(A78,Ejemplares!$A$5:$A$64,0)),""))</f>
      </c>
      <c r="E78" s="11"/>
      <c r="F78" s="16">
        <f>IF(A78="","",COUNTIF($A$5:$A78,A78))</f>
      </c>
      <c r="G78" s="15">
        <f>IF(A78="","",A78&amp;"|"&amp;F78)</f>
      </c>
      <c r="H78" s="17">
        <f>IF(OR(F78="",F78&lt;2,C78=""),"",IFERROR(C78-INDEX($C$5:$C$504,MATCH(A78&amp;"|"&amp;(F78-1),$G$5:$G$504,0)),""))</f>
      </c>
      <c r="I78" s="16">
        <f>IF(OR(F78="",F78&lt;2,B78=""),"",IFERROR(B78-INDEX($B$5:$B$504,MATCH(A78&amp;"|"&amp;(F78-1),$G$5:$G$504,0)),""))</f>
      </c>
      <c r="J78" s="18">
        <f>IF(OR(H78="",I78="",I78=0),"",H78/I78)</f>
      </c>
    </row>
    <row r="79" spans="1:10" x14ac:dyDescent="0.25">
      <c r="A79" s="11"/>
      <c r="B79" s="12"/>
      <c r="C79" s="19"/>
      <c r="D79" s="15">
        <f>IF(A79="","",IFERROR(INDEX(Ejemplares!$F$5:$F$64,MATCH(A79,Ejemplares!$A$5:$A$64,0)),""))</f>
      </c>
      <c r="E79" s="11"/>
      <c r="F79" s="16">
        <f>IF(A79="","",COUNTIF($A$5:$A79,A79))</f>
      </c>
      <c r="G79" s="15">
        <f>IF(A79="","",A79&amp;"|"&amp;F79)</f>
      </c>
      <c r="H79" s="17">
        <f>IF(OR(F79="",F79&lt;2,C79=""),"",IFERROR(C79-INDEX($C$5:$C$504,MATCH(A79&amp;"|"&amp;(F79-1),$G$5:$G$504,0)),""))</f>
      </c>
      <c r="I79" s="16">
        <f>IF(OR(F79="",F79&lt;2,B79=""),"",IFERROR(B79-INDEX($B$5:$B$504,MATCH(A79&amp;"|"&amp;(F79-1),$G$5:$G$504,0)),""))</f>
      </c>
      <c r="J79" s="18">
        <f>IF(OR(H79="",I79="",I79=0),"",H79/I79)</f>
      </c>
    </row>
    <row r="80" spans="1:10" x14ac:dyDescent="0.25">
      <c r="A80" s="11"/>
      <c r="B80" s="12"/>
      <c r="C80" s="19"/>
      <c r="D80" s="15">
        <f>IF(A80="","",IFERROR(INDEX(Ejemplares!$F$5:$F$64,MATCH(A80,Ejemplares!$A$5:$A$64,0)),""))</f>
      </c>
      <c r="E80" s="11"/>
      <c r="F80" s="16">
        <f>IF(A80="","",COUNTIF($A$5:$A80,A80))</f>
      </c>
      <c r="G80" s="15">
        <f>IF(A80="","",A80&amp;"|"&amp;F80)</f>
      </c>
      <c r="H80" s="17">
        <f>IF(OR(F80="",F80&lt;2,C80=""),"",IFERROR(C80-INDEX($C$5:$C$504,MATCH(A80&amp;"|"&amp;(F80-1),$G$5:$G$504,0)),""))</f>
      </c>
      <c r="I80" s="16">
        <f>IF(OR(F80="",F80&lt;2,B80=""),"",IFERROR(B80-INDEX($B$5:$B$504,MATCH(A80&amp;"|"&amp;(F80-1),$G$5:$G$504,0)),""))</f>
      </c>
      <c r="J80" s="18">
        <f>IF(OR(H80="",I80="",I80=0),"",H80/I80)</f>
      </c>
    </row>
    <row r="81" spans="1:10" x14ac:dyDescent="0.25">
      <c r="A81" s="11"/>
      <c r="B81" s="12"/>
      <c r="C81" s="19"/>
      <c r="D81" s="15">
        <f>IF(A81="","",IFERROR(INDEX(Ejemplares!$F$5:$F$64,MATCH(A81,Ejemplares!$A$5:$A$64,0)),""))</f>
      </c>
      <c r="E81" s="11"/>
      <c r="F81" s="16">
        <f>IF(A81="","",COUNTIF($A$5:$A81,A81))</f>
      </c>
      <c r="G81" s="15">
        <f>IF(A81="","",A81&amp;"|"&amp;F81)</f>
      </c>
      <c r="H81" s="17">
        <f>IF(OR(F81="",F81&lt;2,C81=""),"",IFERROR(C81-INDEX($C$5:$C$504,MATCH(A81&amp;"|"&amp;(F81-1),$G$5:$G$504,0)),""))</f>
      </c>
      <c r="I81" s="16">
        <f>IF(OR(F81="",F81&lt;2,B81=""),"",IFERROR(B81-INDEX($B$5:$B$504,MATCH(A81&amp;"|"&amp;(F81-1),$G$5:$G$504,0)),""))</f>
      </c>
      <c r="J81" s="18">
        <f>IF(OR(H81="",I81="",I81=0),"",H81/I81)</f>
      </c>
    </row>
    <row r="82" spans="1:10" x14ac:dyDescent="0.25">
      <c r="A82" s="11"/>
      <c r="B82" s="12"/>
      <c r="C82" s="19"/>
      <c r="D82" s="15">
        <f>IF(A82="","",IFERROR(INDEX(Ejemplares!$F$5:$F$64,MATCH(A82,Ejemplares!$A$5:$A$64,0)),""))</f>
      </c>
      <c r="E82" s="11"/>
      <c r="F82" s="16">
        <f>IF(A82="","",COUNTIF($A$5:$A82,A82))</f>
      </c>
      <c r="G82" s="15">
        <f>IF(A82="","",A82&amp;"|"&amp;F82)</f>
      </c>
      <c r="H82" s="17">
        <f>IF(OR(F82="",F82&lt;2,C82=""),"",IFERROR(C82-INDEX($C$5:$C$504,MATCH(A82&amp;"|"&amp;(F82-1),$G$5:$G$504,0)),""))</f>
      </c>
      <c r="I82" s="16">
        <f>IF(OR(F82="",F82&lt;2,B82=""),"",IFERROR(B82-INDEX($B$5:$B$504,MATCH(A82&amp;"|"&amp;(F82-1),$G$5:$G$504,0)),""))</f>
      </c>
      <c r="J82" s="18">
        <f>IF(OR(H82="",I82="",I82=0),"",H82/I82)</f>
      </c>
    </row>
    <row r="83" spans="1:10" x14ac:dyDescent="0.25">
      <c r="A83" s="11"/>
      <c r="B83" s="12"/>
      <c r="C83" s="19"/>
      <c r="D83" s="15">
        <f>IF(A83="","",IFERROR(INDEX(Ejemplares!$F$5:$F$64,MATCH(A83,Ejemplares!$A$5:$A$64,0)),""))</f>
      </c>
      <c r="E83" s="11"/>
      <c r="F83" s="16">
        <f>IF(A83="","",COUNTIF($A$5:$A83,A83))</f>
      </c>
      <c r="G83" s="15">
        <f>IF(A83="","",A83&amp;"|"&amp;F83)</f>
      </c>
      <c r="H83" s="17">
        <f>IF(OR(F83="",F83&lt;2,C83=""),"",IFERROR(C83-INDEX($C$5:$C$504,MATCH(A83&amp;"|"&amp;(F83-1),$G$5:$G$504,0)),""))</f>
      </c>
      <c r="I83" s="16">
        <f>IF(OR(F83="",F83&lt;2,B83=""),"",IFERROR(B83-INDEX($B$5:$B$504,MATCH(A83&amp;"|"&amp;(F83-1),$G$5:$G$504,0)),""))</f>
      </c>
      <c r="J83" s="18">
        <f>IF(OR(H83="",I83="",I83=0),"",H83/I83)</f>
      </c>
    </row>
    <row r="84" spans="1:10" x14ac:dyDescent="0.25">
      <c r="A84" s="11"/>
      <c r="B84" s="12"/>
      <c r="C84" s="19"/>
      <c r="D84" s="15">
        <f>IF(A84="","",IFERROR(INDEX(Ejemplares!$F$5:$F$64,MATCH(A84,Ejemplares!$A$5:$A$64,0)),""))</f>
      </c>
      <c r="E84" s="11"/>
      <c r="F84" s="16">
        <f>IF(A84="","",COUNTIF($A$5:$A84,A84))</f>
      </c>
      <c r="G84" s="15">
        <f>IF(A84="","",A84&amp;"|"&amp;F84)</f>
      </c>
      <c r="H84" s="17">
        <f>IF(OR(F84="",F84&lt;2,C84=""),"",IFERROR(C84-INDEX($C$5:$C$504,MATCH(A84&amp;"|"&amp;(F84-1),$G$5:$G$504,0)),""))</f>
      </c>
      <c r="I84" s="16">
        <f>IF(OR(F84="",F84&lt;2,B84=""),"",IFERROR(B84-INDEX($B$5:$B$504,MATCH(A84&amp;"|"&amp;(F84-1),$G$5:$G$504,0)),""))</f>
      </c>
      <c r="J84" s="18">
        <f>IF(OR(H84="",I84="",I84=0),"",H84/I84)</f>
      </c>
    </row>
    <row r="85" spans="1:10" x14ac:dyDescent="0.25">
      <c r="A85" s="11"/>
      <c r="B85" s="12"/>
      <c r="C85" s="19"/>
      <c r="D85" s="15">
        <f>IF(A85="","",IFERROR(INDEX(Ejemplares!$F$5:$F$64,MATCH(A85,Ejemplares!$A$5:$A$64,0)),""))</f>
      </c>
      <c r="E85" s="11"/>
      <c r="F85" s="16">
        <f>IF(A85="","",COUNTIF($A$5:$A85,A85))</f>
      </c>
      <c r="G85" s="15">
        <f>IF(A85="","",A85&amp;"|"&amp;F85)</f>
      </c>
      <c r="H85" s="17">
        <f>IF(OR(F85="",F85&lt;2,C85=""),"",IFERROR(C85-INDEX($C$5:$C$504,MATCH(A85&amp;"|"&amp;(F85-1),$G$5:$G$504,0)),""))</f>
      </c>
      <c r="I85" s="16">
        <f>IF(OR(F85="",F85&lt;2,B85=""),"",IFERROR(B85-INDEX($B$5:$B$504,MATCH(A85&amp;"|"&amp;(F85-1),$G$5:$G$504,0)),""))</f>
      </c>
      <c r="J85" s="18">
        <f>IF(OR(H85="",I85="",I85=0),"",H85/I85)</f>
      </c>
    </row>
    <row r="86" spans="1:10" x14ac:dyDescent="0.25">
      <c r="A86" s="11"/>
      <c r="B86" s="12"/>
      <c r="C86" s="19"/>
      <c r="D86" s="15">
        <f>IF(A86="","",IFERROR(INDEX(Ejemplares!$F$5:$F$64,MATCH(A86,Ejemplares!$A$5:$A$64,0)),""))</f>
      </c>
      <c r="E86" s="11"/>
      <c r="F86" s="16">
        <f>IF(A86="","",COUNTIF($A$5:$A86,A86))</f>
      </c>
      <c r="G86" s="15">
        <f>IF(A86="","",A86&amp;"|"&amp;F86)</f>
      </c>
      <c r="H86" s="17">
        <f>IF(OR(F86="",F86&lt;2,C86=""),"",IFERROR(C86-INDEX($C$5:$C$504,MATCH(A86&amp;"|"&amp;(F86-1),$G$5:$G$504,0)),""))</f>
      </c>
      <c r="I86" s="16">
        <f>IF(OR(F86="",F86&lt;2,B86=""),"",IFERROR(B86-INDEX($B$5:$B$504,MATCH(A86&amp;"|"&amp;(F86-1),$G$5:$G$504,0)),""))</f>
      </c>
      <c r="J86" s="18">
        <f>IF(OR(H86="",I86="",I86=0),"",H86/I86)</f>
      </c>
    </row>
    <row r="87" spans="1:10" x14ac:dyDescent="0.25">
      <c r="A87" s="11"/>
      <c r="B87" s="12"/>
      <c r="C87" s="19"/>
      <c r="D87" s="15">
        <f>IF(A87="","",IFERROR(INDEX(Ejemplares!$F$5:$F$64,MATCH(A87,Ejemplares!$A$5:$A$64,0)),""))</f>
      </c>
      <c r="E87" s="11"/>
      <c r="F87" s="16">
        <f>IF(A87="","",COUNTIF($A$5:$A87,A87))</f>
      </c>
      <c r="G87" s="15">
        <f>IF(A87="","",A87&amp;"|"&amp;F87)</f>
      </c>
      <c r="H87" s="17">
        <f>IF(OR(F87="",F87&lt;2,C87=""),"",IFERROR(C87-INDEX($C$5:$C$504,MATCH(A87&amp;"|"&amp;(F87-1),$G$5:$G$504,0)),""))</f>
      </c>
      <c r="I87" s="16">
        <f>IF(OR(F87="",F87&lt;2,B87=""),"",IFERROR(B87-INDEX($B$5:$B$504,MATCH(A87&amp;"|"&amp;(F87-1),$G$5:$G$504,0)),""))</f>
      </c>
      <c r="J87" s="18">
        <f>IF(OR(H87="",I87="",I87=0),"",H87/I87)</f>
      </c>
    </row>
    <row r="88" spans="1:10" x14ac:dyDescent="0.25">
      <c r="A88" s="11"/>
      <c r="B88" s="12"/>
      <c r="C88" s="19"/>
      <c r="D88" s="15">
        <f>IF(A88="","",IFERROR(INDEX(Ejemplares!$F$5:$F$64,MATCH(A88,Ejemplares!$A$5:$A$64,0)),""))</f>
      </c>
      <c r="E88" s="11"/>
      <c r="F88" s="16">
        <f>IF(A88="","",COUNTIF($A$5:$A88,A88))</f>
      </c>
      <c r="G88" s="15">
        <f>IF(A88="","",A88&amp;"|"&amp;F88)</f>
      </c>
      <c r="H88" s="17">
        <f>IF(OR(F88="",F88&lt;2,C88=""),"",IFERROR(C88-INDEX($C$5:$C$504,MATCH(A88&amp;"|"&amp;(F88-1),$G$5:$G$504,0)),""))</f>
      </c>
      <c r="I88" s="16">
        <f>IF(OR(F88="",F88&lt;2,B88=""),"",IFERROR(B88-INDEX($B$5:$B$504,MATCH(A88&amp;"|"&amp;(F88-1),$G$5:$G$504,0)),""))</f>
      </c>
      <c r="J88" s="18">
        <f>IF(OR(H88="",I88="",I88=0),"",H88/I88)</f>
      </c>
    </row>
    <row r="89" spans="1:10" x14ac:dyDescent="0.25">
      <c r="A89" s="11"/>
      <c r="B89" s="12"/>
      <c r="C89" s="19"/>
      <c r="D89" s="15">
        <f>IF(A89="","",IFERROR(INDEX(Ejemplares!$F$5:$F$64,MATCH(A89,Ejemplares!$A$5:$A$64,0)),""))</f>
      </c>
      <c r="E89" s="11"/>
      <c r="F89" s="16">
        <f>IF(A89="","",COUNTIF($A$5:$A89,A89))</f>
      </c>
      <c r="G89" s="15">
        <f>IF(A89="","",A89&amp;"|"&amp;F89)</f>
      </c>
      <c r="H89" s="17">
        <f>IF(OR(F89="",F89&lt;2,C89=""),"",IFERROR(C89-INDEX($C$5:$C$504,MATCH(A89&amp;"|"&amp;(F89-1),$G$5:$G$504,0)),""))</f>
      </c>
      <c r="I89" s="16">
        <f>IF(OR(F89="",F89&lt;2,B89=""),"",IFERROR(B89-INDEX($B$5:$B$504,MATCH(A89&amp;"|"&amp;(F89-1),$G$5:$G$504,0)),""))</f>
      </c>
      <c r="J89" s="18">
        <f>IF(OR(H89="",I89="",I89=0),"",H89/I89)</f>
      </c>
    </row>
    <row r="90" spans="1:10" x14ac:dyDescent="0.25">
      <c r="A90" s="11"/>
      <c r="B90" s="12"/>
      <c r="C90" s="19"/>
      <c r="D90" s="15">
        <f>IF(A90="","",IFERROR(INDEX(Ejemplares!$F$5:$F$64,MATCH(A90,Ejemplares!$A$5:$A$64,0)),""))</f>
      </c>
      <c r="E90" s="11"/>
      <c r="F90" s="16">
        <f>IF(A90="","",COUNTIF($A$5:$A90,A90))</f>
      </c>
      <c r="G90" s="15">
        <f>IF(A90="","",A90&amp;"|"&amp;F90)</f>
      </c>
      <c r="H90" s="17">
        <f>IF(OR(F90="",F90&lt;2,C90=""),"",IFERROR(C90-INDEX($C$5:$C$504,MATCH(A90&amp;"|"&amp;(F90-1),$G$5:$G$504,0)),""))</f>
      </c>
      <c r="I90" s="16">
        <f>IF(OR(F90="",F90&lt;2,B90=""),"",IFERROR(B90-INDEX($B$5:$B$504,MATCH(A90&amp;"|"&amp;(F90-1),$G$5:$G$504,0)),""))</f>
      </c>
      <c r="J90" s="18">
        <f>IF(OR(H90="",I90="",I90=0),"",H90/I90)</f>
      </c>
    </row>
    <row r="91" spans="1:10" x14ac:dyDescent="0.25">
      <c r="A91" s="11"/>
      <c r="B91" s="12"/>
      <c r="C91" s="19"/>
      <c r="D91" s="15">
        <f>IF(A91="","",IFERROR(INDEX(Ejemplares!$F$5:$F$64,MATCH(A91,Ejemplares!$A$5:$A$64,0)),""))</f>
      </c>
      <c r="E91" s="11"/>
      <c r="F91" s="16">
        <f>IF(A91="","",COUNTIF($A$5:$A91,A91))</f>
      </c>
      <c r="G91" s="15">
        <f>IF(A91="","",A91&amp;"|"&amp;F91)</f>
      </c>
      <c r="H91" s="17">
        <f>IF(OR(F91="",F91&lt;2,C91=""),"",IFERROR(C91-INDEX($C$5:$C$504,MATCH(A91&amp;"|"&amp;(F91-1),$G$5:$G$504,0)),""))</f>
      </c>
      <c r="I91" s="16">
        <f>IF(OR(F91="",F91&lt;2,B91=""),"",IFERROR(B91-INDEX($B$5:$B$504,MATCH(A91&amp;"|"&amp;(F91-1),$G$5:$G$504,0)),""))</f>
      </c>
      <c r="J91" s="18">
        <f>IF(OR(H91="",I91="",I91=0),"",H91/I91)</f>
      </c>
    </row>
    <row r="92" spans="1:10" x14ac:dyDescent="0.25">
      <c r="A92" s="11"/>
      <c r="B92" s="12"/>
      <c r="C92" s="19"/>
      <c r="D92" s="15">
        <f>IF(A92="","",IFERROR(INDEX(Ejemplares!$F$5:$F$64,MATCH(A92,Ejemplares!$A$5:$A$64,0)),""))</f>
      </c>
      <c r="E92" s="11"/>
      <c r="F92" s="16">
        <f>IF(A92="","",COUNTIF($A$5:$A92,A92))</f>
      </c>
      <c r="G92" s="15">
        <f>IF(A92="","",A92&amp;"|"&amp;F92)</f>
      </c>
      <c r="H92" s="17">
        <f>IF(OR(F92="",F92&lt;2,C92=""),"",IFERROR(C92-INDEX($C$5:$C$504,MATCH(A92&amp;"|"&amp;(F92-1),$G$5:$G$504,0)),""))</f>
      </c>
      <c r="I92" s="16">
        <f>IF(OR(F92="",F92&lt;2,B92=""),"",IFERROR(B92-INDEX($B$5:$B$504,MATCH(A92&amp;"|"&amp;(F92-1),$G$5:$G$504,0)),""))</f>
      </c>
      <c r="J92" s="18">
        <f>IF(OR(H92="",I92="",I92=0),"",H92/I92)</f>
      </c>
    </row>
    <row r="93" spans="1:10" x14ac:dyDescent="0.25">
      <c r="A93" s="11"/>
      <c r="B93" s="12"/>
      <c r="C93" s="19"/>
      <c r="D93" s="15">
        <f>IF(A93="","",IFERROR(INDEX(Ejemplares!$F$5:$F$64,MATCH(A93,Ejemplares!$A$5:$A$64,0)),""))</f>
      </c>
      <c r="E93" s="11"/>
      <c r="F93" s="16">
        <f>IF(A93="","",COUNTIF($A$5:$A93,A93))</f>
      </c>
      <c r="G93" s="15">
        <f>IF(A93="","",A93&amp;"|"&amp;F93)</f>
      </c>
      <c r="H93" s="17">
        <f>IF(OR(F93="",F93&lt;2,C93=""),"",IFERROR(C93-INDEX($C$5:$C$504,MATCH(A93&amp;"|"&amp;(F93-1),$G$5:$G$504,0)),""))</f>
      </c>
      <c r="I93" s="16">
        <f>IF(OR(F93="",F93&lt;2,B93=""),"",IFERROR(B93-INDEX($B$5:$B$504,MATCH(A93&amp;"|"&amp;(F93-1),$G$5:$G$504,0)),""))</f>
      </c>
      <c r="J93" s="18">
        <f>IF(OR(H93="",I93="",I93=0),"",H93/I93)</f>
      </c>
    </row>
    <row r="94" spans="1:10" x14ac:dyDescent="0.25">
      <c r="A94" s="11"/>
      <c r="B94" s="12"/>
      <c r="C94" s="19"/>
      <c r="D94" s="15">
        <f>IF(A94="","",IFERROR(INDEX(Ejemplares!$F$5:$F$64,MATCH(A94,Ejemplares!$A$5:$A$64,0)),""))</f>
      </c>
      <c r="E94" s="11"/>
      <c r="F94" s="16">
        <f>IF(A94="","",COUNTIF($A$5:$A94,A94))</f>
      </c>
      <c r="G94" s="15">
        <f>IF(A94="","",A94&amp;"|"&amp;F94)</f>
      </c>
      <c r="H94" s="17">
        <f>IF(OR(F94="",F94&lt;2,C94=""),"",IFERROR(C94-INDEX($C$5:$C$504,MATCH(A94&amp;"|"&amp;(F94-1),$G$5:$G$504,0)),""))</f>
      </c>
      <c r="I94" s="16">
        <f>IF(OR(F94="",F94&lt;2,B94=""),"",IFERROR(B94-INDEX($B$5:$B$504,MATCH(A94&amp;"|"&amp;(F94-1),$G$5:$G$504,0)),""))</f>
      </c>
      <c r="J94" s="18">
        <f>IF(OR(H94="",I94="",I94=0),"",H94/I94)</f>
      </c>
    </row>
    <row r="95" spans="1:10" x14ac:dyDescent="0.25">
      <c r="A95" s="11"/>
      <c r="B95" s="12"/>
      <c r="C95" s="19"/>
      <c r="D95" s="15">
        <f>IF(A95="","",IFERROR(INDEX(Ejemplares!$F$5:$F$64,MATCH(A95,Ejemplares!$A$5:$A$64,0)),""))</f>
      </c>
      <c r="E95" s="11"/>
      <c r="F95" s="16">
        <f>IF(A95="","",COUNTIF($A$5:$A95,A95))</f>
      </c>
      <c r="G95" s="15">
        <f>IF(A95="","",A95&amp;"|"&amp;F95)</f>
      </c>
      <c r="H95" s="17">
        <f>IF(OR(F95="",F95&lt;2,C95=""),"",IFERROR(C95-INDEX($C$5:$C$504,MATCH(A95&amp;"|"&amp;(F95-1),$G$5:$G$504,0)),""))</f>
      </c>
      <c r="I95" s="16">
        <f>IF(OR(F95="",F95&lt;2,B95=""),"",IFERROR(B95-INDEX($B$5:$B$504,MATCH(A95&amp;"|"&amp;(F95-1),$G$5:$G$504,0)),""))</f>
      </c>
      <c r="J95" s="18">
        <f>IF(OR(H95="",I95="",I95=0),"",H95/I95)</f>
      </c>
    </row>
    <row r="96" spans="1:10" x14ac:dyDescent="0.25">
      <c r="A96" s="11"/>
      <c r="B96" s="12"/>
      <c r="C96" s="19"/>
      <c r="D96" s="15">
        <f>IF(A96="","",IFERROR(INDEX(Ejemplares!$F$5:$F$64,MATCH(A96,Ejemplares!$A$5:$A$64,0)),""))</f>
      </c>
      <c r="E96" s="11"/>
      <c r="F96" s="16">
        <f>IF(A96="","",COUNTIF($A$5:$A96,A96))</f>
      </c>
      <c r="G96" s="15">
        <f>IF(A96="","",A96&amp;"|"&amp;F96)</f>
      </c>
      <c r="H96" s="17">
        <f>IF(OR(F96="",F96&lt;2,C96=""),"",IFERROR(C96-INDEX($C$5:$C$504,MATCH(A96&amp;"|"&amp;(F96-1),$G$5:$G$504,0)),""))</f>
      </c>
      <c r="I96" s="16">
        <f>IF(OR(F96="",F96&lt;2,B96=""),"",IFERROR(B96-INDEX($B$5:$B$504,MATCH(A96&amp;"|"&amp;(F96-1),$G$5:$G$504,0)),""))</f>
      </c>
      <c r="J96" s="18">
        <f>IF(OR(H96="",I96="",I96=0),"",H96/I96)</f>
      </c>
    </row>
    <row r="97" spans="1:10" x14ac:dyDescent="0.25">
      <c r="A97" s="11"/>
      <c r="B97" s="12"/>
      <c r="C97" s="19"/>
      <c r="D97" s="15">
        <f>IF(A97="","",IFERROR(INDEX(Ejemplares!$F$5:$F$64,MATCH(A97,Ejemplares!$A$5:$A$64,0)),""))</f>
      </c>
      <c r="E97" s="11"/>
      <c r="F97" s="16">
        <f>IF(A97="","",COUNTIF($A$5:$A97,A97))</f>
      </c>
      <c r="G97" s="15">
        <f>IF(A97="","",A97&amp;"|"&amp;F97)</f>
      </c>
      <c r="H97" s="17">
        <f>IF(OR(F97="",F97&lt;2,C97=""),"",IFERROR(C97-INDEX($C$5:$C$504,MATCH(A97&amp;"|"&amp;(F97-1),$G$5:$G$504,0)),""))</f>
      </c>
      <c r="I97" s="16">
        <f>IF(OR(F97="",F97&lt;2,B97=""),"",IFERROR(B97-INDEX($B$5:$B$504,MATCH(A97&amp;"|"&amp;(F97-1),$G$5:$G$504,0)),""))</f>
      </c>
      <c r="J97" s="18">
        <f>IF(OR(H97="",I97="",I97=0),"",H97/I97)</f>
      </c>
    </row>
    <row r="98" spans="1:10" x14ac:dyDescent="0.25">
      <c r="A98" s="11"/>
      <c r="B98" s="12"/>
      <c r="C98" s="19"/>
      <c r="D98" s="15">
        <f>IF(A98="","",IFERROR(INDEX(Ejemplares!$F$5:$F$64,MATCH(A98,Ejemplares!$A$5:$A$64,0)),""))</f>
      </c>
      <c r="E98" s="11"/>
      <c r="F98" s="16">
        <f>IF(A98="","",COUNTIF($A$5:$A98,A98))</f>
      </c>
      <c r="G98" s="15">
        <f>IF(A98="","",A98&amp;"|"&amp;F98)</f>
      </c>
      <c r="H98" s="17">
        <f>IF(OR(F98="",F98&lt;2,C98=""),"",IFERROR(C98-INDEX($C$5:$C$504,MATCH(A98&amp;"|"&amp;(F98-1),$G$5:$G$504,0)),""))</f>
      </c>
      <c r="I98" s="16">
        <f>IF(OR(F98="",F98&lt;2,B98=""),"",IFERROR(B98-INDEX($B$5:$B$504,MATCH(A98&amp;"|"&amp;(F98-1),$G$5:$G$504,0)),""))</f>
      </c>
      <c r="J98" s="18">
        <f>IF(OR(H98="",I98="",I98=0),"",H98/I98)</f>
      </c>
    </row>
    <row r="99" spans="1:10" x14ac:dyDescent="0.25">
      <c r="A99" s="11"/>
      <c r="B99" s="12"/>
      <c r="C99" s="19"/>
      <c r="D99" s="15">
        <f>IF(A99="","",IFERROR(INDEX(Ejemplares!$F$5:$F$64,MATCH(A99,Ejemplares!$A$5:$A$64,0)),""))</f>
      </c>
      <c r="E99" s="11"/>
      <c r="F99" s="16">
        <f>IF(A99="","",COUNTIF($A$5:$A99,A99))</f>
      </c>
      <c r="G99" s="15">
        <f>IF(A99="","",A99&amp;"|"&amp;F99)</f>
      </c>
      <c r="H99" s="17">
        <f>IF(OR(F99="",F99&lt;2,C99=""),"",IFERROR(C99-INDEX($C$5:$C$504,MATCH(A99&amp;"|"&amp;(F99-1),$G$5:$G$504,0)),""))</f>
      </c>
      <c r="I99" s="16">
        <f>IF(OR(F99="",F99&lt;2,B99=""),"",IFERROR(B99-INDEX($B$5:$B$504,MATCH(A99&amp;"|"&amp;(F99-1),$G$5:$G$504,0)),""))</f>
      </c>
      <c r="J99" s="18">
        <f>IF(OR(H99="",I99="",I99=0),"",H99/I99)</f>
      </c>
    </row>
    <row r="100" spans="1:10" x14ac:dyDescent="0.25">
      <c r="A100" s="11"/>
      <c r="B100" s="12"/>
      <c r="C100" s="19"/>
      <c r="D100" s="15">
        <f>IF(A100="","",IFERROR(INDEX(Ejemplares!$F$5:$F$64,MATCH(A100,Ejemplares!$A$5:$A$64,0)),""))</f>
      </c>
      <c r="E100" s="11"/>
      <c r="F100" s="16">
        <f>IF(A100="","",COUNTIF($A$5:$A100,A100))</f>
      </c>
      <c r="G100" s="15">
        <f>IF(A100="","",A100&amp;"|"&amp;F100)</f>
      </c>
      <c r="H100" s="17">
        <f>IF(OR(F100="",F100&lt;2,C100=""),"",IFERROR(C100-INDEX($C$5:$C$504,MATCH(A100&amp;"|"&amp;(F100-1),$G$5:$G$504,0)),""))</f>
      </c>
      <c r="I100" s="16">
        <f>IF(OR(F100="",F100&lt;2,B100=""),"",IFERROR(B100-INDEX($B$5:$B$504,MATCH(A100&amp;"|"&amp;(F100-1),$G$5:$G$504,0)),""))</f>
      </c>
      <c r="J100" s="18">
        <f>IF(OR(H100="",I100="",I100=0),"",H100/I100)</f>
      </c>
    </row>
    <row r="101" spans="1:10" x14ac:dyDescent="0.25">
      <c r="A101" s="11"/>
      <c r="B101" s="12"/>
      <c r="C101" s="19"/>
      <c r="D101" s="15">
        <f>IF(A101="","",IFERROR(INDEX(Ejemplares!$F$5:$F$64,MATCH(A101,Ejemplares!$A$5:$A$64,0)),""))</f>
      </c>
      <c r="E101" s="11"/>
      <c r="F101" s="16">
        <f>IF(A101="","",COUNTIF($A$5:$A101,A101))</f>
      </c>
      <c r="G101" s="15">
        <f>IF(A101="","",A101&amp;"|"&amp;F101)</f>
      </c>
      <c r="H101" s="17">
        <f>IF(OR(F101="",F101&lt;2,C101=""),"",IFERROR(C101-INDEX($C$5:$C$504,MATCH(A101&amp;"|"&amp;(F101-1),$G$5:$G$504,0)),""))</f>
      </c>
      <c r="I101" s="16">
        <f>IF(OR(F101="",F101&lt;2,B101=""),"",IFERROR(B101-INDEX($B$5:$B$504,MATCH(A101&amp;"|"&amp;(F101-1),$G$5:$G$504,0)),""))</f>
      </c>
      <c r="J101" s="18">
        <f>IF(OR(H101="",I101="",I101=0),"",H101/I101)</f>
      </c>
    </row>
    <row r="102" spans="1:10" x14ac:dyDescent="0.25">
      <c r="A102" s="11"/>
      <c r="B102" s="12"/>
      <c r="C102" s="19"/>
      <c r="D102" s="15">
        <f>IF(A102="","",IFERROR(INDEX(Ejemplares!$F$5:$F$64,MATCH(A102,Ejemplares!$A$5:$A$64,0)),""))</f>
      </c>
      <c r="E102" s="11"/>
      <c r="F102" s="16">
        <f>IF(A102="","",COUNTIF($A$5:$A102,A102))</f>
      </c>
      <c r="G102" s="15">
        <f>IF(A102="","",A102&amp;"|"&amp;F102)</f>
      </c>
      <c r="H102" s="17">
        <f>IF(OR(F102="",F102&lt;2,C102=""),"",IFERROR(C102-INDEX($C$5:$C$504,MATCH(A102&amp;"|"&amp;(F102-1),$G$5:$G$504,0)),""))</f>
      </c>
      <c r="I102" s="16">
        <f>IF(OR(F102="",F102&lt;2,B102=""),"",IFERROR(B102-INDEX($B$5:$B$504,MATCH(A102&amp;"|"&amp;(F102-1),$G$5:$G$504,0)),""))</f>
      </c>
      <c r="J102" s="18">
        <f>IF(OR(H102="",I102="",I102=0),"",H102/I102)</f>
      </c>
    </row>
    <row r="103" spans="1:10" x14ac:dyDescent="0.25">
      <c r="A103" s="11"/>
      <c r="B103" s="12"/>
      <c r="C103" s="19"/>
      <c r="D103" s="15">
        <f>IF(A103="","",IFERROR(INDEX(Ejemplares!$F$5:$F$64,MATCH(A103,Ejemplares!$A$5:$A$64,0)),""))</f>
      </c>
      <c r="E103" s="11"/>
      <c r="F103" s="16">
        <f>IF(A103="","",COUNTIF($A$5:$A103,A103))</f>
      </c>
      <c r="G103" s="15">
        <f>IF(A103="","",A103&amp;"|"&amp;F103)</f>
      </c>
      <c r="H103" s="17">
        <f>IF(OR(F103="",F103&lt;2,C103=""),"",IFERROR(C103-INDEX($C$5:$C$504,MATCH(A103&amp;"|"&amp;(F103-1),$G$5:$G$504,0)),""))</f>
      </c>
      <c r="I103" s="16">
        <f>IF(OR(F103="",F103&lt;2,B103=""),"",IFERROR(B103-INDEX($B$5:$B$504,MATCH(A103&amp;"|"&amp;(F103-1),$G$5:$G$504,0)),""))</f>
      </c>
      <c r="J103" s="18">
        <f>IF(OR(H103="",I103="",I103=0),"",H103/I103)</f>
      </c>
    </row>
    <row r="104" spans="1:10" x14ac:dyDescent="0.25">
      <c r="A104" s="11"/>
      <c r="B104" s="12"/>
      <c r="C104" s="19"/>
      <c r="D104" s="15">
        <f>IF(A104="","",IFERROR(INDEX(Ejemplares!$F$5:$F$64,MATCH(A104,Ejemplares!$A$5:$A$64,0)),""))</f>
      </c>
      <c r="E104" s="11"/>
      <c r="F104" s="16">
        <f>IF(A104="","",COUNTIF($A$5:$A104,A104))</f>
      </c>
      <c r="G104" s="15">
        <f>IF(A104="","",A104&amp;"|"&amp;F104)</f>
      </c>
      <c r="H104" s="17">
        <f>IF(OR(F104="",F104&lt;2,C104=""),"",IFERROR(C104-INDEX($C$5:$C$504,MATCH(A104&amp;"|"&amp;(F104-1),$G$5:$G$504,0)),""))</f>
      </c>
      <c r="I104" s="16">
        <f>IF(OR(F104="",F104&lt;2,B104=""),"",IFERROR(B104-INDEX($B$5:$B$504,MATCH(A104&amp;"|"&amp;(F104-1),$G$5:$G$504,0)),""))</f>
      </c>
      <c r="J104" s="18">
        <f>IF(OR(H104="",I104="",I104=0),"",H104/I104)</f>
      </c>
    </row>
    <row r="105" spans="1:10" x14ac:dyDescent="0.25">
      <c r="A105" s="11"/>
      <c r="B105" s="12"/>
      <c r="C105" s="19"/>
      <c r="D105" s="15">
        <f>IF(A105="","",IFERROR(INDEX(Ejemplares!$F$5:$F$64,MATCH(A105,Ejemplares!$A$5:$A$64,0)),""))</f>
      </c>
      <c r="E105" s="11"/>
      <c r="F105" s="16">
        <f>IF(A105="","",COUNTIF($A$5:$A105,A105))</f>
      </c>
      <c r="G105" s="15">
        <f>IF(A105="","",A105&amp;"|"&amp;F105)</f>
      </c>
      <c r="H105" s="17">
        <f>IF(OR(F105="",F105&lt;2,C105=""),"",IFERROR(C105-INDEX($C$5:$C$504,MATCH(A105&amp;"|"&amp;(F105-1),$G$5:$G$504,0)),""))</f>
      </c>
      <c r="I105" s="16">
        <f>IF(OR(F105="",F105&lt;2,B105=""),"",IFERROR(B105-INDEX($B$5:$B$504,MATCH(A105&amp;"|"&amp;(F105-1),$G$5:$G$504,0)),""))</f>
      </c>
      <c r="J105" s="18">
        <f>IF(OR(H105="",I105="",I105=0),"",H105/I105)</f>
      </c>
    </row>
    <row r="106" spans="1:10" x14ac:dyDescent="0.25">
      <c r="A106" s="11"/>
      <c r="B106" s="12"/>
      <c r="C106" s="19"/>
      <c r="D106" s="15">
        <f>IF(A106="","",IFERROR(INDEX(Ejemplares!$F$5:$F$64,MATCH(A106,Ejemplares!$A$5:$A$64,0)),""))</f>
      </c>
      <c r="E106" s="11"/>
      <c r="F106" s="16">
        <f>IF(A106="","",COUNTIF($A$5:$A106,A106))</f>
      </c>
      <c r="G106" s="15">
        <f>IF(A106="","",A106&amp;"|"&amp;F106)</f>
      </c>
      <c r="H106" s="17">
        <f>IF(OR(F106="",F106&lt;2,C106=""),"",IFERROR(C106-INDEX($C$5:$C$504,MATCH(A106&amp;"|"&amp;(F106-1),$G$5:$G$504,0)),""))</f>
      </c>
      <c r="I106" s="16">
        <f>IF(OR(F106="",F106&lt;2,B106=""),"",IFERROR(B106-INDEX($B$5:$B$504,MATCH(A106&amp;"|"&amp;(F106-1),$G$5:$G$504,0)),""))</f>
      </c>
      <c r="J106" s="18">
        <f>IF(OR(H106="",I106="",I106=0),"",H106/I106)</f>
      </c>
    </row>
    <row r="107" spans="1:10" x14ac:dyDescent="0.25">
      <c r="A107" s="11"/>
      <c r="B107" s="12"/>
      <c r="C107" s="19"/>
      <c r="D107" s="15">
        <f>IF(A107="","",IFERROR(INDEX(Ejemplares!$F$5:$F$64,MATCH(A107,Ejemplares!$A$5:$A$64,0)),""))</f>
      </c>
      <c r="E107" s="11"/>
      <c r="F107" s="16">
        <f>IF(A107="","",COUNTIF($A$5:$A107,A107))</f>
      </c>
      <c r="G107" s="15">
        <f>IF(A107="","",A107&amp;"|"&amp;F107)</f>
      </c>
      <c r="H107" s="17">
        <f>IF(OR(F107="",F107&lt;2,C107=""),"",IFERROR(C107-INDEX($C$5:$C$504,MATCH(A107&amp;"|"&amp;(F107-1),$G$5:$G$504,0)),""))</f>
      </c>
      <c r="I107" s="16">
        <f>IF(OR(F107="",F107&lt;2,B107=""),"",IFERROR(B107-INDEX($B$5:$B$504,MATCH(A107&amp;"|"&amp;(F107-1),$G$5:$G$504,0)),""))</f>
      </c>
      <c r="J107" s="18">
        <f>IF(OR(H107="",I107="",I107=0),"",H107/I107)</f>
      </c>
    </row>
    <row r="108" spans="1:10" x14ac:dyDescent="0.25">
      <c r="A108" s="11"/>
      <c r="B108" s="12"/>
      <c r="C108" s="19"/>
      <c r="D108" s="15">
        <f>IF(A108="","",IFERROR(INDEX(Ejemplares!$F$5:$F$64,MATCH(A108,Ejemplares!$A$5:$A$64,0)),""))</f>
      </c>
      <c r="E108" s="11"/>
      <c r="F108" s="16">
        <f>IF(A108="","",COUNTIF($A$5:$A108,A108))</f>
      </c>
      <c r="G108" s="15">
        <f>IF(A108="","",A108&amp;"|"&amp;F108)</f>
      </c>
      <c r="H108" s="17">
        <f>IF(OR(F108="",F108&lt;2,C108=""),"",IFERROR(C108-INDEX($C$5:$C$504,MATCH(A108&amp;"|"&amp;(F108-1),$G$5:$G$504,0)),""))</f>
      </c>
      <c r="I108" s="16">
        <f>IF(OR(F108="",F108&lt;2,B108=""),"",IFERROR(B108-INDEX($B$5:$B$504,MATCH(A108&amp;"|"&amp;(F108-1),$G$5:$G$504,0)),""))</f>
      </c>
      <c r="J108" s="18">
        <f>IF(OR(H108="",I108="",I108=0),"",H108/I108)</f>
      </c>
    </row>
    <row r="109" spans="1:10" x14ac:dyDescent="0.25">
      <c r="A109" s="11"/>
      <c r="B109" s="12"/>
      <c r="C109" s="19"/>
      <c r="D109" s="15">
        <f>IF(A109="","",IFERROR(INDEX(Ejemplares!$F$5:$F$64,MATCH(A109,Ejemplares!$A$5:$A$64,0)),""))</f>
      </c>
      <c r="E109" s="11"/>
      <c r="F109" s="16">
        <f>IF(A109="","",COUNTIF($A$5:$A109,A109))</f>
      </c>
      <c r="G109" s="15">
        <f>IF(A109="","",A109&amp;"|"&amp;F109)</f>
      </c>
      <c r="H109" s="17">
        <f>IF(OR(F109="",F109&lt;2,C109=""),"",IFERROR(C109-INDEX($C$5:$C$504,MATCH(A109&amp;"|"&amp;(F109-1),$G$5:$G$504,0)),""))</f>
      </c>
      <c r="I109" s="16">
        <f>IF(OR(F109="",F109&lt;2,B109=""),"",IFERROR(B109-INDEX($B$5:$B$504,MATCH(A109&amp;"|"&amp;(F109-1),$G$5:$G$504,0)),""))</f>
      </c>
      <c r="J109" s="18">
        <f>IF(OR(H109="",I109="",I109=0),"",H109/I109)</f>
      </c>
    </row>
    <row r="110" spans="1:10" x14ac:dyDescent="0.25">
      <c r="A110" s="11"/>
      <c r="B110" s="12"/>
      <c r="C110" s="19"/>
      <c r="D110" s="15">
        <f>IF(A110="","",IFERROR(INDEX(Ejemplares!$F$5:$F$64,MATCH(A110,Ejemplares!$A$5:$A$64,0)),""))</f>
      </c>
      <c r="E110" s="11"/>
      <c r="F110" s="16">
        <f>IF(A110="","",COUNTIF($A$5:$A110,A110))</f>
      </c>
      <c r="G110" s="15">
        <f>IF(A110="","",A110&amp;"|"&amp;F110)</f>
      </c>
      <c r="H110" s="17">
        <f>IF(OR(F110="",F110&lt;2,C110=""),"",IFERROR(C110-INDEX($C$5:$C$504,MATCH(A110&amp;"|"&amp;(F110-1),$G$5:$G$504,0)),""))</f>
      </c>
      <c r="I110" s="16">
        <f>IF(OR(F110="",F110&lt;2,B110=""),"",IFERROR(B110-INDEX($B$5:$B$504,MATCH(A110&amp;"|"&amp;(F110-1),$G$5:$G$504,0)),""))</f>
      </c>
      <c r="J110" s="18">
        <f>IF(OR(H110="",I110="",I110=0),"",H110/I110)</f>
      </c>
    </row>
    <row r="111" spans="1:10" x14ac:dyDescent="0.25">
      <c r="A111" s="11"/>
      <c r="B111" s="12"/>
      <c r="C111" s="19"/>
      <c r="D111" s="15">
        <f>IF(A111="","",IFERROR(INDEX(Ejemplares!$F$5:$F$64,MATCH(A111,Ejemplares!$A$5:$A$64,0)),""))</f>
      </c>
      <c r="E111" s="11"/>
      <c r="F111" s="16">
        <f>IF(A111="","",COUNTIF($A$5:$A111,A111))</f>
      </c>
      <c r="G111" s="15">
        <f>IF(A111="","",A111&amp;"|"&amp;F111)</f>
      </c>
      <c r="H111" s="17">
        <f>IF(OR(F111="",F111&lt;2,C111=""),"",IFERROR(C111-INDEX($C$5:$C$504,MATCH(A111&amp;"|"&amp;(F111-1),$G$5:$G$504,0)),""))</f>
      </c>
      <c r="I111" s="16">
        <f>IF(OR(F111="",F111&lt;2,B111=""),"",IFERROR(B111-INDEX($B$5:$B$504,MATCH(A111&amp;"|"&amp;(F111-1),$G$5:$G$504,0)),""))</f>
      </c>
      <c r="J111" s="18">
        <f>IF(OR(H111="",I111="",I111=0),"",H111/I111)</f>
      </c>
    </row>
    <row r="112" spans="1:10" x14ac:dyDescent="0.25">
      <c r="A112" s="11"/>
      <c r="B112" s="12"/>
      <c r="C112" s="19"/>
      <c r="D112" s="15">
        <f>IF(A112="","",IFERROR(INDEX(Ejemplares!$F$5:$F$64,MATCH(A112,Ejemplares!$A$5:$A$64,0)),""))</f>
      </c>
      <c r="E112" s="11"/>
      <c r="F112" s="16">
        <f>IF(A112="","",COUNTIF($A$5:$A112,A112))</f>
      </c>
      <c r="G112" s="15">
        <f>IF(A112="","",A112&amp;"|"&amp;F112)</f>
      </c>
      <c r="H112" s="17">
        <f>IF(OR(F112="",F112&lt;2,C112=""),"",IFERROR(C112-INDEX($C$5:$C$504,MATCH(A112&amp;"|"&amp;(F112-1),$G$5:$G$504,0)),""))</f>
      </c>
      <c r="I112" s="16">
        <f>IF(OR(F112="",F112&lt;2,B112=""),"",IFERROR(B112-INDEX($B$5:$B$504,MATCH(A112&amp;"|"&amp;(F112-1),$G$5:$G$504,0)),""))</f>
      </c>
      <c r="J112" s="18">
        <f>IF(OR(H112="",I112="",I112=0),"",H112/I112)</f>
      </c>
    </row>
    <row r="113" spans="1:10" x14ac:dyDescent="0.25">
      <c r="A113" s="11"/>
      <c r="B113" s="12"/>
      <c r="C113" s="19"/>
      <c r="D113" s="15">
        <f>IF(A113="","",IFERROR(INDEX(Ejemplares!$F$5:$F$64,MATCH(A113,Ejemplares!$A$5:$A$64,0)),""))</f>
      </c>
      <c r="E113" s="11"/>
      <c r="F113" s="16">
        <f>IF(A113="","",COUNTIF($A$5:$A113,A113))</f>
      </c>
      <c r="G113" s="15">
        <f>IF(A113="","",A113&amp;"|"&amp;F113)</f>
      </c>
      <c r="H113" s="17">
        <f>IF(OR(F113="",F113&lt;2,C113=""),"",IFERROR(C113-INDEX($C$5:$C$504,MATCH(A113&amp;"|"&amp;(F113-1),$G$5:$G$504,0)),""))</f>
      </c>
      <c r="I113" s="16">
        <f>IF(OR(F113="",F113&lt;2,B113=""),"",IFERROR(B113-INDEX($B$5:$B$504,MATCH(A113&amp;"|"&amp;(F113-1),$G$5:$G$504,0)),""))</f>
      </c>
      <c r="J113" s="18">
        <f>IF(OR(H113="",I113="",I113=0),"",H113/I113)</f>
      </c>
    </row>
    <row r="114" spans="1:10" x14ac:dyDescent="0.25">
      <c r="A114" s="11"/>
      <c r="B114" s="12"/>
      <c r="C114" s="19"/>
      <c r="D114" s="15">
        <f>IF(A114="","",IFERROR(INDEX(Ejemplares!$F$5:$F$64,MATCH(A114,Ejemplares!$A$5:$A$64,0)),""))</f>
      </c>
      <c r="E114" s="11"/>
      <c r="F114" s="16">
        <f>IF(A114="","",COUNTIF($A$5:$A114,A114))</f>
      </c>
      <c r="G114" s="15">
        <f>IF(A114="","",A114&amp;"|"&amp;F114)</f>
      </c>
      <c r="H114" s="17">
        <f>IF(OR(F114="",F114&lt;2,C114=""),"",IFERROR(C114-INDEX($C$5:$C$504,MATCH(A114&amp;"|"&amp;(F114-1),$G$5:$G$504,0)),""))</f>
      </c>
      <c r="I114" s="16">
        <f>IF(OR(F114="",F114&lt;2,B114=""),"",IFERROR(B114-INDEX($B$5:$B$504,MATCH(A114&amp;"|"&amp;(F114-1),$G$5:$G$504,0)),""))</f>
      </c>
      <c r="J114" s="18">
        <f>IF(OR(H114="",I114="",I114=0),"",H114/I114)</f>
      </c>
    </row>
    <row r="115" spans="1:10" x14ac:dyDescent="0.25">
      <c r="A115" s="11"/>
      <c r="B115" s="12"/>
      <c r="C115" s="19"/>
      <c r="D115" s="15">
        <f>IF(A115="","",IFERROR(INDEX(Ejemplares!$F$5:$F$64,MATCH(A115,Ejemplares!$A$5:$A$64,0)),""))</f>
      </c>
      <c r="E115" s="11"/>
      <c r="F115" s="16">
        <f>IF(A115="","",COUNTIF($A$5:$A115,A115))</f>
      </c>
      <c r="G115" s="15">
        <f>IF(A115="","",A115&amp;"|"&amp;F115)</f>
      </c>
      <c r="H115" s="17">
        <f>IF(OR(F115="",F115&lt;2,C115=""),"",IFERROR(C115-INDEX($C$5:$C$504,MATCH(A115&amp;"|"&amp;(F115-1),$G$5:$G$504,0)),""))</f>
      </c>
      <c r="I115" s="16">
        <f>IF(OR(F115="",F115&lt;2,B115=""),"",IFERROR(B115-INDEX($B$5:$B$504,MATCH(A115&amp;"|"&amp;(F115-1),$G$5:$G$504,0)),""))</f>
      </c>
      <c r="J115" s="18">
        <f>IF(OR(H115="",I115="",I115=0),"",H115/I115)</f>
      </c>
    </row>
    <row r="116" spans="1:10" x14ac:dyDescent="0.25">
      <c r="A116" s="11"/>
      <c r="B116" s="12"/>
      <c r="C116" s="19"/>
      <c r="D116" s="15">
        <f>IF(A116="","",IFERROR(INDEX(Ejemplares!$F$5:$F$64,MATCH(A116,Ejemplares!$A$5:$A$64,0)),""))</f>
      </c>
      <c r="E116" s="11"/>
      <c r="F116" s="16">
        <f>IF(A116="","",COUNTIF($A$5:$A116,A116))</f>
      </c>
      <c r="G116" s="15">
        <f>IF(A116="","",A116&amp;"|"&amp;F116)</f>
      </c>
      <c r="H116" s="17">
        <f>IF(OR(F116="",F116&lt;2,C116=""),"",IFERROR(C116-INDEX($C$5:$C$504,MATCH(A116&amp;"|"&amp;(F116-1),$G$5:$G$504,0)),""))</f>
      </c>
      <c r="I116" s="16">
        <f>IF(OR(F116="",F116&lt;2,B116=""),"",IFERROR(B116-INDEX($B$5:$B$504,MATCH(A116&amp;"|"&amp;(F116-1),$G$5:$G$504,0)),""))</f>
      </c>
      <c r="J116" s="18">
        <f>IF(OR(H116="",I116="",I116=0),"",H116/I116)</f>
      </c>
    </row>
    <row r="117" spans="1:10" x14ac:dyDescent="0.25">
      <c r="A117" s="11"/>
      <c r="B117" s="12"/>
      <c r="C117" s="19"/>
      <c r="D117" s="15">
        <f>IF(A117="","",IFERROR(INDEX(Ejemplares!$F$5:$F$64,MATCH(A117,Ejemplares!$A$5:$A$64,0)),""))</f>
      </c>
      <c r="E117" s="11"/>
      <c r="F117" s="16">
        <f>IF(A117="","",COUNTIF($A$5:$A117,A117))</f>
      </c>
      <c r="G117" s="15">
        <f>IF(A117="","",A117&amp;"|"&amp;F117)</f>
      </c>
      <c r="H117" s="17">
        <f>IF(OR(F117="",F117&lt;2,C117=""),"",IFERROR(C117-INDEX($C$5:$C$504,MATCH(A117&amp;"|"&amp;(F117-1),$G$5:$G$504,0)),""))</f>
      </c>
      <c r="I117" s="16">
        <f>IF(OR(F117="",F117&lt;2,B117=""),"",IFERROR(B117-INDEX($B$5:$B$504,MATCH(A117&amp;"|"&amp;(F117-1),$G$5:$G$504,0)),""))</f>
      </c>
      <c r="J117" s="18">
        <f>IF(OR(H117="",I117="",I117=0),"",H117/I117)</f>
      </c>
    </row>
    <row r="118" spans="1:10" x14ac:dyDescent="0.25">
      <c r="A118" s="11"/>
      <c r="B118" s="12"/>
      <c r="C118" s="19"/>
      <c r="D118" s="15">
        <f>IF(A118="","",IFERROR(INDEX(Ejemplares!$F$5:$F$64,MATCH(A118,Ejemplares!$A$5:$A$64,0)),""))</f>
      </c>
      <c r="E118" s="11"/>
      <c r="F118" s="16">
        <f>IF(A118="","",COUNTIF($A$5:$A118,A118))</f>
      </c>
      <c r="G118" s="15">
        <f>IF(A118="","",A118&amp;"|"&amp;F118)</f>
      </c>
      <c r="H118" s="17">
        <f>IF(OR(F118="",F118&lt;2,C118=""),"",IFERROR(C118-INDEX($C$5:$C$504,MATCH(A118&amp;"|"&amp;(F118-1),$G$5:$G$504,0)),""))</f>
      </c>
      <c r="I118" s="16">
        <f>IF(OR(F118="",F118&lt;2,B118=""),"",IFERROR(B118-INDEX($B$5:$B$504,MATCH(A118&amp;"|"&amp;(F118-1),$G$5:$G$504,0)),""))</f>
      </c>
      <c r="J118" s="18">
        <f>IF(OR(H118="",I118="",I118=0),"",H118/I118)</f>
      </c>
    </row>
    <row r="119" spans="1:10" x14ac:dyDescent="0.25">
      <c r="A119" s="11"/>
      <c r="B119" s="12"/>
      <c r="C119" s="19"/>
      <c r="D119" s="15">
        <f>IF(A119="","",IFERROR(INDEX(Ejemplares!$F$5:$F$64,MATCH(A119,Ejemplares!$A$5:$A$64,0)),""))</f>
      </c>
      <c r="E119" s="11"/>
      <c r="F119" s="16">
        <f>IF(A119="","",COUNTIF($A$5:$A119,A119))</f>
      </c>
      <c r="G119" s="15">
        <f>IF(A119="","",A119&amp;"|"&amp;F119)</f>
      </c>
      <c r="H119" s="17">
        <f>IF(OR(F119="",F119&lt;2,C119=""),"",IFERROR(C119-INDEX($C$5:$C$504,MATCH(A119&amp;"|"&amp;(F119-1),$G$5:$G$504,0)),""))</f>
      </c>
      <c r="I119" s="16">
        <f>IF(OR(F119="",F119&lt;2,B119=""),"",IFERROR(B119-INDEX($B$5:$B$504,MATCH(A119&amp;"|"&amp;(F119-1),$G$5:$G$504,0)),""))</f>
      </c>
      <c r="J119" s="18">
        <f>IF(OR(H119="",I119="",I119=0),"",H119/I119)</f>
      </c>
    </row>
    <row r="120" spans="1:10" x14ac:dyDescent="0.25">
      <c r="A120" s="11"/>
      <c r="B120" s="12"/>
      <c r="C120" s="19"/>
      <c r="D120" s="15">
        <f>IF(A120="","",IFERROR(INDEX(Ejemplares!$F$5:$F$64,MATCH(A120,Ejemplares!$A$5:$A$64,0)),""))</f>
      </c>
      <c r="E120" s="11"/>
      <c r="F120" s="16">
        <f>IF(A120="","",COUNTIF($A$5:$A120,A120))</f>
      </c>
      <c r="G120" s="15">
        <f>IF(A120="","",A120&amp;"|"&amp;F120)</f>
      </c>
      <c r="H120" s="17">
        <f>IF(OR(F120="",F120&lt;2,C120=""),"",IFERROR(C120-INDEX($C$5:$C$504,MATCH(A120&amp;"|"&amp;(F120-1),$G$5:$G$504,0)),""))</f>
      </c>
      <c r="I120" s="16">
        <f>IF(OR(F120="",F120&lt;2,B120=""),"",IFERROR(B120-INDEX($B$5:$B$504,MATCH(A120&amp;"|"&amp;(F120-1),$G$5:$G$504,0)),""))</f>
      </c>
      <c r="J120" s="18">
        <f>IF(OR(H120="",I120="",I120=0),"",H120/I120)</f>
      </c>
    </row>
    <row r="121" spans="1:10" x14ac:dyDescent="0.25">
      <c r="A121" s="11"/>
      <c r="B121" s="12"/>
      <c r="C121" s="19"/>
      <c r="D121" s="15">
        <f>IF(A121="","",IFERROR(INDEX(Ejemplares!$F$5:$F$64,MATCH(A121,Ejemplares!$A$5:$A$64,0)),""))</f>
      </c>
      <c r="E121" s="11"/>
      <c r="F121" s="16">
        <f>IF(A121="","",COUNTIF($A$5:$A121,A121))</f>
      </c>
      <c r="G121" s="15">
        <f>IF(A121="","",A121&amp;"|"&amp;F121)</f>
      </c>
      <c r="H121" s="17">
        <f>IF(OR(F121="",F121&lt;2,C121=""),"",IFERROR(C121-INDEX($C$5:$C$504,MATCH(A121&amp;"|"&amp;(F121-1),$G$5:$G$504,0)),""))</f>
      </c>
      <c r="I121" s="16">
        <f>IF(OR(F121="",F121&lt;2,B121=""),"",IFERROR(B121-INDEX($B$5:$B$504,MATCH(A121&amp;"|"&amp;(F121-1),$G$5:$G$504,0)),""))</f>
      </c>
      <c r="J121" s="18">
        <f>IF(OR(H121="",I121="",I121=0),"",H121/I121)</f>
      </c>
    </row>
    <row r="122" spans="1:10" x14ac:dyDescent="0.25">
      <c r="A122" s="11"/>
      <c r="B122" s="12"/>
      <c r="C122" s="19"/>
      <c r="D122" s="15">
        <f>IF(A122="","",IFERROR(INDEX(Ejemplares!$F$5:$F$64,MATCH(A122,Ejemplares!$A$5:$A$64,0)),""))</f>
      </c>
      <c r="E122" s="11"/>
      <c r="F122" s="16">
        <f>IF(A122="","",COUNTIF($A$5:$A122,A122))</f>
      </c>
      <c r="G122" s="15">
        <f>IF(A122="","",A122&amp;"|"&amp;F122)</f>
      </c>
      <c r="H122" s="17">
        <f>IF(OR(F122="",F122&lt;2,C122=""),"",IFERROR(C122-INDEX($C$5:$C$504,MATCH(A122&amp;"|"&amp;(F122-1),$G$5:$G$504,0)),""))</f>
      </c>
      <c r="I122" s="16">
        <f>IF(OR(F122="",F122&lt;2,B122=""),"",IFERROR(B122-INDEX($B$5:$B$504,MATCH(A122&amp;"|"&amp;(F122-1),$G$5:$G$504,0)),""))</f>
      </c>
      <c r="J122" s="18">
        <f>IF(OR(H122="",I122="",I122=0),"",H122/I122)</f>
      </c>
    </row>
    <row r="123" spans="1:10" x14ac:dyDescent="0.25">
      <c r="A123" s="11"/>
      <c r="B123" s="12"/>
      <c r="C123" s="19"/>
      <c r="D123" s="15">
        <f>IF(A123="","",IFERROR(INDEX(Ejemplares!$F$5:$F$64,MATCH(A123,Ejemplares!$A$5:$A$64,0)),""))</f>
      </c>
      <c r="E123" s="11"/>
      <c r="F123" s="16">
        <f>IF(A123="","",COUNTIF($A$5:$A123,A123))</f>
      </c>
      <c r="G123" s="15">
        <f>IF(A123="","",A123&amp;"|"&amp;F123)</f>
      </c>
      <c r="H123" s="17">
        <f>IF(OR(F123="",F123&lt;2,C123=""),"",IFERROR(C123-INDEX($C$5:$C$504,MATCH(A123&amp;"|"&amp;(F123-1),$G$5:$G$504,0)),""))</f>
      </c>
      <c r="I123" s="16">
        <f>IF(OR(F123="",F123&lt;2,B123=""),"",IFERROR(B123-INDEX($B$5:$B$504,MATCH(A123&amp;"|"&amp;(F123-1),$G$5:$G$504,0)),""))</f>
      </c>
      <c r="J123" s="18">
        <f>IF(OR(H123="",I123="",I123=0),"",H123/I123)</f>
      </c>
    </row>
    <row r="124" spans="1:10" x14ac:dyDescent="0.25">
      <c r="A124" s="11"/>
      <c r="B124" s="12"/>
      <c r="C124" s="19"/>
      <c r="D124" s="15">
        <f>IF(A124="","",IFERROR(INDEX(Ejemplares!$F$5:$F$64,MATCH(A124,Ejemplares!$A$5:$A$64,0)),""))</f>
      </c>
      <c r="E124" s="11"/>
      <c r="F124" s="16">
        <f>IF(A124="","",COUNTIF($A$5:$A124,A124))</f>
      </c>
      <c r="G124" s="15">
        <f>IF(A124="","",A124&amp;"|"&amp;F124)</f>
      </c>
      <c r="H124" s="17">
        <f>IF(OR(F124="",F124&lt;2,C124=""),"",IFERROR(C124-INDEX($C$5:$C$504,MATCH(A124&amp;"|"&amp;(F124-1),$G$5:$G$504,0)),""))</f>
      </c>
      <c r="I124" s="16">
        <f>IF(OR(F124="",F124&lt;2,B124=""),"",IFERROR(B124-INDEX($B$5:$B$504,MATCH(A124&amp;"|"&amp;(F124-1),$G$5:$G$504,0)),""))</f>
      </c>
      <c r="J124" s="18">
        <f>IF(OR(H124="",I124="",I124=0),"",H124/I124)</f>
      </c>
    </row>
    <row r="125" spans="1:10" x14ac:dyDescent="0.25">
      <c r="A125" s="11"/>
      <c r="B125" s="12"/>
      <c r="C125" s="19"/>
      <c r="D125" s="15">
        <f>IF(A125="","",IFERROR(INDEX(Ejemplares!$F$5:$F$64,MATCH(A125,Ejemplares!$A$5:$A$64,0)),""))</f>
      </c>
      <c r="E125" s="11"/>
      <c r="F125" s="16">
        <f>IF(A125="","",COUNTIF($A$5:$A125,A125))</f>
      </c>
      <c r="G125" s="15">
        <f>IF(A125="","",A125&amp;"|"&amp;F125)</f>
      </c>
      <c r="H125" s="17">
        <f>IF(OR(F125="",F125&lt;2,C125=""),"",IFERROR(C125-INDEX($C$5:$C$504,MATCH(A125&amp;"|"&amp;(F125-1),$G$5:$G$504,0)),""))</f>
      </c>
      <c r="I125" s="16">
        <f>IF(OR(F125="",F125&lt;2,B125=""),"",IFERROR(B125-INDEX($B$5:$B$504,MATCH(A125&amp;"|"&amp;(F125-1),$G$5:$G$504,0)),""))</f>
      </c>
      <c r="J125" s="18">
        <f>IF(OR(H125="",I125="",I125=0),"",H125/I125)</f>
      </c>
    </row>
    <row r="126" spans="1:10" x14ac:dyDescent="0.25">
      <c r="A126" s="11"/>
      <c r="B126" s="12"/>
      <c r="C126" s="19"/>
      <c r="D126" s="15">
        <f>IF(A126="","",IFERROR(INDEX(Ejemplares!$F$5:$F$64,MATCH(A126,Ejemplares!$A$5:$A$64,0)),""))</f>
      </c>
      <c r="E126" s="11"/>
      <c r="F126" s="16">
        <f>IF(A126="","",COUNTIF($A$5:$A126,A126))</f>
      </c>
      <c r="G126" s="15">
        <f>IF(A126="","",A126&amp;"|"&amp;F126)</f>
      </c>
      <c r="H126" s="17">
        <f>IF(OR(F126="",F126&lt;2,C126=""),"",IFERROR(C126-INDEX($C$5:$C$504,MATCH(A126&amp;"|"&amp;(F126-1),$G$5:$G$504,0)),""))</f>
      </c>
      <c r="I126" s="16">
        <f>IF(OR(F126="",F126&lt;2,B126=""),"",IFERROR(B126-INDEX($B$5:$B$504,MATCH(A126&amp;"|"&amp;(F126-1),$G$5:$G$504,0)),""))</f>
      </c>
      <c r="J126" s="18">
        <f>IF(OR(H126="",I126="",I126=0),"",H126/I126)</f>
      </c>
    </row>
    <row r="127" spans="1:10" x14ac:dyDescent="0.25">
      <c r="A127" s="11"/>
      <c r="B127" s="12"/>
      <c r="C127" s="19"/>
      <c r="D127" s="15">
        <f>IF(A127="","",IFERROR(INDEX(Ejemplares!$F$5:$F$64,MATCH(A127,Ejemplares!$A$5:$A$64,0)),""))</f>
      </c>
      <c r="E127" s="11"/>
      <c r="F127" s="16">
        <f>IF(A127="","",COUNTIF($A$5:$A127,A127))</f>
      </c>
      <c r="G127" s="15">
        <f>IF(A127="","",A127&amp;"|"&amp;F127)</f>
      </c>
      <c r="H127" s="17">
        <f>IF(OR(F127="",F127&lt;2,C127=""),"",IFERROR(C127-INDEX($C$5:$C$504,MATCH(A127&amp;"|"&amp;(F127-1),$G$5:$G$504,0)),""))</f>
      </c>
      <c r="I127" s="16">
        <f>IF(OR(F127="",F127&lt;2,B127=""),"",IFERROR(B127-INDEX($B$5:$B$504,MATCH(A127&amp;"|"&amp;(F127-1),$G$5:$G$504,0)),""))</f>
      </c>
      <c r="J127" s="18">
        <f>IF(OR(H127="",I127="",I127=0),"",H127/I127)</f>
      </c>
    </row>
    <row r="128" spans="1:10" x14ac:dyDescent="0.25">
      <c r="A128" s="11"/>
      <c r="B128" s="12"/>
      <c r="C128" s="19"/>
      <c r="D128" s="15">
        <f>IF(A128="","",IFERROR(INDEX(Ejemplares!$F$5:$F$64,MATCH(A128,Ejemplares!$A$5:$A$64,0)),""))</f>
      </c>
      <c r="E128" s="11"/>
      <c r="F128" s="16">
        <f>IF(A128="","",COUNTIF($A$5:$A128,A128))</f>
      </c>
      <c r="G128" s="15">
        <f>IF(A128="","",A128&amp;"|"&amp;F128)</f>
      </c>
      <c r="H128" s="17">
        <f>IF(OR(F128="",F128&lt;2,C128=""),"",IFERROR(C128-INDEX($C$5:$C$504,MATCH(A128&amp;"|"&amp;(F128-1),$G$5:$G$504,0)),""))</f>
      </c>
      <c r="I128" s="16">
        <f>IF(OR(F128="",F128&lt;2,B128=""),"",IFERROR(B128-INDEX($B$5:$B$504,MATCH(A128&amp;"|"&amp;(F128-1),$G$5:$G$504,0)),""))</f>
      </c>
      <c r="J128" s="18">
        <f>IF(OR(H128="",I128="",I128=0),"",H128/I128)</f>
      </c>
    </row>
    <row r="129" spans="1:10" x14ac:dyDescent="0.25">
      <c r="A129" s="11"/>
      <c r="B129" s="12"/>
      <c r="C129" s="19"/>
      <c r="D129" s="15">
        <f>IF(A129="","",IFERROR(INDEX(Ejemplares!$F$5:$F$64,MATCH(A129,Ejemplares!$A$5:$A$64,0)),""))</f>
      </c>
      <c r="E129" s="11"/>
      <c r="F129" s="16">
        <f>IF(A129="","",COUNTIF($A$5:$A129,A129))</f>
      </c>
      <c r="G129" s="15">
        <f>IF(A129="","",A129&amp;"|"&amp;F129)</f>
      </c>
      <c r="H129" s="17">
        <f>IF(OR(F129="",F129&lt;2,C129=""),"",IFERROR(C129-INDEX($C$5:$C$504,MATCH(A129&amp;"|"&amp;(F129-1),$G$5:$G$504,0)),""))</f>
      </c>
      <c r="I129" s="16">
        <f>IF(OR(F129="",F129&lt;2,B129=""),"",IFERROR(B129-INDEX($B$5:$B$504,MATCH(A129&amp;"|"&amp;(F129-1),$G$5:$G$504,0)),""))</f>
      </c>
      <c r="J129" s="18">
        <f>IF(OR(H129="",I129="",I129=0),"",H129/I129)</f>
      </c>
    </row>
    <row r="130" spans="1:10" x14ac:dyDescent="0.25">
      <c r="A130" s="11"/>
      <c r="B130" s="12"/>
      <c r="C130" s="19"/>
      <c r="D130" s="15">
        <f>IF(A130="","",IFERROR(INDEX(Ejemplares!$F$5:$F$64,MATCH(A130,Ejemplares!$A$5:$A$64,0)),""))</f>
      </c>
      <c r="E130" s="11"/>
      <c r="F130" s="16">
        <f>IF(A130="","",COUNTIF($A$5:$A130,A130))</f>
      </c>
      <c r="G130" s="15">
        <f>IF(A130="","",A130&amp;"|"&amp;F130)</f>
      </c>
      <c r="H130" s="17">
        <f>IF(OR(F130="",F130&lt;2,C130=""),"",IFERROR(C130-INDEX($C$5:$C$504,MATCH(A130&amp;"|"&amp;(F130-1),$G$5:$G$504,0)),""))</f>
      </c>
      <c r="I130" s="16">
        <f>IF(OR(F130="",F130&lt;2,B130=""),"",IFERROR(B130-INDEX($B$5:$B$504,MATCH(A130&amp;"|"&amp;(F130-1),$G$5:$G$504,0)),""))</f>
      </c>
      <c r="J130" s="18">
        <f>IF(OR(H130="",I130="",I130=0),"",H130/I130)</f>
      </c>
    </row>
    <row r="131" spans="1:10" x14ac:dyDescent="0.25">
      <c r="A131" s="11"/>
      <c r="B131" s="12"/>
      <c r="C131" s="19"/>
      <c r="D131" s="15">
        <f>IF(A131="","",IFERROR(INDEX(Ejemplares!$F$5:$F$64,MATCH(A131,Ejemplares!$A$5:$A$64,0)),""))</f>
      </c>
      <c r="E131" s="11"/>
      <c r="F131" s="16">
        <f>IF(A131="","",COUNTIF($A$5:$A131,A131))</f>
      </c>
      <c r="G131" s="15">
        <f>IF(A131="","",A131&amp;"|"&amp;F131)</f>
      </c>
      <c r="H131" s="17">
        <f>IF(OR(F131="",F131&lt;2,C131=""),"",IFERROR(C131-INDEX($C$5:$C$504,MATCH(A131&amp;"|"&amp;(F131-1),$G$5:$G$504,0)),""))</f>
      </c>
      <c r="I131" s="16">
        <f>IF(OR(F131="",F131&lt;2,B131=""),"",IFERROR(B131-INDEX($B$5:$B$504,MATCH(A131&amp;"|"&amp;(F131-1),$G$5:$G$504,0)),""))</f>
      </c>
      <c r="J131" s="18">
        <f>IF(OR(H131="",I131="",I131=0),"",H131/I131)</f>
      </c>
    </row>
    <row r="132" spans="1:10" x14ac:dyDescent="0.25">
      <c r="A132" s="11"/>
      <c r="B132" s="12"/>
      <c r="C132" s="19"/>
      <c r="D132" s="15">
        <f>IF(A132="","",IFERROR(INDEX(Ejemplares!$F$5:$F$64,MATCH(A132,Ejemplares!$A$5:$A$64,0)),""))</f>
      </c>
      <c r="E132" s="11"/>
      <c r="F132" s="16">
        <f>IF(A132="","",COUNTIF($A$5:$A132,A132))</f>
      </c>
      <c r="G132" s="15">
        <f>IF(A132="","",A132&amp;"|"&amp;F132)</f>
      </c>
      <c r="H132" s="17">
        <f>IF(OR(F132="",F132&lt;2,C132=""),"",IFERROR(C132-INDEX($C$5:$C$504,MATCH(A132&amp;"|"&amp;(F132-1),$G$5:$G$504,0)),""))</f>
      </c>
      <c r="I132" s="16">
        <f>IF(OR(F132="",F132&lt;2,B132=""),"",IFERROR(B132-INDEX($B$5:$B$504,MATCH(A132&amp;"|"&amp;(F132-1),$G$5:$G$504,0)),""))</f>
      </c>
      <c r="J132" s="18">
        <f>IF(OR(H132="",I132="",I132=0),"",H132/I132)</f>
      </c>
    </row>
    <row r="133" spans="1:10" x14ac:dyDescent="0.25">
      <c r="A133" s="11"/>
      <c r="B133" s="12"/>
      <c r="C133" s="19"/>
      <c r="D133" s="15">
        <f>IF(A133="","",IFERROR(INDEX(Ejemplares!$F$5:$F$64,MATCH(A133,Ejemplares!$A$5:$A$64,0)),""))</f>
      </c>
      <c r="E133" s="11"/>
      <c r="F133" s="16">
        <f>IF(A133="","",COUNTIF($A$5:$A133,A133))</f>
      </c>
      <c r="G133" s="15">
        <f>IF(A133="","",A133&amp;"|"&amp;F133)</f>
      </c>
      <c r="H133" s="17">
        <f>IF(OR(F133="",F133&lt;2,C133=""),"",IFERROR(C133-INDEX($C$5:$C$504,MATCH(A133&amp;"|"&amp;(F133-1),$G$5:$G$504,0)),""))</f>
      </c>
      <c r="I133" s="16">
        <f>IF(OR(F133="",F133&lt;2,B133=""),"",IFERROR(B133-INDEX($B$5:$B$504,MATCH(A133&amp;"|"&amp;(F133-1),$G$5:$G$504,0)),""))</f>
      </c>
      <c r="J133" s="18">
        <f>IF(OR(H133="",I133="",I133=0),"",H133/I133)</f>
      </c>
    </row>
    <row r="134" spans="1:10" x14ac:dyDescent="0.25">
      <c r="A134" s="11"/>
      <c r="B134" s="12"/>
      <c r="C134" s="19"/>
      <c r="D134" s="15">
        <f>IF(A134="","",IFERROR(INDEX(Ejemplares!$F$5:$F$64,MATCH(A134,Ejemplares!$A$5:$A$64,0)),""))</f>
      </c>
      <c r="E134" s="11"/>
      <c r="F134" s="16">
        <f>IF(A134="","",COUNTIF($A$5:$A134,A134))</f>
      </c>
      <c r="G134" s="15">
        <f>IF(A134="","",A134&amp;"|"&amp;F134)</f>
      </c>
      <c r="H134" s="17">
        <f>IF(OR(F134="",F134&lt;2,C134=""),"",IFERROR(C134-INDEX($C$5:$C$504,MATCH(A134&amp;"|"&amp;(F134-1),$G$5:$G$504,0)),""))</f>
      </c>
      <c r="I134" s="16">
        <f>IF(OR(F134="",F134&lt;2,B134=""),"",IFERROR(B134-INDEX($B$5:$B$504,MATCH(A134&amp;"|"&amp;(F134-1),$G$5:$G$504,0)),""))</f>
      </c>
      <c r="J134" s="18">
        <f>IF(OR(H134="",I134="",I134=0),"",H134/I134)</f>
      </c>
    </row>
    <row r="135" spans="1:10" x14ac:dyDescent="0.25">
      <c r="A135" s="11"/>
      <c r="B135" s="12"/>
      <c r="C135" s="19"/>
      <c r="D135" s="15">
        <f>IF(A135="","",IFERROR(INDEX(Ejemplares!$F$5:$F$64,MATCH(A135,Ejemplares!$A$5:$A$64,0)),""))</f>
      </c>
      <c r="E135" s="11"/>
      <c r="F135" s="16">
        <f>IF(A135="","",COUNTIF($A$5:$A135,A135))</f>
      </c>
      <c r="G135" s="15">
        <f>IF(A135="","",A135&amp;"|"&amp;F135)</f>
      </c>
      <c r="H135" s="17">
        <f>IF(OR(F135="",F135&lt;2,C135=""),"",IFERROR(C135-INDEX($C$5:$C$504,MATCH(A135&amp;"|"&amp;(F135-1),$G$5:$G$504,0)),""))</f>
      </c>
      <c r="I135" s="16">
        <f>IF(OR(F135="",F135&lt;2,B135=""),"",IFERROR(B135-INDEX($B$5:$B$504,MATCH(A135&amp;"|"&amp;(F135-1),$G$5:$G$504,0)),""))</f>
      </c>
      <c r="J135" s="18">
        <f>IF(OR(H135="",I135="",I135=0),"",H135/I135)</f>
      </c>
    </row>
    <row r="136" spans="1:10" x14ac:dyDescent="0.25">
      <c r="A136" s="11"/>
      <c r="B136" s="12"/>
      <c r="C136" s="19"/>
      <c r="D136" s="15">
        <f>IF(A136="","",IFERROR(INDEX(Ejemplares!$F$5:$F$64,MATCH(A136,Ejemplares!$A$5:$A$64,0)),""))</f>
      </c>
      <c r="E136" s="11"/>
      <c r="F136" s="16">
        <f>IF(A136="","",COUNTIF($A$5:$A136,A136))</f>
      </c>
      <c r="G136" s="15">
        <f>IF(A136="","",A136&amp;"|"&amp;F136)</f>
      </c>
      <c r="H136" s="17">
        <f>IF(OR(F136="",F136&lt;2,C136=""),"",IFERROR(C136-INDEX($C$5:$C$504,MATCH(A136&amp;"|"&amp;(F136-1),$G$5:$G$504,0)),""))</f>
      </c>
      <c r="I136" s="16">
        <f>IF(OR(F136="",F136&lt;2,B136=""),"",IFERROR(B136-INDEX($B$5:$B$504,MATCH(A136&amp;"|"&amp;(F136-1),$G$5:$G$504,0)),""))</f>
      </c>
      <c r="J136" s="18">
        <f>IF(OR(H136="",I136="",I136=0),"",H136/I136)</f>
      </c>
    </row>
    <row r="137" spans="1:10" x14ac:dyDescent="0.25">
      <c r="A137" s="11"/>
      <c r="B137" s="12"/>
      <c r="C137" s="19"/>
      <c r="D137" s="15">
        <f>IF(A137="","",IFERROR(INDEX(Ejemplares!$F$5:$F$64,MATCH(A137,Ejemplares!$A$5:$A$64,0)),""))</f>
      </c>
      <c r="E137" s="11"/>
      <c r="F137" s="16">
        <f>IF(A137="","",COUNTIF($A$5:$A137,A137))</f>
      </c>
      <c r="G137" s="15">
        <f>IF(A137="","",A137&amp;"|"&amp;F137)</f>
      </c>
      <c r="H137" s="17">
        <f>IF(OR(F137="",F137&lt;2,C137=""),"",IFERROR(C137-INDEX($C$5:$C$504,MATCH(A137&amp;"|"&amp;(F137-1),$G$5:$G$504,0)),""))</f>
      </c>
      <c r="I137" s="16">
        <f>IF(OR(F137="",F137&lt;2,B137=""),"",IFERROR(B137-INDEX($B$5:$B$504,MATCH(A137&amp;"|"&amp;(F137-1),$G$5:$G$504,0)),""))</f>
      </c>
      <c r="J137" s="18">
        <f>IF(OR(H137="",I137="",I137=0),"",H137/I137)</f>
      </c>
    </row>
    <row r="138" spans="1:10" x14ac:dyDescent="0.25">
      <c r="A138" s="11"/>
      <c r="B138" s="12"/>
      <c r="C138" s="19"/>
      <c r="D138" s="15">
        <f>IF(A138="","",IFERROR(INDEX(Ejemplares!$F$5:$F$64,MATCH(A138,Ejemplares!$A$5:$A$64,0)),""))</f>
      </c>
      <c r="E138" s="11"/>
      <c r="F138" s="16">
        <f>IF(A138="","",COUNTIF($A$5:$A138,A138))</f>
      </c>
      <c r="G138" s="15">
        <f>IF(A138="","",A138&amp;"|"&amp;F138)</f>
      </c>
      <c r="H138" s="17">
        <f>IF(OR(F138="",F138&lt;2,C138=""),"",IFERROR(C138-INDEX($C$5:$C$504,MATCH(A138&amp;"|"&amp;(F138-1),$G$5:$G$504,0)),""))</f>
      </c>
      <c r="I138" s="16">
        <f>IF(OR(F138="",F138&lt;2,B138=""),"",IFERROR(B138-INDEX($B$5:$B$504,MATCH(A138&amp;"|"&amp;(F138-1),$G$5:$G$504,0)),""))</f>
      </c>
      <c r="J138" s="18">
        <f>IF(OR(H138="",I138="",I138=0),"",H138/I138)</f>
      </c>
    </row>
    <row r="139" spans="1:10" x14ac:dyDescent="0.25">
      <c r="A139" s="11"/>
      <c r="B139" s="12"/>
      <c r="C139" s="19"/>
      <c r="D139" s="15">
        <f>IF(A139="","",IFERROR(INDEX(Ejemplares!$F$5:$F$64,MATCH(A139,Ejemplares!$A$5:$A$64,0)),""))</f>
      </c>
      <c r="E139" s="11"/>
      <c r="F139" s="16">
        <f>IF(A139="","",COUNTIF($A$5:$A139,A139))</f>
      </c>
      <c r="G139" s="15">
        <f>IF(A139="","",A139&amp;"|"&amp;F139)</f>
      </c>
      <c r="H139" s="17">
        <f>IF(OR(F139="",F139&lt;2,C139=""),"",IFERROR(C139-INDEX($C$5:$C$504,MATCH(A139&amp;"|"&amp;(F139-1),$G$5:$G$504,0)),""))</f>
      </c>
      <c r="I139" s="16">
        <f>IF(OR(F139="",F139&lt;2,B139=""),"",IFERROR(B139-INDEX($B$5:$B$504,MATCH(A139&amp;"|"&amp;(F139-1),$G$5:$G$504,0)),""))</f>
      </c>
      <c r="J139" s="18">
        <f>IF(OR(H139="",I139="",I139=0),"",H139/I139)</f>
      </c>
    </row>
    <row r="140" spans="1:10" x14ac:dyDescent="0.25">
      <c r="A140" s="11"/>
      <c r="B140" s="12"/>
      <c r="C140" s="19"/>
      <c r="D140" s="15">
        <f>IF(A140="","",IFERROR(INDEX(Ejemplares!$F$5:$F$64,MATCH(A140,Ejemplares!$A$5:$A$64,0)),""))</f>
      </c>
      <c r="E140" s="11"/>
      <c r="F140" s="16">
        <f>IF(A140="","",COUNTIF($A$5:$A140,A140))</f>
      </c>
      <c r="G140" s="15">
        <f>IF(A140="","",A140&amp;"|"&amp;F140)</f>
      </c>
      <c r="H140" s="17">
        <f>IF(OR(F140="",F140&lt;2,C140=""),"",IFERROR(C140-INDEX($C$5:$C$504,MATCH(A140&amp;"|"&amp;(F140-1),$G$5:$G$504,0)),""))</f>
      </c>
      <c r="I140" s="16">
        <f>IF(OR(F140="",F140&lt;2,B140=""),"",IFERROR(B140-INDEX($B$5:$B$504,MATCH(A140&amp;"|"&amp;(F140-1),$G$5:$G$504,0)),""))</f>
      </c>
      <c r="J140" s="18">
        <f>IF(OR(H140="",I140="",I140=0),"",H140/I140)</f>
      </c>
    </row>
    <row r="141" spans="1:10" x14ac:dyDescent="0.25">
      <c r="A141" s="11"/>
      <c r="B141" s="12"/>
      <c r="C141" s="19"/>
      <c r="D141" s="15">
        <f>IF(A141="","",IFERROR(INDEX(Ejemplares!$F$5:$F$64,MATCH(A141,Ejemplares!$A$5:$A$64,0)),""))</f>
      </c>
      <c r="E141" s="11"/>
      <c r="F141" s="16">
        <f>IF(A141="","",COUNTIF($A$5:$A141,A141))</f>
      </c>
      <c r="G141" s="15">
        <f>IF(A141="","",A141&amp;"|"&amp;F141)</f>
      </c>
      <c r="H141" s="17">
        <f>IF(OR(F141="",F141&lt;2,C141=""),"",IFERROR(C141-INDEX($C$5:$C$504,MATCH(A141&amp;"|"&amp;(F141-1),$G$5:$G$504,0)),""))</f>
      </c>
      <c r="I141" s="16">
        <f>IF(OR(F141="",F141&lt;2,B141=""),"",IFERROR(B141-INDEX($B$5:$B$504,MATCH(A141&amp;"|"&amp;(F141-1),$G$5:$G$504,0)),""))</f>
      </c>
      <c r="J141" s="18">
        <f>IF(OR(H141="",I141="",I141=0),"",H141/I141)</f>
      </c>
    </row>
    <row r="142" spans="1:10" x14ac:dyDescent="0.25">
      <c r="A142" s="11"/>
      <c r="B142" s="12"/>
      <c r="C142" s="19"/>
      <c r="D142" s="15">
        <f>IF(A142="","",IFERROR(INDEX(Ejemplares!$F$5:$F$64,MATCH(A142,Ejemplares!$A$5:$A$64,0)),""))</f>
      </c>
      <c r="E142" s="11"/>
      <c r="F142" s="16">
        <f>IF(A142="","",COUNTIF($A$5:$A142,A142))</f>
      </c>
      <c r="G142" s="15">
        <f>IF(A142="","",A142&amp;"|"&amp;F142)</f>
      </c>
      <c r="H142" s="17">
        <f>IF(OR(F142="",F142&lt;2,C142=""),"",IFERROR(C142-INDEX($C$5:$C$504,MATCH(A142&amp;"|"&amp;(F142-1),$G$5:$G$504,0)),""))</f>
      </c>
      <c r="I142" s="16">
        <f>IF(OR(F142="",F142&lt;2,B142=""),"",IFERROR(B142-INDEX($B$5:$B$504,MATCH(A142&amp;"|"&amp;(F142-1),$G$5:$G$504,0)),""))</f>
      </c>
      <c r="J142" s="18">
        <f>IF(OR(H142="",I142="",I142=0),"",H142/I142)</f>
      </c>
    </row>
    <row r="143" spans="1:10" x14ac:dyDescent="0.25">
      <c r="A143" s="11"/>
      <c r="B143" s="12"/>
      <c r="C143" s="19"/>
      <c r="D143" s="15">
        <f>IF(A143="","",IFERROR(INDEX(Ejemplares!$F$5:$F$64,MATCH(A143,Ejemplares!$A$5:$A$64,0)),""))</f>
      </c>
      <c r="E143" s="11"/>
      <c r="F143" s="16">
        <f>IF(A143="","",COUNTIF($A$5:$A143,A143))</f>
      </c>
      <c r="G143" s="15">
        <f>IF(A143="","",A143&amp;"|"&amp;F143)</f>
      </c>
      <c r="H143" s="17">
        <f>IF(OR(F143="",F143&lt;2,C143=""),"",IFERROR(C143-INDEX($C$5:$C$504,MATCH(A143&amp;"|"&amp;(F143-1),$G$5:$G$504,0)),""))</f>
      </c>
      <c r="I143" s="16">
        <f>IF(OR(F143="",F143&lt;2,B143=""),"",IFERROR(B143-INDEX($B$5:$B$504,MATCH(A143&amp;"|"&amp;(F143-1),$G$5:$G$504,0)),""))</f>
      </c>
      <c r="J143" s="18">
        <f>IF(OR(H143="",I143="",I143=0),"",H143/I143)</f>
      </c>
    </row>
    <row r="144" spans="1:10" x14ac:dyDescent="0.25">
      <c r="A144" s="11"/>
      <c r="B144" s="12"/>
      <c r="C144" s="19"/>
      <c r="D144" s="15">
        <f>IF(A144="","",IFERROR(INDEX(Ejemplares!$F$5:$F$64,MATCH(A144,Ejemplares!$A$5:$A$64,0)),""))</f>
      </c>
      <c r="E144" s="11"/>
      <c r="F144" s="16">
        <f>IF(A144="","",COUNTIF($A$5:$A144,A144))</f>
      </c>
      <c r="G144" s="15">
        <f>IF(A144="","",A144&amp;"|"&amp;F144)</f>
      </c>
      <c r="H144" s="17">
        <f>IF(OR(F144="",F144&lt;2,C144=""),"",IFERROR(C144-INDEX($C$5:$C$504,MATCH(A144&amp;"|"&amp;(F144-1),$G$5:$G$504,0)),""))</f>
      </c>
      <c r="I144" s="16">
        <f>IF(OR(F144="",F144&lt;2,B144=""),"",IFERROR(B144-INDEX($B$5:$B$504,MATCH(A144&amp;"|"&amp;(F144-1),$G$5:$G$504,0)),""))</f>
      </c>
      <c r="J144" s="18">
        <f>IF(OR(H144="",I144="",I144=0),"",H144/I144)</f>
      </c>
    </row>
    <row r="145" spans="1:10" x14ac:dyDescent="0.25">
      <c r="A145" s="11"/>
      <c r="B145" s="12"/>
      <c r="C145" s="19"/>
      <c r="D145" s="15">
        <f>IF(A145="","",IFERROR(INDEX(Ejemplares!$F$5:$F$64,MATCH(A145,Ejemplares!$A$5:$A$64,0)),""))</f>
      </c>
      <c r="E145" s="11"/>
      <c r="F145" s="16">
        <f>IF(A145="","",COUNTIF($A$5:$A145,A145))</f>
      </c>
      <c r="G145" s="15">
        <f>IF(A145="","",A145&amp;"|"&amp;F145)</f>
      </c>
      <c r="H145" s="17">
        <f>IF(OR(F145="",F145&lt;2,C145=""),"",IFERROR(C145-INDEX($C$5:$C$504,MATCH(A145&amp;"|"&amp;(F145-1),$G$5:$G$504,0)),""))</f>
      </c>
      <c r="I145" s="16">
        <f>IF(OR(F145="",F145&lt;2,B145=""),"",IFERROR(B145-INDEX($B$5:$B$504,MATCH(A145&amp;"|"&amp;(F145-1),$G$5:$G$504,0)),""))</f>
      </c>
      <c r="J145" s="18">
        <f>IF(OR(H145="",I145="",I145=0),"",H145/I145)</f>
      </c>
    </row>
    <row r="146" spans="1:10" x14ac:dyDescent="0.25">
      <c r="A146" s="11"/>
      <c r="B146" s="12"/>
      <c r="C146" s="19"/>
      <c r="D146" s="15">
        <f>IF(A146="","",IFERROR(INDEX(Ejemplares!$F$5:$F$64,MATCH(A146,Ejemplares!$A$5:$A$64,0)),""))</f>
      </c>
      <c r="E146" s="11"/>
      <c r="F146" s="16">
        <f>IF(A146="","",COUNTIF($A$5:$A146,A146))</f>
      </c>
      <c r="G146" s="15">
        <f>IF(A146="","",A146&amp;"|"&amp;F146)</f>
      </c>
      <c r="H146" s="17">
        <f>IF(OR(F146="",F146&lt;2,C146=""),"",IFERROR(C146-INDEX($C$5:$C$504,MATCH(A146&amp;"|"&amp;(F146-1),$G$5:$G$504,0)),""))</f>
      </c>
      <c r="I146" s="16">
        <f>IF(OR(F146="",F146&lt;2,B146=""),"",IFERROR(B146-INDEX($B$5:$B$504,MATCH(A146&amp;"|"&amp;(F146-1),$G$5:$G$504,0)),""))</f>
      </c>
      <c r="J146" s="18">
        <f>IF(OR(H146="",I146="",I146=0),"",H146/I146)</f>
      </c>
    </row>
    <row r="147" spans="1:10" x14ac:dyDescent="0.25">
      <c r="A147" s="11"/>
      <c r="B147" s="12"/>
      <c r="C147" s="19"/>
      <c r="D147" s="15">
        <f>IF(A147="","",IFERROR(INDEX(Ejemplares!$F$5:$F$64,MATCH(A147,Ejemplares!$A$5:$A$64,0)),""))</f>
      </c>
      <c r="E147" s="11"/>
      <c r="F147" s="16">
        <f>IF(A147="","",COUNTIF($A$5:$A147,A147))</f>
      </c>
      <c r="G147" s="15">
        <f>IF(A147="","",A147&amp;"|"&amp;F147)</f>
      </c>
      <c r="H147" s="17">
        <f>IF(OR(F147="",F147&lt;2,C147=""),"",IFERROR(C147-INDEX($C$5:$C$504,MATCH(A147&amp;"|"&amp;(F147-1),$G$5:$G$504,0)),""))</f>
      </c>
      <c r="I147" s="16">
        <f>IF(OR(F147="",F147&lt;2,B147=""),"",IFERROR(B147-INDEX($B$5:$B$504,MATCH(A147&amp;"|"&amp;(F147-1),$G$5:$G$504,0)),""))</f>
      </c>
      <c r="J147" s="18">
        <f>IF(OR(H147="",I147="",I147=0),"",H147/I147)</f>
      </c>
    </row>
    <row r="148" spans="1:10" x14ac:dyDescent="0.25">
      <c r="A148" s="11"/>
      <c r="B148" s="12"/>
      <c r="C148" s="19"/>
      <c r="D148" s="15">
        <f>IF(A148="","",IFERROR(INDEX(Ejemplares!$F$5:$F$64,MATCH(A148,Ejemplares!$A$5:$A$64,0)),""))</f>
      </c>
      <c r="E148" s="11"/>
      <c r="F148" s="16">
        <f>IF(A148="","",COUNTIF($A$5:$A148,A148))</f>
      </c>
      <c r="G148" s="15">
        <f>IF(A148="","",A148&amp;"|"&amp;F148)</f>
      </c>
      <c r="H148" s="17">
        <f>IF(OR(F148="",F148&lt;2,C148=""),"",IFERROR(C148-INDEX($C$5:$C$504,MATCH(A148&amp;"|"&amp;(F148-1),$G$5:$G$504,0)),""))</f>
      </c>
      <c r="I148" s="16">
        <f>IF(OR(F148="",F148&lt;2,B148=""),"",IFERROR(B148-INDEX($B$5:$B$504,MATCH(A148&amp;"|"&amp;(F148-1),$G$5:$G$504,0)),""))</f>
      </c>
      <c r="J148" s="18">
        <f>IF(OR(H148="",I148="",I148=0),"",H148/I148)</f>
      </c>
    </row>
    <row r="149" spans="1:10" x14ac:dyDescent="0.25">
      <c r="A149" s="11"/>
      <c r="B149" s="12"/>
      <c r="C149" s="19"/>
      <c r="D149" s="15">
        <f>IF(A149="","",IFERROR(INDEX(Ejemplares!$F$5:$F$64,MATCH(A149,Ejemplares!$A$5:$A$64,0)),""))</f>
      </c>
      <c r="E149" s="11"/>
      <c r="F149" s="16">
        <f>IF(A149="","",COUNTIF($A$5:$A149,A149))</f>
      </c>
      <c r="G149" s="15">
        <f>IF(A149="","",A149&amp;"|"&amp;F149)</f>
      </c>
      <c r="H149" s="17">
        <f>IF(OR(F149="",F149&lt;2,C149=""),"",IFERROR(C149-INDEX($C$5:$C$504,MATCH(A149&amp;"|"&amp;(F149-1),$G$5:$G$504,0)),""))</f>
      </c>
      <c r="I149" s="16">
        <f>IF(OR(F149="",F149&lt;2,B149=""),"",IFERROR(B149-INDEX($B$5:$B$504,MATCH(A149&amp;"|"&amp;(F149-1),$G$5:$G$504,0)),""))</f>
      </c>
      <c r="J149" s="18">
        <f>IF(OR(H149="",I149="",I149=0),"",H149/I149)</f>
      </c>
    </row>
    <row r="150" spans="1:10" x14ac:dyDescent="0.25">
      <c r="A150" s="11"/>
      <c r="B150" s="12"/>
      <c r="C150" s="19"/>
      <c r="D150" s="15">
        <f>IF(A150="","",IFERROR(INDEX(Ejemplares!$F$5:$F$64,MATCH(A150,Ejemplares!$A$5:$A$64,0)),""))</f>
      </c>
      <c r="E150" s="11"/>
      <c r="F150" s="16">
        <f>IF(A150="","",COUNTIF($A$5:$A150,A150))</f>
      </c>
      <c r="G150" s="15">
        <f>IF(A150="","",A150&amp;"|"&amp;F150)</f>
      </c>
      <c r="H150" s="17">
        <f>IF(OR(F150="",F150&lt;2,C150=""),"",IFERROR(C150-INDEX($C$5:$C$504,MATCH(A150&amp;"|"&amp;(F150-1),$G$5:$G$504,0)),""))</f>
      </c>
      <c r="I150" s="16">
        <f>IF(OR(F150="",F150&lt;2,B150=""),"",IFERROR(B150-INDEX($B$5:$B$504,MATCH(A150&amp;"|"&amp;(F150-1),$G$5:$G$504,0)),""))</f>
      </c>
      <c r="J150" s="18">
        <f>IF(OR(H150="",I150="",I150=0),"",H150/I150)</f>
      </c>
    </row>
    <row r="151" spans="1:10" x14ac:dyDescent="0.25">
      <c r="A151" s="11"/>
      <c r="B151" s="12"/>
      <c r="C151" s="19"/>
      <c r="D151" s="15">
        <f>IF(A151="","",IFERROR(INDEX(Ejemplares!$F$5:$F$64,MATCH(A151,Ejemplares!$A$5:$A$64,0)),""))</f>
      </c>
      <c r="E151" s="11"/>
      <c r="F151" s="16">
        <f>IF(A151="","",COUNTIF($A$5:$A151,A151))</f>
      </c>
      <c r="G151" s="15">
        <f>IF(A151="","",A151&amp;"|"&amp;F151)</f>
      </c>
      <c r="H151" s="17">
        <f>IF(OR(F151="",F151&lt;2,C151=""),"",IFERROR(C151-INDEX($C$5:$C$504,MATCH(A151&amp;"|"&amp;(F151-1),$G$5:$G$504,0)),""))</f>
      </c>
      <c r="I151" s="16">
        <f>IF(OR(F151="",F151&lt;2,B151=""),"",IFERROR(B151-INDEX($B$5:$B$504,MATCH(A151&amp;"|"&amp;(F151-1),$G$5:$G$504,0)),""))</f>
      </c>
      <c r="J151" s="18">
        <f>IF(OR(H151="",I151="",I151=0),"",H151/I151)</f>
      </c>
    </row>
    <row r="152" spans="1:10" x14ac:dyDescent="0.25">
      <c r="A152" s="11"/>
      <c r="B152" s="12"/>
      <c r="C152" s="19"/>
      <c r="D152" s="15">
        <f>IF(A152="","",IFERROR(INDEX(Ejemplares!$F$5:$F$64,MATCH(A152,Ejemplares!$A$5:$A$64,0)),""))</f>
      </c>
      <c r="E152" s="11"/>
      <c r="F152" s="16">
        <f>IF(A152="","",COUNTIF($A$5:$A152,A152))</f>
      </c>
      <c r="G152" s="15">
        <f>IF(A152="","",A152&amp;"|"&amp;F152)</f>
      </c>
      <c r="H152" s="17">
        <f>IF(OR(F152="",F152&lt;2,C152=""),"",IFERROR(C152-INDEX($C$5:$C$504,MATCH(A152&amp;"|"&amp;(F152-1),$G$5:$G$504,0)),""))</f>
      </c>
      <c r="I152" s="16">
        <f>IF(OR(F152="",F152&lt;2,B152=""),"",IFERROR(B152-INDEX($B$5:$B$504,MATCH(A152&amp;"|"&amp;(F152-1),$G$5:$G$504,0)),""))</f>
      </c>
      <c r="J152" s="18">
        <f>IF(OR(H152="",I152="",I152=0),"",H152/I152)</f>
      </c>
    </row>
    <row r="153" spans="1:10" x14ac:dyDescent="0.25">
      <c r="A153" s="11"/>
      <c r="B153" s="12"/>
      <c r="C153" s="19"/>
      <c r="D153" s="15">
        <f>IF(A153="","",IFERROR(INDEX(Ejemplares!$F$5:$F$64,MATCH(A153,Ejemplares!$A$5:$A$64,0)),""))</f>
      </c>
      <c r="E153" s="11"/>
      <c r="F153" s="16">
        <f>IF(A153="","",COUNTIF($A$5:$A153,A153))</f>
      </c>
      <c r="G153" s="15">
        <f>IF(A153="","",A153&amp;"|"&amp;F153)</f>
      </c>
      <c r="H153" s="17">
        <f>IF(OR(F153="",F153&lt;2,C153=""),"",IFERROR(C153-INDEX($C$5:$C$504,MATCH(A153&amp;"|"&amp;(F153-1),$G$5:$G$504,0)),""))</f>
      </c>
      <c r="I153" s="16">
        <f>IF(OR(F153="",F153&lt;2,B153=""),"",IFERROR(B153-INDEX($B$5:$B$504,MATCH(A153&amp;"|"&amp;(F153-1),$G$5:$G$504,0)),""))</f>
      </c>
      <c r="J153" s="18">
        <f>IF(OR(H153="",I153="",I153=0),"",H153/I153)</f>
      </c>
    </row>
    <row r="154" spans="1:10" x14ac:dyDescent="0.25">
      <c r="A154" s="11"/>
      <c r="B154" s="12"/>
      <c r="C154" s="19"/>
      <c r="D154" s="15">
        <f>IF(A154="","",IFERROR(INDEX(Ejemplares!$F$5:$F$64,MATCH(A154,Ejemplares!$A$5:$A$64,0)),""))</f>
      </c>
      <c r="E154" s="11"/>
      <c r="F154" s="16">
        <f>IF(A154="","",COUNTIF($A$5:$A154,A154))</f>
      </c>
      <c r="G154" s="15">
        <f>IF(A154="","",A154&amp;"|"&amp;F154)</f>
      </c>
      <c r="H154" s="17">
        <f>IF(OR(F154="",F154&lt;2,C154=""),"",IFERROR(C154-INDEX($C$5:$C$504,MATCH(A154&amp;"|"&amp;(F154-1),$G$5:$G$504,0)),""))</f>
      </c>
      <c r="I154" s="16">
        <f>IF(OR(F154="",F154&lt;2,B154=""),"",IFERROR(B154-INDEX($B$5:$B$504,MATCH(A154&amp;"|"&amp;(F154-1),$G$5:$G$504,0)),""))</f>
      </c>
      <c r="J154" s="18">
        <f>IF(OR(H154="",I154="",I154=0),"",H154/I154)</f>
      </c>
    </row>
    <row r="155" spans="1:10" x14ac:dyDescent="0.25">
      <c r="A155" s="11"/>
      <c r="B155" s="12"/>
      <c r="C155" s="19"/>
      <c r="D155" s="15">
        <f>IF(A155="","",IFERROR(INDEX(Ejemplares!$F$5:$F$64,MATCH(A155,Ejemplares!$A$5:$A$64,0)),""))</f>
      </c>
      <c r="E155" s="11"/>
      <c r="F155" s="16">
        <f>IF(A155="","",COUNTIF($A$5:$A155,A155))</f>
      </c>
      <c r="G155" s="15">
        <f>IF(A155="","",A155&amp;"|"&amp;F155)</f>
      </c>
      <c r="H155" s="17">
        <f>IF(OR(F155="",F155&lt;2,C155=""),"",IFERROR(C155-INDEX($C$5:$C$504,MATCH(A155&amp;"|"&amp;(F155-1),$G$5:$G$504,0)),""))</f>
      </c>
      <c r="I155" s="16">
        <f>IF(OR(F155="",F155&lt;2,B155=""),"",IFERROR(B155-INDEX($B$5:$B$504,MATCH(A155&amp;"|"&amp;(F155-1),$G$5:$G$504,0)),""))</f>
      </c>
      <c r="J155" s="18">
        <f>IF(OR(H155="",I155="",I155=0),"",H155/I155)</f>
      </c>
    </row>
    <row r="156" spans="1:10" x14ac:dyDescent="0.25">
      <c r="A156" s="11"/>
      <c r="B156" s="12"/>
      <c r="C156" s="19"/>
      <c r="D156" s="15">
        <f>IF(A156="","",IFERROR(INDEX(Ejemplares!$F$5:$F$64,MATCH(A156,Ejemplares!$A$5:$A$64,0)),""))</f>
      </c>
      <c r="E156" s="11"/>
      <c r="F156" s="16">
        <f>IF(A156="","",COUNTIF($A$5:$A156,A156))</f>
      </c>
      <c r="G156" s="15">
        <f>IF(A156="","",A156&amp;"|"&amp;F156)</f>
      </c>
      <c r="H156" s="17">
        <f>IF(OR(F156="",F156&lt;2,C156=""),"",IFERROR(C156-INDEX($C$5:$C$504,MATCH(A156&amp;"|"&amp;(F156-1),$G$5:$G$504,0)),""))</f>
      </c>
      <c r="I156" s="16">
        <f>IF(OR(F156="",F156&lt;2,B156=""),"",IFERROR(B156-INDEX($B$5:$B$504,MATCH(A156&amp;"|"&amp;(F156-1),$G$5:$G$504,0)),""))</f>
      </c>
      <c r="J156" s="18">
        <f>IF(OR(H156="",I156="",I156=0),"",H156/I156)</f>
      </c>
    </row>
    <row r="157" spans="1:10" x14ac:dyDescent="0.25">
      <c r="A157" s="11"/>
      <c r="B157" s="12"/>
      <c r="C157" s="19"/>
      <c r="D157" s="15">
        <f>IF(A157="","",IFERROR(INDEX(Ejemplares!$F$5:$F$64,MATCH(A157,Ejemplares!$A$5:$A$64,0)),""))</f>
      </c>
      <c r="E157" s="11"/>
      <c r="F157" s="16">
        <f>IF(A157="","",COUNTIF($A$5:$A157,A157))</f>
      </c>
      <c r="G157" s="15">
        <f>IF(A157="","",A157&amp;"|"&amp;F157)</f>
      </c>
      <c r="H157" s="17">
        <f>IF(OR(F157="",F157&lt;2,C157=""),"",IFERROR(C157-INDEX($C$5:$C$504,MATCH(A157&amp;"|"&amp;(F157-1),$G$5:$G$504,0)),""))</f>
      </c>
      <c r="I157" s="16">
        <f>IF(OR(F157="",F157&lt;2,B157=""),"",IFERROR(B157-INDEX($B$5:$B$504,MATCH(A157&amp;"|"&amp;(F157-1),$G$5:$G$504,0)),""))</f>
      </c>
      <c r="J157" s="18">
        <f>IF(OR(H157="",I157="",I157=0),"",H157/I157)</f>
      </c>
    </row>
    <row r="158" spans="1:10" x14ac:dyDescent="0.25">
      <c r="A158" s="11"/>
      <c r="B158" s="12"/>
      <c r="C158" s="19"/>
      <c r="D158" s="15">
        <f>IF(A158="","",IFERROR(INDEX(Ejemplares!$F$5:$F$64,MATCH(A158,Ejemplares!$A$5:$A$64,0)),""))</f>
      </c>
      <c r="E158" s="11"/>
      <c r="F158" s="16">
        <f>IF(A158="","",COUNTIF($A$5:$A158,A158))</f>
      </c>
      <c r="G158" s="15">
        <f>IF(A158="","",A158&amp;"|"&amp;F158)</f>
      </c>
      <c r="H158" s="17">
        <f>IF(OR(F158="",F158&lt;2,C158=""),"",IFERROR(C158-INDEX($C$5:$C$504,MATCH(A158&amp;"|"&amp;(F158-1),$G$5:$G$504,0)),""))</f>
      </c>
      <c r="I158" s="16">
        <f>IF(OR(F158="",F158&lt;2,B158=""),"",IFERROR(B158-INDEX($B$5:$B$504,MATCH(A158&amp;"|"&amp;(F158-1),$G$5:$G$504,0)),""))</f>
      </c>
      <c r="J158" s="18">
        <f>IF(OR(H158="",I158="",I158=0),"",H158/I158)</f>
      </c>
    </row>
    <row r="159" spans="1:10" x14ac:dyDescent="0.25">
      <c r="A159" s="11"/>
      <c r="B159" s="12"/>
      <c r="C159" s="19"/>
      <c r="D159" s="15">
        <f>IF(A159="","",IFERROR(INDEX(Ejemplares!$F$5:$F$64,MATCH(A159,Ejemplares!$A$5:$A$64,0)),""))</f>
      </c>
      <c r="E159" s="11"/>
      <c r="F159" s="16">
        <f>IF(A159="","",COUNTIF($A$5:$A159,A159))</f>
      </c>
      <c r="G159" s="15">
        <f>IF(A159="","",A159&amp;"|"&amp;F159)</f>
      </c>
      <c r="H159" s="17">
        <f>IF(OR(F159="",F159&lt;2,C159=""),"",IFERROR(C159-INDEX($C$5:$C$504,MATCH(A159&amp;"|"&amp;(F159-1),$G$5:$G$504,0)),""))</f>
      </c>
      <c r="I159" s="16">
        <f>IF(OR(F159="",F159&lt;2,B159=""),"",IFERROR(B159-INDEX($B$5:$B$504,MATCH(A159&amp;"|"&amp;(F159-1),$G$5:$G$504,0)),""))</f>
      </c>
      <c r="J159" s="18">
        <f>IF(OR(H159="",I159="",I159=0),"",H159/I159)</f>
      </c>
    </row>
    <row r="160" spans="1:10" x14ac:dyDescent="0.25">
      <c r="A160" s="11"/>
      <c r="B160" s="12"/>
      <c r="C160" s="19"/>
      <c r="D160" s="15">
        <f>IF(A160="","",IFERROR(INDEX(Ejemplares!$F$5:$F$64,MATCH(A160,Ejemplares!$A$5:$A$64,0)),""))</f>
      </c>
      <c r="E160" s="11"/>
      <c r="F160" s="16">
        <f>IF(A160="","",COUNTIF($A$5:$A160,A160))</f>
      </c>
      <c r="G160" s="15">
        <f>IF(A160="","",A160&amp;"|"&amp;F160)</f>
      </c>
      <c r="H160" s="17">
        <f>IF(OR(F160="",F160&lt;2,C160=""),"",IFERROR(C160-INDEX($C$5:$C$504,MATCH(A160&amp;"|"&amp;(F160-1),$G$5:$G$504,0)),""))</f>
      </c>
      <c r="I160" s="16">
        <f>IF(OR(F160="",F160&lt;2,B160=""),"",IFERROR(B160-INDEX($B$5:$B$504,MATCH(A160&amp;"|"&amp;(F160-1),$G$5:$G$504,0)),""))</f>
      </c>
      <c r="J160" s="18">
        <f>IF(OR(H160="",I160="",I160=0),"",H160/I160)</f>
      </c>
    </row>
    <row r="161" spans="1:10" x14ac:dyDescent="0.25">
      <c r="A161" s="11"/>
      <c r="B161" s="12"/>
      <c r="C161" s="19"/>
      <c r="D161" s="15">
        <f>IF(A161="","",IFERROR(INDEX(Ejemplares!$F$5:$F$64,MATCH(A161,Ejemplares!$A$5:$A$64,0)),""))</f>
      </c>
      <c r="E161" s="11"/>
      <c r="F161" s="16">
        <f>IF(A161="","",COUNTIF($A$5:$A161,A161))</f>
      </c>
      <c r="G161" s="15">
        <f>IF(A161="","",A161&amp;"|"&amp;F161)</f>
      </c>
      <c r="H161" s="17">
        <f>IF(OR(F161="",F161&lt;2,C161=""),"",IFERROR(C161-INDEX($C$5:$C$504,MATCH(A161&amp;"|"&amp;(F161-1),$G$5:$G$504,0)),""))</f>
      </c>
      <c r="I161" s="16">
        <f>IF(OR(F161="",F161&lt;2,B161=""),"",IFERROR(B161-INDEX($B$5:$B$504,MATCH(A161&amp;"|"&amp;(F161-1),$G$5:$G$504,0)),""))</f>
      </c>
      <c r="J161" s="18">
        <f>IF(OR(H161="",I161="",I161=0),"",H161/I161)</f>
      </c>
    </row>
    <row r="162" spans="1:10" x14ac:dyDescent="0.25">
      <c r="A162" s="11"/>
      <c r="B162" s="12"/>
      <c r="C162" s="19"/>
      <c r="D162" s="15">
        <f>IF(A162="","",IFERROR(INDEX(Ejemplares!$F$5:$F$64,MATCH(A162,Ejemplares!$A$5:$A$64,0)),""))</f>
      </c>
      <c r="E162" s="11"/>
      <c r="F162" s="16">
        <f>IF(A162="","",COUNTIF($A$5:$A162,A162))</f>
      </c>
      <c r="G162" s="15">
        <f>IF(A162="","",A162&amp;"|"&amp;F162)</f>
      </c>
      <c r="H162" s="17">
        <f>IF(OR(F162="",F162&lt;2,C162=""),"",IFERROR(C162-INDEX($C$5:$C$504,MATCH(A162&amp;"|"&amp;(F162-1),$G$5:$G$504,0)),""))</f>
      </c>
      <c r="I162" s="16">
        <f>IF(OR(F162="",F162&lt;2,B162=""),"",IFERROR(B162-INDEX($B$5:$B$504,MATCH(A162&amp;"|"&amp;(F162-1),$G$5:$G$504,0)),""))</f>
      </c>
      <c r="J162" s="18">
        <f>IF(OR(H162="",I162="",I162=0),"",H162/I162)</f>
      </c>
    </row>
    <row r="163" spans="1:10" x14ac:dyDescent="0.25">
      <c r="A163" s="11"/>
      <c r="B163" s="12"/>
      <c r="C163" s="19"/>
      <c r="D163" s="15">
        <f>IF(A163="","",IFERROR(INDEX(Ejemplares!$F$5:$F$64,MATCH(A163,Ejemplares!$A$5:$A$64,0)),""))</f>
      </c>
      <c r="E163" s="11"/>
      <c r="F163" s="16">
        <f>IF(A163="","",COUNTIF($A$5:$A163,A163))</f>
      </c>
      <c r="G163" s="15">
        <f>IF(A163="","",A163&amp;"|"&amp;F163)</f>
      </c>
      <c r="H163" s="17">
        <f>IF(OR(F163="",F163&lt;2,C163=""),"",IFERROR(C163-INDEX($C$5:$C$504,MATCH(A163&amp;"|"&amp;(F163-1),$G$5:$G$504,0)),""))</f>
      </c>
      <c r="I163" s="16">
        <f>IF(OR(F163="",F163&lt;2,B163=""),"",IFERROR(B163-INDEX($B$5:$B$504,MATCH(A163&amp;"|"&amp;(F163-1),$G$5:$G$504,0)),""))</f>
      </c>
      <c r="J163" s="18">
        <f>IF(OR(H163="",I163="",I163=0),"",H163/I163)</f>
      </c>
    </row>
    <row r="164" spans="1:10" x14ac:dyDescent="0.25">
      <c r="A164" s="11"/>
      <c r="B164" s="12"/>
      <c r="C164" s="19"/>
      <c r="D164" s="15">
        <f>IF(A164="","",IFERROR(INDEX(Ejemplares!$F$5:$F$64,MATCH(A164,Ejemplares!$A$5:$A$64,0)),""))</f>
      </c>
      <c r="E164" s="11"/>
      <c r="F164" s="16">
        <f>IF(A164="","",COUNTIF($A$5:$A164,A164))</f>
      </c>
      <c r="G164" s="15">
        <f>IF(A164="","",A164&amp;"|"&amp;F164)</f>
      </c>
      <c r="H164" s="17">
        <f>IF(OR(F164="",F164&lt;2,C164=""),"",IFERROR(C164-INDEX($C$5:$C$504,MATCH(A164&amp;"|"&amp;(F164-1),$G$5:$G$504,0)),""))</f>
      </c>
      <c r="I164" s="16">
        <f>IF(OR(F164="",F164&lt;2,B164=""),"",IFERROR(B164-INDEX($B$5:$B$504,MATCH(A164&amp;"|"&amp;(F164-1),$G$5:$G$504,0)),""))</f>
      </c>
      <c r="J164" s="18">
        <f>IF(OR(H164="",I164="",I164=0),"",H164/I164)</f>
      </c>
    </row>
    <row r="165" spans="1:10" x14ac:dyDescent="0.25">
      <c r="A165" s="11"/>
      <c r="B165" s="12"/>
      <c r="C165" s="19"/>
      <c r="D165" s="15">
        <f>IF(A165="","",IFERROR(INDEX(Ejemplares!$F$5:$F$64,MATCH(A165,Ejemplares!$A$5:$A$64,0)),""))</f>
      </c>
      <c r="E165" s="11"/>
      <c r="F165" s="16">
        <f>IF(A165="","",COUNTIF($A$5:$A165,A165))</f>
      </c>
      <c r="G165" s="15">
        <f>IF(A165="","",A165&amp;"|"&amp;F165)</f>
      </c>
      <c r="H165" s="17">
        <f>IF(OR(F165="",F165&lt;2,C165=""),"",IFERROR(C165-INDEX($C$5:$C$504,MATCH(A165&amp;"|"&amp;(F165-1),$G$5:$G$504,0)),""))</f>
      </c>
      <c r="I165" s="16">
        <f>IF(OR(F165="",F165&lt;2,B165=""),"",IFERROR(B165-INDEX($B$5:$B$504,MATCH(A165&amp;"|"&amp;(F165-1),$G$5:$G$504,0)),""))</f>
      </c>
      <c r="J165" s="18">
        <f>IF(OR(H165="",I165="",I165=0),"",H165/I165)</f>
      </c>
    </row>
    <row r="166" spans="1:10" x14ac:dyDescent="0.25">
      <c r="A166" s="11"/>
      <c r="B166" s="12"/>
      <c r="C166" s="19"/>
      <c r="D166" s="15">
        <f>IF(A166="","",IFERROR(INDEX(Ejemplares!$F$5:$F$64,MATCH(A166,Ejemplares!$A$5:$A$64,0)),""))</f>
      </c>
      <c r="E166" s="11"/>
      <c r="F166" s="16">
        <f>IF(A166="","",COUNTIF($A$5:$A166,A166))</f>
      </c>
      <c r="G166" s="15">
        <f>IF(A166="","",A166&amp;"|"&amp;F166)</f>
      </c>
      <c r="H166" s="17">
        <f>IF(OR(F166="",F166&lt;2,C166=""),"",IFERROR(C166-INDEX($C$5:$C$504,MATCH(A166&amp;"|"&amp;(F166-1),$G$5:$G$504,0)),""))</f>
      </c>
      <c r="I166" s="16">
        <f>IF(OR(F166="",F166&lt;2,B166=""),"",IFERROR(B166-INDEX($B$5:$B$504,MATCH(A166&amp;"|"&amp;(F166-1),$G$5:$G$504,0)),""))</f>
      </c>
      <c r="J166" s="18">
        <f>IF(OR(H166="",I166="",I166=0),"",H166/I166)</f>
      </c>
    </row>
    <row r="167" spans="1:10" x14ac:dyDescent="0.25">
      <c r="A167" s="11"/>
      <c r="B167" s="12"/>
      <c r="C167" s="19"/>
      <c r="D167" s="15">
        <f>IF(A167="","",IFERROR(INDEX(Ejemplares!$F$5:$F$64,MATCH(A167,Ejemplares!$A$5:$A$64,0)),""))</f>
      </c>
      <c r="E167" s="11"/>
      <c r="F167" s="16">
        <f>IF(A167="","",COUNTIF($A$5:$A167,A167))</f>
      </c>
      <c r="G167" s="15">
        <f>IF(A167="","",A167&amp;"|"&amp;F167)</f>
      </c>
      <c r="H167" s="17">
        <f>IF(OR(F167="",F167&lt;2,C167=""),"",IFERROR(C167-INDEX($C$5:$C$504,MATCH(A167&amp;"|"&amp;(F167-1),$G$5:$G$504,0)),""))</f>
      </c>
      <c r="I167" s="16">
        <f>IF(OR(F167="",F167&lt;2,B167=""),"",IFERROR(B167-INDEX($B$5:$B$504,MATCH(A167&amp;"|"&amp;(F167-1),$G$5:$G$504,0)),""))</f>
      </c>
      <c r="J167" s="18">
        <f>IF(OR(H167="",I167="",I167=0),"",H167/I167)</f>
      </c>
    </row>
    <row r="168" spans="1:10" x14ac:dyDescent="0.25">
      <c r="A168" s="11"/>
      <c r="B168" s="12"/>
      <c r="C168" s="19"/>
      <c r="D168" s="15">
        <f>IF(A168="","",IFERROR(INDEX(Ejemplares!$F$5:$F$64,MATCH(A168,Ejemplares!$A$5:$A$64,0)),""))</f>
      </c>
      <c r="E168" s="11"/>
      <c r="F168" s="16">
        <f>IF(A168="","",COUNTIF($A$5:$A168,A168))</f>
      </c>
      <c r="G168" s="15">
        <f>IF(A168="","",A168&amp;"|"&amp;F168)</f>
      </c>
      <c r="H168" s="17">
        <f>IF(OR(F168="",F168&lt;2,C168=""),"",IFERROR(C168-INDEX($C$5:$C$504,MATCH(A168&amp;"|"&amp;(F168-1),$G$5:$G$504,0)),""))</f>
      </c>
      <c r="I168" s="16">
        <f>IF(OR(F168="",F168&lt;2,B168=""),"",IFERROR(B168-INDEX($B$5:$B$504,MATCH(A168&amp;"|"&amp;(F168-1),$G$5:$G$504,0)),""))</f>
      </c>
      <c r="J168" s="18">
        <f>IF(OR(H168="",I168="",I168=0),"",H168/I168)</f>
      </c>
    </row>
    <row r="169" spans="1:10" x14ac:dyDescent="0.25">
      <c r="A169" s="11"/>
      <c r="B169" s="12"/>
      <c r="C169" s="19"/>
      <c r="D169" s="15">
        <f>IF(A169="","",IFERROR(INDEX(Ejemplares!$F$5:$F$64,MATCH(A169,Ejemplares!$A$5:$A$64,0)),""))</f>
      </c>
      <c r="E169" s="11"/>
      <c r="F169" s="16">
        <f>IF(A169="","",COUNTIF($A$5:$A169,A169))</f>
      </c>
      <c r="G169" s="15">
        <f>IF(A169="","",A169&amp;"|"&amp;F169)</f>
      </c>
      <c r="H169" s="17">
        <f>IF(OR(F169="",F169&lt;2,C169=""),"",IFERROR(C169-INDEX($C$5:$C$504,MATCH(A169&amp;"|"&amp;(F169-1),$G$5:$G$504,0)),""))</f>
      </c>
      <c r="I169" s="16">
        <f>IF(OR(F169="",F169&lt;2,B169=""),"",IFERROR(B169-INDEX($B$5:$B$504,MATCH(A169&amp;"|"&amp;(F169-1),$G$5:$G$504,0)),""))</f>
      </c>
      <c r="J169" s="18">
        <f>IF(OR(H169="",I169="",I169=0),"",H169/I169)</f>
      </c>
    </row>
    <row r="170" spans="1:10" x14ac:dyDescent="0.25">
      <c r="A170" s="11"/>
      <c r="B170" s="12"/>
      <c r="C170" s="19"/>
      <c r="D170" s="15">
        <f>IF(A170="","",IFERROR(INDEX(Ejemplares!$F$5:$F$64,MATCH(A170,Ejemplares!$A$5:$A$64,0)),""))</f>
      </c>
      <c r="E170" s="11"/>
      <c r="F170" s="16">
        <f>IF(A170="","",COUNTIF($A$5:$A170,A170))</f>
      </c>
      <c r="G170" s="15">
        <f>IF(A170="","",A170&amp;"|"&amp;F170)</f>
      </c>
      <c r="H170" s="17">
        <f>IF(OR(F170="",F170&lt;2,C170=""),"",IFERROR(C170-INDEX($C$5:$C$504,MATCH(A170&amp;"|"&amp;(F170-1),$G$5:$G$504,0)),""))</f>
      </c>
      <c r="I170" s="16">
        <f>IF(OR(F170="",F170&lt;2,B170=""),"",IFERROR(B170-INDEX($B$5:$B$504,MATCH(A170&amp;"|"&amp;(F170-1),$G$5:$G$504,0)),""))</f>
      </c>
      <c r="J170" s="18">
        <f>IF(OR(H170="",I170="",I170=0),"",H170/I170)</f>
      </c>
    </row>
    <row r="171" spans="1:10" x14ac:dyDescent="0.25">
      <c r="A171" s="11"/>
      <c r="B171" s="12"/>
      <c r="C171" s="19"/>
      <c r="D171" s="15">
        <f>IF(A171="","",IFERROR(INDEX(Ejemplares!$F$5:$F$64,MATCH(A171,Ejemplares!$A$5:$A$64,0)),""))</f>
      </c>
      <c r="E171" s="11"/>
      <c r="F171" s="16">
        <f>IF(A171="","",COUNTIF($A$5:$A171,A171))</f>
      </c>
      <c r="G171" s="15">
        <f>IF(A171="","",A171&amp;"|"&amp;F171)</f>
      </c>
      <c r="H171" s="17">
        <f>IF(OR(F171="",F171&lt;2,C171=""),"",IFERROR(C171-INDEX($C$5:$C$504,MATCH(A171&amp;"|"&amp;(F171-1),$G$5:$G$504,0)),""))</f>
      </c>
      <c r="I171" s="16">
        <f>IF(OR(F171="",F171&lt;2,B171=""),"",IFERROR(B171-INDEX($B$5:$B$504,MATCH(A171&amp;"|"&amp;(F171-1),$G$5:$G$504,0)),""))</f>
      </c>
      <c r="J171" s="18">
        <f>IF(OR(H171="",I171="",I171=0),"",H171/I171)</f>
      </c>
    </row>
    <row r="172" spans="1:10" x14ac:dyDescent="0.25">
      <c r="A172" s="11"/>
      <c r="B172" s="12"/>
      <c r="C172" s="19"/>
      <c r="D172" s="15">
        <f>IF(A172="","",IFERROR(INDEX(Ejemplares!$F$5:$F$64,MATCH(A172,Ejemplares!$A$5:$A$64,0)),""))</f>
      </c>
      <c r="E172" s="11"/>
      <c r="F172" s="16">
        <f>IF(A172="","",COUNTIF($A$5:$A172,A172))</f>
      </c>
      <c r="G172" s="15">
        <f>IF(A172="","",A172&amp;"|"&amp;F172)</f>
      </c>
      <c r="H172" s="17">
        <f>IF(OR(F172="",F172&lt;2,C172=""),"",IFERROR(C172-INDEX($C$5:$C$504,MATCH(A172&amp;"|"&amp;(F172-1),$G$5:$G$504,0)),""))</f>
      </c>
      <c r="I172" s="16">
        <f>IF(OR(F172="",F172&lt;2,B172=""),"",IFERROR(B172-INDEX($B$5:$B$504,MATCH(A172&amp;"|"&amp;(F172-1),$G$5:$G$504,0)),""))</f>
      </c>
      <c r="J172" s="18">
        <f>IF(OR(H172="",I172="",I172=0),"",H172/I172)</f>
      </c>
    </row>
    <row r="173" spans="1:10" x14ac:dyDescent="0.25">
      <c r="A173" s="11"/>
      <c r="B173" s="12"/>
      <c r="C173" s="19"/>
      <c r="D173" s="15">
        <f>IF(A173="","",IFERROR(INDEX(Ejemplares!$F$5:$F$64,MATCH(A173,Ejemplares!$A$5:$A$64,0)),""))</f>
      </c>
      <c r="E173" s="11"/>
      <c r="F173" s="16">
        <f>IF(A173="","",COUNTIF($A$5:$A173,A173))</f>
      </c>
      <c r="G173" s="15">
        <f>IF(A173="","",A173&amp;"|"&amp;F173)</f>
      </c>
      <c r="H173" s="17">
        <f>IF(OR(F173="",F173&lt;2,C173=""),"",IFERROR(C173-INDEX($C$5:$C$504,MATCH(A173&amp;"|"&amp;(F173-1),$G$5:$G$504,0)),""))</f>
      </c>
      <c r="I173" s="16">
        <f>IF(OR(F173="",F173&lt;2,B173=""),"",IFERROR(B173-INDEX($B$5:$B$504,MATCH(A173&amp;"|"&amp;(F173-1),$G$5:$G$504,0)),""))</f>
      </c>
      <c r="J173" s="18">
        <f>IF(OR(H173="",I173="",I173=0),"",H173/I173)</f>
      </c>
    </row>
    <row r="174" spans="1:10" x14ac:dyDescent="0.25">
      <c r="A174" s="11"/>
      <c r="B174" s="12"/>
      <c r="C174" s="19"/>
      <c r="D174" s="15">
        <f>IF(A174="","",IFERROR(INDEX(Ejemplares!$F$5:$F$64,MATCH(A174,Ejemplares!$A$5:$A$64,0)),""))</f>
      </c>
      <c r="E174" s="11"/>
      <c r="F174" s="16">
        <f>IF(A174="","",COUNTIF($A$5:$A174,A174))</f>
      </c>
      <c r="G174" s="15">
        <f>IF(A174="","",A174&amp;"|"&amp;F174)</f>
      </c>
      <c r="H174" s="17">
        <f>IF(OR(F174="",F174&lt;2,C174=""),"",IFERROR(C174-INDEX($C$5:$C$504,MATCH(A174&amp;"|"&amp;(F174-1),$G$5:$G$504,0)),""))</f>
      </c>
      <c r="I174" s="16">
        <f>IF(OR(F174="",F174&lt;2,B174=""),"",IFERROR(B174-INDEX($B$5:$B$504,MATCH(A174&amp;"|"&amp;(F174-1),$G$5:$G$504,0)),""))</f>
      </c>
      <c r="J174" s="18">
        <f>IF(OR(H174="",I174="",I174=0),"",H174/I174)</f>
      </c>
    </row>
    <row r="175" spans="1:10" x14ac:dyDescent="0.25">
      <c r="A175" s="11"/>
      <c r="B175" s="12"/>
      <c r="C175" s="19"/>
      <c r="D175" s="15">
        <f>IF(A175="","",IFERROR(INDEX(Ejemplares!$F$5:$F$64,MATCH(A175,Ejemplares!$A$5:$A$64,0)),""))</f>
      </c>
      <c r="E175" s="11"/>
      <c r="F175" s="16">
        <f>IF(A175="","",COUNTIF($A$5:$A175,A175))</f>
      </c>
      <c r="G175" s="15">
        <f>IF(A175="","",A175&amp;"|"&amp;F175)</f>
      </c>
      <c r="H175" s="17">
        <f>IF(OR(F175="",F175&lt;2,C175=""),"",IFERROR(C175-INDEX($C$5:$C$504,MATCH(A175&amp;"|"&amp;(F175-1),$G$5:$G$504,0)),""))</f>
      </c>
      <c r="I175" s="16">
        <f>IF(OR(F175="",F175&lt;2,B175=""),"",IFERROR(B175-INDEX($B$5:$B$504,MATCH(A175&amp;"|"&amp;(F175-1),$G$5:$G$504,0)),""))</f>
      </c>
      <c r="J175" s="18">
        <f>IF(OR(H175="",I175="",I175=0),"",H175/I175)</f>
      </c>
    </row>
    <row r="176" spans="1:10" x14ac:dyDescent="0.25">
      <c r="A176" s="11"/>
      <c r="B176" s="12"/>
      <c r="C176" s="19"/>
      <c r="D176" s="15">
        <f>IF(A176="","",IFERROR(INDEX(Ejemplares!$F$5:$F$64,MATCH(A176,Ejemplares!$A$5:$A$64,0)),""))</f>
      </c>
      <c r="E176" s="11"/>
      <c r="F176" s="16">
        <f>IF(A176="","",COUNTIF($A$5:$A176,A176))</f>
      </c>
      <c r="G176" s="15">
        <f>IF(A176="","",A176&amp;"|"&amp;F176)</f>
      </c>
      <c r="H176" s="17">
        <f>IF(OR(F176="",F176&lt;2,C176=""),"",IFERROR(C176-INDEX($C$5:$C$504,MATCH(A176&amp;"|"&amp;(F176-1),$G$5:$G$504,0)),""))</f>
      </c>
      <c r="I176" s="16">
        <f>IF(OR(F176="",F176&lt;2,B176=""),"",IFERROR(B176-INDEX($B$5:$B$504,MATCH(A176&amp;"|"&amp;(F176-1),$G$5:$G$504,0)),""))</f>
      </c>
      <c r="J176" s="18">
        <f>IF(OR(H176="",I176="",I176=0),"",H176/I176)</f>
      </c>
    </row>
    <row r="177" spans="1:10" x14ac:dyDescent="0.25">
      <c r="A177" s="11"/>
      <c r="B177" s="12"/>
      <c r="C177" s="19"/>
      <c r="D177" s="15">
        <f>IF(A177="","",IFERROR(INDEX(Ejemplares!$F$5:$F$64,MATCH(A177,Ejemplares!$A$5:$A$64,0)),""))</f>
      </c>
      <c r="E177" s="11"/>
      <c r="F177" s="16">
        <f>IF(A177="","",COUNTIF($A$5:$A177,A177))</f>
      </c>
      <c r="G177" s="15">
        <f>IF(A177="","",A177&amp;"|"&amp;F177)</f>
      </c>
      <c r="H177" s="17">
        <f>IF(OR(F177="",F177&lt;2,C177=""),"",IFERROR(C177-INDEX($C$5:$C$504,MATCH(A177&amp;"|"&amp;(F177-1),$G$5:$G$504,0)),""))</f>
      </c>
      <c r="I177" s="16">
        <f>IF(OR(F177="",F177&lt;2,B177=""),"",IFERROR(B177-INDEX($B$5:$B$504,MATCH(A177&amp;"|"&amp;(F177-1),$G$5:$G$504,0)),""))</f>
      </c>
      <c r="J177" s="18">
        <f>IF(OR(H177="",I177="",I177=0),"",H177/I177)</f>
      </c>
    </row>
    <row r="178" spans="1:10" x14ac:dyDescent="0.25">
      <c r="A178" s="11"/>
      <c r="B178" s="12"/>
      <c r="C178" s="19"/>
      <c r="D178" s="15">
        <f>IF(A178="","",IFERROR(INDEX(Ejemplares!$F$5:$F$64,MATCH(A178,Ejemplares!$A$5:$A$64,0)),""))</f>
      </c>
      <c r="E178" s="11"/>
      <c r="F178" s="16">
        <f>IF(A178="","",COUNTIF($A$5:$A178,A178))</f>
      </c>
      <c r="G178" s="15">
        <f>IF(A178="","",A178&amp;"|"&amp;F178)</f>
      </c>
      <c r="H178" s="17">
        <f>IF(OR(F178="",F178&lt;2,C178=""),"",IFERROR(C178-INDEX($C$5:$C$504,MATCH(A178&amp;"|"&amp;(F178-1),$G$5:$G$504,0)),""))</f>
      </c>
      <c r="I178" s="16">
        <f>IF(OR(F178="",F178&lt;2,B178=""),"",IFERROR(B178-INDEX($B$5:$B$504,MATCH(A178&amp;"|"&amp;(F178-1),$G$5:$G$504,0)),""))</f>
      </c>
      <c r="J178" s="18">
        <f>IF(OR(H178="",I178="",I178=0),"",H178/I178)</f>
      </c>
    </row>
    <row r="179" spans="1:10" x14ac:dyDescent="0.25">
      <c r="A179" s="11"/>
      <c r="B179" s="12"/>
      <c r="C179" s="19"/>
      <c r="D179" s="15">
        <f>IF(A179="","",IFERROR(INDEX(Ejemplares!$F$5:$F$64,MATCH(A179,Ejemplares!$A$5:$A$64,0)),""))</f>
      </c>
      <c r="E179" s="11"/>
      <c r="F179" s="16">
        <f>IF(A179="","",COUNTIF($A$5:$A179,A179))</f>
      </c>
      <c r="G179" s="15">
        <f>IF(A179="","",A179&amp;"|"&amp;F179)</f>
      </c>
      <c r="H179" s="17">
        <f>IF(OR(F179="",F179&lt;2,C179=""),"",IFERROR(C179-INDEX($C$5:$C$504,MATCH(A179&amp;"|"&amp;(F179-1),$G$5:$G$504,0)),""))</f>
      </c>
      <c r="I179" s="16">
        <f>IF(OR(F179="",F179&lt;2,B179=""),"",IFERROR(B179-INDEX($B$5:$B$504,MATCH(A179&amp;"|"&amp;(F179-1),$G$5:$G$504,0)),""))</f>
      </c>
      <c r="J179" s="18">
        <f>IF(OR(H179="",I179="",I179=0),"",H179/I179)</f>
      </c>
    </row>
    <row r="180" spans="1:10" x14ac:dyDescent="0.25">
      <c r="A180" s="11"/>
      <c r="B180" s="12"/>
      <c r="C180" s="19"/>
      <c r="D180" s="15">
        <f>IF(A180="","",IFERROR(INDEX(Ejemplares!$F$5:$F$64,MATCH(A180,Ejemplares!$A$5:$A$64,0)),""))</f>
      </c>
      <c r="E180" s="11"/>
      <c r="F180" s="16">
        <f>IF(A180="","",COUNTIF($A$5:$A180,A180))</f>
      </c>
      <c r="G180" s="15">
        <f>IF(A180="","",A180&amp;"|"&amp;F180)</f>
      </c>
      <c r="H180" s="17">
        <f>IF(OR(F180="",F180&lt;2,C180=""),"",IFERROR(C180-INDEX($C$5:$C$504,MATCH(A180&amp;"|"&amp;(F180-1),$G$5:$G$504,0)),""))</f>
      </c>
      <c r="I180" s="16">
        <f>IF(OR(F180="",F180&lt;2,B180=""),"",IFERROR(B180-INDEX($B$5:$B$504,MATCH(A180&amp;"|"&amp;(F180-1),$G$5:$G$504,0)),""))</f>
      </c>
      <c r="J180" s="18">
        <f>IF(OR(H180="",I180="",I180=0),"",H180/I180)</f>
      </c>
    </row>
    <row r="181" spans="1:10" x14ac:dyDescent="0.25">
      <c r="A181" s="11"/>
      <c r="B181" s="12"/>
      <c r="C181" s="19"/>
      <c r="D181" s="15">
        <f>IF(A181="","",IFERROR(INDEX(Ejemplares!$F$5:$F$64,MATCH(A181,Ejemplares!$A$5:$A$64,0)),""))</f>
      </c>
      <c r="E181" s="11"/>
      <c r="F181" s="16">
        <f>IF(A181="","",COUNTIF($A$5:$A181,A181))</f>
      </c>
      <c r="G181" s="15">
        <f>IF(A181="","",A181&amp;"|"&amp;F181)</f>
      </c>
      <c r="H181" s="17">
        <f>IF(OR(F181="",F181&lt;2,C181=""),"",IFERROR(C181-INDEX($C$5:$C$504,MATCH(A181&amp;"|"&amp;(F181-1),$G$5:$G$504,0)),""))</f>
      </c>
      <c r="I181" s="16">
        <f>IF(OR(F181="",F181&lt;2,B181=""),"",IFERROR(B181-INDEX($B$5:$B$504,MATCH(A181&amp;"|"&amp;(F181-1),$G$5:$G$504,0)),""))</f>
      </c>
      <c r="J181" s="18">
        <f>IF(OR(H181="",I181="",I181=0),"",H181/I181)</f>
      </c>
    </row>
    <row r="182" spans="1:10" x14ac:dyDescent="0.25">
      <c r="A182" s="11"/>
      <c r="B182" s="12"/>
      <c r="C182" s="19"/>
      <c r="D182" s="15">
        <f>IF(A182="","",IFERROR(INDEX(Ejemplares!$F$5:$F$64,MATCH(A182,Ejemplares!$A$5:$A$64,0)),""))</f>
      </c>
      <c r="E182" s="11"/>
      <c r="F182" s="16">
        <f>IF(A182="","",COUNTIF($A$5:$A182,A182))</f>
      </c>
      <c r="G182" s="15">
        <f>IF(A182="","",A182&amp;"|"&amp;F182)</f>
      </c>
      <c r="H182" s="17">
        <f>IF(OR(F182="",F182&lt;2,C182=""),"",IFERROR(C182-INDEX($C$5:$C$504,MATCH(A182&amp;"|"&amp;(F182-1),$G$5:$G$504,0)),""))</f>
      </c>
      <c r="I182" s="16">
        <f>IF(OR(F182="",F182&lt;2,B182=""),"",IFERROR(B182-INDEX($B$5:$B$504,MATCH(A182&amp;"|"&amp;(F182-1),$G$5:$G$504,0)),""))</f>
      </c>
      <c r="J182" s="18">
        <f>IF(OR(H182="",I182="",I182=0),"",H182/I182)</f>
      </c>
    </row>
    <row r="183" spans="1:10" x14ac:dyDescent="0.25">
      <c r="A183" s="11"/>
      <c r="B183" s="12"/>
      <c r="C183" s="19"/>
      <c r="D183" s="15">
        <f>IF(A183="","",IFERROR(INDEX(Ejemplares!$F$5:$F$64,MATCH(A183,Ejemplares!$A$5:$A$64,0)),""))</f>
      </c>
      <c r="E183" s="11"/>
      <c r="F183" s="16">
        <f>IF(A183="","",COUNTIF($A$5:$A183,A183))</f>
      </c>
      <c r="G183" s="15">
        <f>IF(A183="","",A183&amp;"|"&amp;F183)</f>
      </c>
      <c r="H183" s="17">
        <f>IF(OR(F183="",F183&lt;2,C183=""),"",IFERROR(C183-INDEX($C$5:$C$504,MATCH(A183&amp;"|"&amp;(F183-1),$G$5:$G$504,0)),""))</f>
      </c>
      <c r="I183" s="16">
        <f>IF(OR(F183="",F183&lt;2,B183=""),"",IFERROR(B183-INDEX($B$5:$B$504,MATCH(A183&amp;"|"&amp;(F183-1),$G$5:$G$504,0)),""))</f>
      </c>
      <c r="J183" s="18">
        <f>IF(OR(H183="",I183="",I183=0),"",H183/I183)</f>
      </c>
    </row>
    <row r="184" spans="1:10" x14ac:dyDescent="0.25">
      <c r="A184" s="11"/>
      <c r="B184" s="12"/>
      <c r="C184" s="19"/>
      <c r="D184" s="15">
        <f>IF(A184="","",IFERROR(INDEX(Ejemplares!$F$5:$F$64,MATCH(A184,Ejemplares!$A$5:$A$64,0)),""))</f>
      </c>
      <c r="E184" s="11"/>
      <c r="F184" s="16">
        <f>IF(A184="","",COUNTIF($A$5:$A184,A184))</f>
      </c>
      <c r="G184" s="15">
        <f>IF(A184="","",A184&amp;"|"&amp;F184)</f>
      </c>
      <c r="H184" s="17">
        <f>IF(OR(F184="",F184&lt;2,C184=""),"",IFERROR(C184-INDEX($C$5:$C$504,MATCH(A184&amp;"|"&amp;(F184-1),$G$5:$G$504,0)),""))</f>
      </c>
      <c r="I184" s="16">
        <f>IF(OR(F184="",F184&lt;2,B184=""),"",IFERROR(B184-INDEX($B$5:$B$504,MATCH(A184&amp;"|"&amp;(F184-1),$G$5:$G$504,0)),""))</f>
      </c>
      <c r="J184" s="18">
        <f>IF(OR(H184="",I184="",I184=0),"",H184/I184)</f>
      </c>
    </row>
    <row r="185" spans="1:10" x14ac:dyDescent="0.25">
      <c r="A185" s="11"/>
      <c r="B185" s="12"/>
      <c r="C185" s="19"/>
      <c r="D185" s="15">
        <f>IF(A185="","",IFERROR(INDEX(Ejemplares!$F$5:$F$64,MATCH(A185,Ejemplares!$A$5:$A$64,0)),""))</f>
      </c>
      <c r="E185" s="11"/>
      <c r="F185" s="16">
        <f>IF(A185="","",COUNTIF($A$5:$A185,A185))</f>
      </c>
      <c r="G185" s="15">
        <f>IF(A185="","",A185&amp;"|"&amp;F185)</f>
      </c>
      <c r="H185" s="17">
        <f>IF(OR(F185="",F185&lt;2,C185=""),"",IFERROR(C185-INDEX($C$5:$C$504,MATCH(A185&amp;"|"&amp;(F185-1),$G$5:$G$504,0)),""))</f>
      </c>
      <c r="I185" s="16">
        <f>IF(OR(F185="",F185&lt;2,B185=""),"",IFERROR(B185-INDEX($B$5:$B$504,MATCH(A185&amp;"|"&amp;(F185-1),$G$5:$G$504,0)),""))</f>
      </c>
      <c r="J185" s="18">
        <f>IF(OR(H185="",I185="",I185=0),"",H185/I185)</f>
      </c>
    </row>
    <row r="186" spans="1:10" x14ac:dyDescent="0.25">
      <c r="A186" s="11"/>
      <c r="B186" s="12"/>
      <c r="C186" s="19"/>
      <c r="D186" s="15">
        <f>IF(A186="","",IFERROR(INDEX(Ejemplares!$F$5:$F$64,MATCH(A186,Ejemplares!$A$5:$A$64,0)),""))</f>
      </c>
      <c r="E186" s="11"/>
      <c r="F186" s="16">
        <f>IF(A186="","",COUNTIF($A$5:$A186,A186))</f>
      </c>
      <c r="G186" s="15">
        <f>IF(A186="","",A186&amp;"|"&amp;F186)</f>
      </c>
      <c r="H186" s="17">
        <f>IF(OR(F186="",F186&lt;2,C186=""),"",IFERROR(C186-INDEX($C$5:$C$504,MATCH(A186&amp;"|"&amp;(F186-1),$G$5:$G$504,0)),""))</f>
      </c>
      <c r="I186" s="16">
        <f>IF(OR(F186="",F186&lt;2,B186=""),"",IFERROR(B186-INDEX($B$5:$B$504,MATCH(A186&amp;"|"&amp;(F186-1),$G$5:$G$504,0)),""))</f>
      </c>
      <c r="J186" s="18">
        <f>IF(OR(H186="",I186="",I186=0),"",H186/I186)</f>
      </c>
    </row>
    <row r="187" spans="1:10" x14ac:dyDescent="0.25">
      <c r="A187" s="11"/>
      <c r="B187" s="12"/>
      <c r="C187" s="19"/>
      <c r="D187" s="15">
        <f>IF(A187="","",IFERROR(INDEX(Ejemplares!$F$5:$F$64,MATCH(A187,Ejemplares!$A$5:$A$64,0)),""))</f>
      </c>
      <c r="E187" s="11"/>
      <c r="F187" s="16">
        <f>IF(A187="","",COUNTIF($A$5:$A187,A187))</f>
      </c>
      <c r="G187" s="15">
        <f>IF(A187="","",A187&amp;"|"&amp;F187)</f>
      </c>
      <c r="H187" s="17">
        <f>IF(OR(F187="",F187&lt;2,C187=""),"",IFERROR(C187-INDEX($C$5:$C$504,MATCH(A187&amp;"|"&amp;(F187-1),$G$5:$G$504,0)),""))</f>
      </c>
      <c r="I187" s="16">
        <f>IF(OR(F187="",F187&lt;2,B187=""),"",IFERROR(B187-INDEX($B$5:$B$504,MATCH(A187&amp;"|"&amp;(F187-1),$G$5:$G$504,0)),""))</f>
      </c>
      <c r="J187" s="18">
        <f>IF(OR(H187="",I187="",I187=0),"",H187/I187)</f>
      </c>
    </row>
    <row r="188" spans="1:10" x14ac:dyDescent="0.25">
      <c r="A188" s="11"/>
      <c r="B188" s="12"/>
      <c r="C188" s="19"/>
      <c r="D188" s="15">
        <f>IF(A188="","",IFERROR(INDEX(Ejemplares!$F$5:$F$64,MATCH(A188,Ejemplares!$A$5:$A$64,0)),""))</f>
      </c>
      <c r="E188" s="11"/>
      <c r="F188" s="16">
        <f>IF(A188="","",COUNTIF($A$5:$A188,A188))</f>
      </c>
      <c r="G188" s="15">
        <f>IF(A188="","",A188&amp;"|"&amp;F188)</f>
      </c>
      <c r="H188" s="17">
        <f>IF(OR(F188="",F188&lt;2,C188=""),"",IFERROR(C188-INDEX($C$5:$C$504,MATCH(A188&amp;"|"&amp;(F188-1),$G$5:$G$504,0)),""))</f>
      </c>
      <c r="I188" s="16">
        <f>IF(OR(F188="",F188&lt;2,B188=""),"",IFERROR(B188-INDEX($B$5:$B$504,MATCH(A188&amp;"|"&amp;(F188-1),$G$5:$G$504,0)),""))</f>
      </c>
      <c r="J188" s="18">
        <f>IF(OR(H188="",I188="",I188=0),"",H188/I188)</f>
      </c>
    </row>
    <row r="189" spans="1:10" x14ac:dyDescent="0.25">
      <c r="A189" s="11"/>
      <c r="B189" s="12"/>
      <c r="C189" s="19"/>
      <c r="D189" s="15">
        <f>IF(A189="","",IFERROR(INDEX(Ejemplares!$F$5:$F$64,MATCH(A189,Ejemplares!$A$5:$A$64,0)),""))</f>
      </c>
      <c r="E189" s="11"/>
      <c r="F189" s="16">
        <f>IF(A189="","",COUNTIF($A$5:$A189,A189))</f>
      </c>
      <c r="G189" s="15">
        <f>IF(A189="","",A189&amp;"|"&amp;F189)</f>
      </c>
      <c r="H189" s="17">
        <f>IF(OR(F189="",F189&lt;2,C189=""),"",IFERROR(C189-INDEX($C$5:$C$504,MATCH(A189&amp;"|"&amp;(F189-1),$G$5:$G$504,0)),""))</f>
      </c>
      <c r="I189" s="16">
        <f>IF(OR(F189="",F189&lt;2,B189=""),"",IFERROR(B189-INDEX($B$5:$B$504,MATCH(A189&amp;"|"&amp;(F189-1),$G$5:$G$504,0)),""))</f>
      </c>
      <c r="J189" s="18">
        <f>IF(OR(H189="",I189="",I189=0),"",H189/I189)</f>
      </c>
    </row>
    <row r="190" spans="1:10" x14ac:dyDescent="0.25">
      <c r="A190" s="11"/>
      <c r="B190" s="12"/>
      <c r="C190" s="19"/>
      <c r="D190" s="15">
        <f>IF(A190="","",IFERROR(INDEX(Ejemplares!$F$5:$F$64,MATCH(A190,Ejemplares!$A$5:$A$64,0)),""))</f>
      </c>
      <c r="E190" s="11"/>
      <c r="F190" s="16">
        <f>IF(A190="","",COUNTIF($A$5:$A190,A190))</f>
      </c>
      <c r="G190" s="15">
        <f>IF(A190="","",A190&amp;"|"&amp;F190)</f>
      </c>
      <c r="H190" s="17">
        <f>IF(OR(F190="",F190&lt;2,C190=""),"",IFERROR(C190-INDEX($C$5:$C$504,MATCH(A190&amp;"|"&amp;(F190-1),$G$5:$G$504,0)),""))</f>
      </c>
      <c r="I190" s="16">
        <f>IF(OR(F190="",F190&lt;2,B190=""),"",IFERROR(B190-INDEX($B$5:$B$504,MATCH(A190&amp;"|"&amp;(F190-1),$G$5:$G$504,0)),""))</f>
      </c>
      <c r="J190" s="18">
        <f>IF(OR(H190="",I190="",I190=0),"",H190/I190)</f>
      </c>
    </row>
    <row r="191" spans="1:10" x14ac:dyDescent="0.25">
      <c r="A191" s="11"/>
      <c r="B191" s="12"/>
      <c r="C191" s="19"/>
      <c r="D191" s="15">
        <f>IF(A191="","",IFERROR(INDEX(Ejemplares!$F$5:$F$64,MATCH(A191,Ejemplares!$A$5:$A$64,0)),""))</f>
      </c>
      <c r="E191" s="11"/>
      <c r="F191" s="16">
        <f>IF(A191="","",COUNTIF($A$5:$A191,A191))</f>
      </c>
      <c r="G191" s="15">
        <f>IF(A191="","",A191&amp;"|"&amp;F191)</f>
      </c>
      <c r="H191" s="17">
        <f>IF(OR(F191="",F191&lt;2,C191=""),"",IFERROR(C191-INDEX($C$5:$C$504,MATCH(A191&amp;"|"&amp;(F191-1),$G$5:$G$504,0)),""))</f>
      </c>
      <c r="I191" s="16">
        <f>IF(OR(F191="",F191&lt;2,B191=""),"",IFERROR(B191-INDEX($B$5:$B$504,MATCH(A191&amp;"|"&amp;(F191-1),$G$5:$G$504,0)),""))</f>
      </c>
      <c r="J191" s="18">
        <f>IF(OR(H191="",I191="",I191=0),"",H191/I191)</f>
      </c>
    </row>
    <row r="192" spans="1:10" x14ac:dyDescent="0.25">
      <c r="A192" s="11"/>
      <c r="B192" s="12"/>
      <c r="C192" s="19"/>
      <c r="D192" s="15">
        <f>IF(A192="","",IFERROR(INDEX(Ejemplares!$F$5:$F$64,MATCH(A192,Ejemplares!$A$5:$A$64,0)),""))</f>
      </c>
      <c r="E192" s="11"/>
      <c r="F192" s="16">
        <f>IF(A192="","",COUNTIF($A$5:$A192,A192))</f>
      </c>
      <c r="G192" s="15">
        <f>IF(A192="","",A192&amp;"|"&amp;F192)</f>
      </c>
      <c r="H192" s="17">
        <f>IF(OR(F192="",F192&lt;2,C192=""),"",IFERROR(C192-INDEX($C$5:$C$504,MATCH(A192&amp;"|"&amp;(F192-1),$G$5:$G$504,0)),""))</f>
      </c>
      <c r="I192" s="16">
        <f>IF(OR(F192="",F192&lt;2,B192=""),"",IFERROR(B192-INDEX($B$5:$B$504,MATCH(A192&amp;"|"&amp;(F192-1),$G$5:$G$504,0)),""))</f>
      </c>
      <c r="J192" s="18">
        <f>IF(OR(H192="",I192="",I192=0),"",H192/I192)</f>
      </c>
    </row>
    <row r="193" spans="1:10" x14ac:dyDescent="0.25">
      <c r="A193" s="11"/>
      <c r="B193" s="12"/>
      <c r="C193" s="19"/>
      <c r="D193" s="15">
        <f>IF(A193="","",IFERROR(INDEX(Ejemplares!$F$5:$F$64,MATCH(A193,Ejemplares!$A$5:$A$64,0)),""))</f>
      </c>
      <c r="E193" s="11"/>
      <c r="F193" s="16">
        <f>IF(A193="","",COUNTIF($A$5:$A193,A193))</f>
      </c>
      <c r="G193" s="15">
        <f>IF(A193="","",A193&amp;"|"&amp;F193)</f>
      </c>
      <c r="H193" s="17">
        <f>IF(OR(F193="",F193&lt;2,C193=""),"",IFERROR(C193-INDEX($C$5:$C$504,MATCH(A193&amp;"|"&amp;(F193-1),$G$5:$G$504,0)),""))</f>
      </c>
      <c r="I193" s="16">
        <f>IF(OR(F193="",F193&lt;2,B193=""),"",IFERROR(B193-INDEX($B$5:$B$504,MATCH(A193&amp;"|"&amp;(F193-1),$G$5:$G$504,0)),""))</f>
      </c>
      <c r="J193" s="18">
        <f>IF(OR(H193="",I193="",I193=0),"",H193/I193)</f>
      </c>
    </row>
    <row r="194" spans="1:10" x14ac:dyDescent="0.25">
      <c r="A194" s="11"/>
      <c r="B194" s="12"/>
      <c r="C194" s="19"/>
      <c r="D194" s="15">
        <f>IF(A194="","",IFERROR(INDEX(Ejemplares!$F$5:$F$64,MATCH(A194,Ejemplares!$A$5:$A$64,0)),""))</f>
      </c>
      <c r="E194" s="11"/>
      <c r="F194" s="16">
        <f>IF(A194="","",COUNTIF($A$5:$A194,A194))</f>
      </c>
      <c r="G194" s="15">
        <f>IF(A194="","",A194&amp;"|"&amp;F194)</f>
      </c>
      <c r="H194" s="17">
        <f>IF(OR(F194="",F194&lt;2,C194=""),"",IFERROR(C194-INDEX($C$5:$C$504,MATCH(A194&amp;"|"&amp;(F194-1),$G$5:$G$504,0)),""))</f>
      </c>
      <c r="I194" s="16">
        <f>IF(OR(F194="",F194&lt;2,B194=""),"",IFERROR(B194-INDEX($B$5:$B$504,MATCH(A194&amp;"|"&amp;(F194-1),$G$5:$G$504,0)),""))</f>
      </c>
      <c r="J194" s="18">
        <f>IF(OR(H194="",I194="",I194=0),"",H194/I194)</f>
      </c>
    </row>
    <row r="195" spans="1:10" x14ac:dyDescent="0.25">
      <c r="A195" s="11"/>
      <c r="B195" s="12"/>
      <c r="C195" s="19"/>
      <c r="D195" s="15">
        <f>IF(A195="","",IFERROR(INDEX(Ejemplares!$F$5:$F$64,MATCH(A195,Ejemplares!$A$5:$A$64,0)),""))</f>
      </c>
      <c r="E195" s="11"/>
      <c r="F195" s="16">
        <f>IF(A195="","",COUNTIF($A$5:$A195,A195))</f>
      </c>
      <c r="G195" s="15">
        <f>IF(A195="","",A195&amp;"|"&amp;F195)</f>
      </c>
      <c r="H195" s="17">
        <f>IF(OR(F195="",F195&lt;2,C195=""),"",IFERROR(C195-INDEX($C$5:$C$504,MATCH(A195&amp;"|"&amp;(F195-1),$G$5:$G$504,0)),""))</f>
      </c>
      <c r="I195" s="16">
        <f>IF(OR(F195="",F195&lt;2,B195=""),"",IFERROR(B195-INDEX($B$5:$B$504,MATCH(A195&amp;"|"&amp;(F195-1),$G$5:$G$504,0)),""))</f>
      </c>
      <c r="J195" s="18">
        <f>IF(OR(H195="",I195="",I195=0),"",H195/I195)</f>
      </c>
    </row>
    <row r="196" spans="1:10" x14ac:dyDescent="0.25">
      <c r="A196" s="11"/>
      <c r="B196" s="12"/>
      <c r="C196" s="19"/>
      <c r="D196" s="15">
        <f>IF(A196="","",IFERROR(INDEX(Ejemplares!$F$5:$F$64,MATCH(A196,Ejemplares!$A$5:$A$64,0)),""))</f>
      </c>
      <c r="E196" s="11"/>
      <c r="F196" s="16">
        <f>IF(A196="","",COUNTIF($A$5:$A196,A196))</f>
      </c>
      <c r="G196" s="15">
        <f>IF(A196="","",A196&amp;"|"&amp;F196)</f>
      </c>
      <c r="H196" s="17">
        <f>IF(OR(F196="",F196&lt;2,C196=""),"",IFERROR(C196-INDEX($C$5:$C$504,MATCH(A196&amp;"|"&amp;(F196-1),$G$5:$G$504,0)),""))</f>
      </c>
      <c r="I196" s="16">
        <f>IF(OR(F196="",F196&lt;2,B196=""),"",IFERROR(B196-INDEX($B$5:$B$504,MATCH(A196&amp;"|"&amp;(F196-1),$G$5:$G$504,0)),""))</f>
      </c>
      <c r="J196" s="18">
        <f>IF(OR(H196="",I196="",I196=0),"",H196/I196)</f>
      </c>
    </row>
    <row r="197" spans="1:10" x14ac:dyDescent="0.25">
      <c r="A197" s="11"/>
      <c r="B197" s="12"/>
      <c r="C197" s="19"/>
      <c r="D197" s="15">
        <f>IF(A197="","",IFERROR(INDEX(Ejemplares!$F$5:$F$64,MATCH(A197,Ejemplares!$A$5:$A$64,0)),""))</f>
      </c>
      <c r="E197" s="11"/>
      <c r="F197" s="16">
        <f>IF(A197="","",COUNTIF($A$5:$A197,A197))</f>
      </c>
      <c r="G197" s="15">
        <f>IF(A197="","",A197&amp;"|"&amp;F197)</f>
      </c>
      <c r="H197" s="17">
        <f>IF(OR(F197="",F197&lt;2,C197=""),"",IFERROR(C197-INDEX($C$5:$C$504,MATCH(A197&amp;"|"&amp;(F197-1),$G$5:$G$504,0)),""))</f>
      </c>
      <c r="I197" s="16">
        <f>IF(OR(F197="",F197&lt;2,B197=""),"",IFERROR(B197-INDEX($B$5:$B$504,MATCH(A197&amp;"|"&amp;(F197-1),$G$5:$G$504,0)),""))</f>
      </c>
      <c r="J197" s="18">
        <f>IF(OR(H197="",I197="",I197=0),"",H197/I197)</f>
      </c>
    </row>
    <row r="198" spans="1:10" x14ac:dyDescent="0.25">
      <c r="A198" s="11"/>
      <c r="B198" s="12"/>
      <c r="C198" s="19"/>
      <c r="D198" s="15">
        <f>IF(A198="","",IFERROR(INDEX(Ejemplares!$F$5:$F$64,MATCH(A198,Ejemplares!$A$5:$A$64,0)),""))</f>
      </c>
      <c r="E198" s="11"/>
      <c r="F198" s="16">
        <f>IF(A198="","",COUNTIF($A$5:$A198,A198))</f>
      </c>
      <c r="G198" s="15">
        <f>IF(A198="","",A198&amp;"|"&amp;F198)</f>
      </c>
      <c r="H198" s="17">
        <f>IF(OR(F198="",F198&lt;2,C198=""),"",IFERROR(C198-INDEX($C$5:$C$504,MATCH(A198&amp;"|"&amp;(F198-1),$G$5:$G$504,0)),""))</f>
      </c>
      <c r="I198" s="16">
        <f>IF(OR(F198="",F198&lt;2,B198=""),"",IFERROR(B198-INDEX($B$5:$B$504,MATCH(A198&amp;"|"&amp;(F198-1),$G$5:$G$504,0)),""))</f>
      </c>
      <c r="J198" s="18">
        <f>IF(OR(H198="",I198="",I198=0),"",H198/I198)</f>
      </c>
    </row>
    <row r="199" spans="1:10" x14ac:dyDescent="0.25">
      <c r="A199" s="11"/>
      <c r="B199" s="12"/>
      <c r="C199" s="19"/>
      <c r="D199" s="15">
        <f>IF(A199="","",IFERROR(INDEX(Ejemplares!$F$5:$F$64,MATCH(A199,Ejemplares!$A$5:$A$64,0)),""))</f>
      </c>
      <c r="E199" s="11"/>
      <c r="F199" s="16">
        <f>IF(A199="","",COUNTIF($A$5:$A199,A199))</f>
      </c>
      <c r="G199" s="15">
        <f>IF(A199="","",A199&amp;"|"&amp;F199)</f>
      </c>
      <c r="H199" s="17">
        <f>IF(OR(F199="",F199&lt;2,C199=""),"",IFERROR(C199-INDEX($C$5:$C$504,MATCH(A199&amp;"|"&amp;(F199-1),$G$5:$G$504,0)),""))</f>
      </c>
      <c r="I199" s="16">
        <f>IF(OR(F199="",F199&lt;2,B199=""),"",IFERROR(B199-INDEX($B$5:$B$504,MATCH(A199&amp;"|"&amp;(F199-1),$G$5:$G$504,0)),""))</f>
      </c>
      <c r="J199" s="18">
        <f>IF(OR(H199="",I199="",I199=0),"",H199/I199)</f>
      </c>
    </row>
    <row r="200" spans="1:10" x14ac:dyDescent="0.25">
      <c r="A200" s="11"/>
      <c r="B200" s="12"/>
      <c r="C200" s="19"/>
      <c r="D200" s="15">
        <f>IF(A200="","",IFERROR(INDEX(Ejemplares!$F$5:$F$64,MATCH(A200,Ejemplares!$A$5:$A$64,0)),""))</f>
      </c>
      <c r="E200" s="11"/>
      <c r="F200" s="16">
        <f>IF(A200="","",COUNTIF($A$5:$A200,A200))</f>
      </c>
      <c r="G200" s="15">
        <f>IF(A200="","",A200&amp;"|"&amp;F200)</f>
      </c>
      <c r="H200" s="17">
        <f>IF(OR(F200="",F200&lt;2,C200=""),"",IFERROR(C200-INDEX($C$5:$C$504,MATCH(A200&amp;"|"&amp;(F200-1),$G$5:$G$504,0)),""))</f>
      </c>
      <c r="I200" s="16">
        <f>IF(OR(F200="",F200&lt;2,B200=""),"",IFERROR(B200-INDEX($B$5:$B$504,MATCH(A200&amp;"|"&amp;(F200-1),$G$5:$G$504,0)),""))</f>
      </c>
      <c r="J200" s="18">
        <f>IF(OR(H200="",I200="",I200=0),"",H200/I200)</f>
      </c>
    </row>
    <row r="201" spans="1:10" x14ac:dyDescent="0.25">
      <c r="A201" s="11"/>
      <c r="B201" s="12"/>
      <c r="C201" s="19"/>
      <c r="D201" s="15">
        <f>IF(A201="","",IFERROR(INDEX(Ejemplares!$F$5:$F$64,MATCH(A201,Ejemplares!$A$5:$A$64,0)),""))</f>
      </c>
      <c r="E201" s="11"/>
      <c r="F201" s="16">
        <f>IF(A201="","",COUNTIF($A$5:$A201,A201))</f>
      </c>
      <c r="G201" s="15">
        <f>IF(A201="","",A201&amp;"|"&amp;F201)</f>
      </c>
      <c r="H201" s="17">
        <f>IF(OR(F201="",F201&lt;2,C201=""),"",IFERROR(C201-INDEX($C$5:$C$504,MATCH(A201&amp;"|"&amp;(F201-1),$G$5:$G$504,0)),""))</f>
      </c>
      <c r="I201" s="16">
        <f>IF(OR(F201="",F201&lt;2,B201=""),"",IFERROR(B201-INDEX($B$5:$B$504,MATCH(A201&amp;"|"&amp;(F201-1),$G$5:$G$504,0)),""))</f>
      </c>
      <c r="J201" s="18">
        <f>IF(OR(H201="",I201="",I201=0),"",H201/I201)</f>
      </c>
    </row>
    <row r="202" spans="1:10" x14ac:dyDescent="0.25">
      <c r="A202" s="11"/>
      <c r="B202" s="12"/>
      <c r="C202" s="19"/>
      <c r="D202" s="15">
        <f>IF(A202="","",IFERROR(INDEX(Ejemplares!$F$5:$F$64,MATCH(A202,Ejemplares!$A$5:$A$64,0)),""))</f>
      </c>
      <c r="E202" s="11"/>
      <c r="F202" s="16">
        <f>IF(A202="","",COUNTIF($A$5:$A202,A202))</f>
      </c>
      <c r="G202" s="15">
        <f>IF(A202="","",A202&amp;"|"&amp;F202)</f>
      </c>
      <c r="H202" s="17">
        <f>IF(OR(F202="",F202&lt;2,C202=""),"",IFERROR(C202-INDEX($C$5:$C$504,MATCH(A202&amp;"|"&amp;(F202-1),$G$5:$G$504,0)),""))</f>
      </c>
      <c r="I202" s="16">
        <f>IF(OR(F202="",F202&lt;2,B202=""),"",IFERROR(B202-INDEX($B$5:$B$504,MATCH(A202&amp;"|"&amp;(F202-1),$G$5:$G$504,0)),""))</f>
      </c>
      <c r="J202" s="18">
        <f>IF(OR(H202="",I202="",I202=0),"",H202/I202)</f>
      </c>
    </row>
    <row r="203" spans="1:10" x14ac:dyDescent="0.25">
      <c r="A203" s="11"/>
      <c r="B203" s="12"/>
      <c r="C203" s="19"/>
      <c r="D203" s="15">
        <f>IF(A203="","",IFERROR(INDEX(Ejemplares!$F$5:$F$64,MATCH(A203,Ejemplares!$A$5:$A$64,0)),""))</f>
      </c>
      <c r="E203" s="11"/>
      <c r="F203" s="16">
        <f>IF(A203="","",COUNTIF($A$5:$A203,A203))</f>
      </c>
      <c r="G203" s="15">
        <f>IF(A203="","",A203&amp;"|"&amp;F203)</f>
      </c>
      <c r="H203" s="17">
        <f>IF(OR(F203="",F203&lt;2,C203=""),"",IFERROR(C203-INDEX($C$5:$C$504,MATCH(A203&amp;"|"&amp;(F203-1),$G$5:$G$504,0)),""))</f>
      </c>
      <c r="I203" s="16">
        <f>IF(OR(F203="",F203&lt;2,B203=""),"",IFERROR(B203-INDEX($B$5:$B$504,MATCH(A203&amp;"|"&amp;(F203-1),$G$5:$G$504,0)),""))</f>
      </c>
      <c r="J203" s="18">
        <f>IF(OR(H203="",I203="",I203=0),"",H203/I203)</f>
      </c>
    </row>
    <row r="204" spans="1:10" x14ac:dyDescent="0.25">
      <c r="A204" s="11"/>
      <c r="B204" s="12"/>
      <c r="C204" s="19"/>
      <c r="D204" s="15">
        <f>IF(A204="","",IFERROR(INDEX(Ejemplares!$F$5:$F$64,MATCH(A204,Ejemplares!$A$5:$A$64,0)),""))</f>
      </c>
      <c r="E204" s="11"/>
      <c r="F204" s="16">
        <f>IF(A204="","",COUNTIF($A$5:$A204,A204))</f>
      </c>
      <c r="G204" s="15">
        <f>IF(A204="","",A204&amp;"|"&amp;F204)</f>
      </c>
      <c r="H204" s="17">
        <f>IF(OR(F204="",F204&lt;2,C204=""),"",IFERROR(C204-INDEX($C$5:$C$504,MATCH(A204&amp;"|"&amp;(F204-1),$G$5:$G$504,0)),""))</f>
      </c>
      <c r="I204" s="16">
        <f>IF(OR(F204="",F204&lt;2,B204=""),"",IFERROR(B204-INDEX($B$5:$B$504,MATCH(A204&amp;"|"&amp;(F204-1),$G$5:$G$504,0)),""))</f>
      </c>
      <c r="J204" s="18">
        <f>IF(OR(H204="",I204="",I204=0),"",H204/I204)</f>
      </c>
    </row>
    <row r="205" spans="1:10" x14ac:dyDescent="0.25">
      <c r="A205" s="11"/>
      <c r="B205" s="12"/>
      <c r="C205" s="19"/>
      <c r="D205" s="15">
        <f>IF(A205="","",IFERROR(INDEX(Ejemplares!$F$5:$F$64,MATCH(A205,Ejemplares!$A$5:$A$64,0)),""))</f>
      </c>
      <c r="E205" s="11"/>
      <c r="F205" s="16">
        <f>IF(A205="","",COUNTIF($A$5:$A205,A205))</f>
      </c>
      <c r="G205" s="15">
        <f>IF(A205="","",A205&amp;"|"&amp;F205)</f>
      </c>
      <c r="H205" s="17">
        <f>IF(OR(F205="",F205&lt;2,C205=""),"",IFERROR(C205-INDEX($C$5:$C$504,MATCH(A205&amp;"|"&amp;(F205-1),$G$5:$G$504,0)),""))</f>
      </c>
      <c r="I205" s="16">
        <f>IF(OR(F205="",F205&lt;2,B205=""),"",IFERROR(B205-INDEX($B$5:$B$504,MATCH(A205&amp;"|"&amp;(F205-1),$G$5:$G$504,0)),""))</f>
      </c>
      <c r="J205" s="18">
        <f>IF(OR(H205="",I205="",I205=0),"",H205/I205)</f>
      </c>
    </row>
    <row r="206" spans="1:10" x14ac:dyDescent="0.25">
      <c r="A206" s="11"/>
      <c r="B206" s="12"/>
      <c r="C206" s="19"/>
      <c r="D206" s="15">
        <f>IF(A206="","",IFERROR(INDEX(Ejemplares!$F$5:$F$64,MATCH(A206,Ejemplares!$A$5:$A$64,0)),""))</f>
      </c>
      <c r="E206" s="11"/>
      <c r="F206" s="16">
        <f>IF(A206="","",COUNTIF($A$5:$A206,A206))</f>
      </c>
      <c r="G206" s="15">
        <f>IF(A206="","",A206&amp;"|"&amp;F206)</f>
      </c>
      <c r="H206" s="17">
        <f>IF(OR(F206="",F206&lt;2,C206=""),"",IFERROR(C206-INDEX($C$5:$C$504,MATCH(A206&amp;"|"&amp;(F206-1),$G$5:$G$504,0)),""))</f>
      </c>
      <c r="I206" s="16">
        <f>IF(OR(F206="",F206&lt;2,B206=""),"",IFERROR(B206-INDEX($B$5:$B$504,MATCH(A206&amp;"|"&amp;(F206-1),$G$5:$G$504,0)),""))</f>
      </c>
      <c r="J206" s="18">
        <f>IF(OR(H206="",I206="",I206=0),"",H206/I206)</f>
      </c>
    </row>
    <row r="207" spans="1:10" x14ac:dyDescent="0.25">
      <c r="A207" s="11"/>
      <c r="B207" s="12"/>
      <c r="C207" s="19"/>
      <c r="D207" s="15">
        <f>IF(A207="","",IFERROR(INDEX(Ejemplares!$F$5:$F$64,MATCH(A207,Ejemplares!$A$5:$A$64,0)),""))</f>
      </c>
      <c r="E207" s="11"/>
      <c r="F207" s="16">
        <f>IF(A207="","",COUNTIF($A$5:$A207,A207))</f>
      </c>
      <c r="G207" s="15">
        <f>IF(A207="","",A207&amp;"|"&amp;F207)</f>
      </c>
      <c r="H207" s="17">
        <f>IF(OR(F207="",F207&lt;2,C207=""),"",IFERROR(C207-INDEX($C$5:$C$504,MATCH(A207&amp;"|"&amp;(F207-1),$G$5:$G$504,0)),""))</f>
      </c>
      <c r="I207" s="16">
        <f>IF(OR(F207="",F207&lt;2,B207=""),"",IFERROR(B207-INDEX($B$5:$B$504,MATCH(A207&amp;"|"&amp;(F207-1),$G$5:$G$504,0)),""))</f>
      </c>
      <c r="J207" s="18">
        <f>IF(OR(H207="",I207="",I207=0),"",H207/I207)</f>
      </c>
    </row>
    <row r="208" spans="1:10" x14ac:dyDescent="0.25">
      <c r="A208" s="11"/>
      <c r="B208" s="12"/>
      <c r="C208" s="19"/>
      <c r="D208" s="15">
        <f>IF(A208="","",IFERROR(INDEX(Ejemplares!$F$5:$F$64,MATCH(A208,Ejemplares!$A$5:$A$64,0)),""))</f>
      </c>
      <c r="E208" s="11"/>
      <c r="F208" s="16">
        <f>IF(A208="","",COUNTIF($A$5:$A208,A208))</f>
      </c>
      <c r="G208" s="15">
        <f>IF(A208="","",A208&amp;"|"&amp;F208)</f>
      </c>
      <c r="H208" s="17">
        <f>IF(OR(F208="",F208&lt;2,C208=""),"",IFERROR(C208-INDEX($C$5:$C$504,MATCH(A208&amp;"|"&amp;(F208-1),$G$5:$G$504,0)),""))</f>
      </c>
      <c r="I208" s="16">
        <f>IF(OR(F208="",F208&lt;2,B208=""),"",IFERROR(B208-INDEX($B$5:$B$504,MATCH(A208&amp;"|"&amp;(F208-1),$G$5:$G$504,0)),""))</f>
      </c>
      <c r="J208" s="18">
        <f>IF(OR(H208="",I208="",I208=0),"",H208/I208)</f>
      </c>
    </row>
    <row r="209" spans="1:10" x14ac:dyDescent="0.25">
      <c r="A209" s="11"/>
      <c r="B209" s="12"/>
      <c r="C209" s="19"/>
      <c r="D209" s="15">
        <f>IF(A209="","",IFERROR(INDEX(Ejemplares!$F$5:$F$64,MATCH(A209,Ejemplares!$A$5:$A$64,0)),""))</f>
      </c>
      <c r="E209" s="11"/>
      <c r="F209" s="16">
        <f>IF(A209="","",COUNTIF($A$5:$A209,A209))</f>
      </c>
      <c r="G209" s="15">
        <f>IF(A209="","",A209&amp;"|"&amp;F209)</f>
      </c>
      <c r="H209" s="17">
        <f>IF(OR(F209="",F209&lt;2,C209=""),"",IFERROR(C209-INDEX($C$5:$C$504,MATCH(A209&amp;"|"&amp;(F209-1),$G$5:$G$504,0)),""))</f>
      </c>
      <c r="I209" s="16">
        <f>IF(OR(F209="",F209&lt;2,B209=""),"",IFERROR(B209-INDEX($B$5:$B$504,MATCH(A209&amp;"|"&amp;(F209-1),$G$5:$G$504,0)),""))</f>
      </c>
      <c r="J209" s="18">
        <f>IF(OR(H209="",I209="",I209=0),"",H209/I209)</f>
      </c>
    </row>
    <row r="210" spans="1:10" x14ac:dyDescent="0.25">
      <c r="A210" s="11"/>
      <c r="B210" s="12"/>
      <c r="C210" s="19"/>
      <c r="D210" s="15">
        <f>IF(A210="","",IFERROR(INDEX(Ejemplares!$F$5:$F$64,MATCH(A210,Ejemplares!$A$5:$A$64,0)),""))</f>
      </c>
      <c r="E210" s="11"/>
      <c r="F210" s="16">
        <f>IF(A210="","",COUNTIF($A$5:$A210,A210))</f>
      </c>
      <c r="G210" s="15">
        <f>IF(A210="","",A210&amp;"|"&amp;F210)</f>
      </c>
      <c r="H210" s="17">
        <f>IF(OR(F210="",F210&lt;2,C210=""),"",IFERROR(C210-INDEX($C$5:$C$504,MATCH(A210&amp;"|"&amp;(F210-1),$G$5:$G$504,0)),""))</f>
      </c>
      <c r="I210" s="16">
        <f>IF(OR(F210="",F210&lt;2,B210=""),"",IFERROR(B210-INDEX($B$5:$B$504,MATCH(A210&amp;"|"&amp;(F210-1),$G$5:$G$504,0)),""))</f>
      </c>
      <c r="J210" s="18">
        <f>IF(OR(H210="",I210="",I210=0),"",H210/I210)</f>
      </c>
    </row>
    <row r="211" spans="1:10" x14ac:dyDescent="0.25">
      <c r="A211" s="11"/>
      <c r="B211" s="12"/>
      <c r="C211" s="19"/>
      <c r="D211" s="15">
        <f>IF(A211="","",IFERROR(INDEX(Ejemplares!$F$5:$F$64,MATCH(A211,Ejemplares!$A$5:$A$64,0)),""))</f>
      </c>
      <c r="E211" s="11"/>
      <c r="F211" s="16">
        <f>IF(A211="","",COUNTIF($A$5:$A211,A211))</f>
      </c>
      <c r="G211" s="15">
        <f>IF(A211="","",A211&amp;"|"&amp;F211)</f>
      </c>
      <c r="H211" s="17">
        <f>IF(OR(F211="",F211&lt;2,C211=""),"",IFERROR(C211-INDEX($C$5:$C$504,MATCH(A211&amp;"|"&amp;(F211-1),$G$5:$G$504,0)),""))</f>
      </c>
      <c r="I211" s="16">
        <f>IF(OR(F211="",F211&lt;2,B211=""),"",IFERROR(B211-INDEX($B$5:$B$504,MATCH(A211&amp;"|"&amp;(F211-1),$G$5:$G$504,0)),""))</f>
      </c>
      <c r="J211" s="18">
        <f>IF(OR(H211="",I211="",I211=0),"",H211/I211)</f>
      </c>
    </row>
    <row r="212" spans="1:10" x14ac:dyDescent="0.25">
      <c r="A212" s="11"/>
      <c r="B212" s="12"/>
      <c r="C212" s="19"/>
      <c r="D212" s="15">
        <f>IF(A212="","",IFERROR(INDEX(Ejemplares!$F$5:$F$64,MATCH(A212,Ejemplares!$A$5:$A$64,0)),""))</f>
      </c>
      <c r="E212" s="11"/>
      <c r="F212" s="16">
        <f>IF(A212="","",COUNTIF($A$5:$A212,A212))</f>
      </c>
      <c r="G212" s="15">
        <f>IF(A212="","",A212&amp;"|"&amp;F212)</f>
      </c>
      <c r="H212" s="17">
        <f>IF(OR(F212="",F212&lt;2,C212=""),"",IFERROR(C212-INDEX($C$5:$C$504,MATCH(A212&amp;"|"&amp;(F212-1),$G$5:$G$504,0)),""))</f>
      </c>
      <c r="I212" s="16">
        <f>IF(OR(F212="",F212&lt;2,B212=""),"",IFERROR(B212-INDEX($B$5:$B$504,MATCH(A212&amp;"|"&amp;(F212-1),$G$5:$G$504,0)),""))</f>
      </c>
      <c r="J212" s="18">
        <f>IF(OR(H212="",I212="",I212=0),"",H212/I212)</f>
      </c>
    </row>
    <row r="213" spans="1:10" x14ac:dyDescent="0.25">
      <c r="A213" s="11"/>
      <c r="B213" s="12"/>
      <c r="C213" s="19"/>
      <c r="D213" s="15">
        <f>IF(A213="","",IFERROR(INDEX(Ejemplares!$F$5:$F$64,MATCH(A213,Ejemplares!$A$5:$A$64,0)),""))</f>
      </c>
      <c r="E213" s="11"/>
      <c r="F213" s="16">
        <f>IF(A213="","",COUNTIF($A$5:$A213,A213))</f>
      </c>
      <c r="G213" s="15">
        <f>IF(A213="","",A213&amp;"|"&amp;F213)</f>
      </c>
      <c r="H213" s="17">
        <f>IF(OR(F213="",F213&lt;2,C213=""),"",IFERROR(C213-INDEX($C$5:$C$504,MATCH(A213&amp;"|"&amp;(F213-1),$G$5:$G$504,0)),""))</f>
      </c>
      <c r="I213" s="16">
        <f>IF(OR(F213="",F213&lt;2,B213=""),"",IFERROR(B213-INDEX($B$5:$B$504,MATCH(A213&amp;"|"&amp;(F213-1),$G$5:$G$504,0)),""))</f>
      </c>
      <c r="J213" s="18">
        <f>IF(OR(H213="",I213="",I213=0),"",H213/I213)</f>
      </c>
    </row>
    <row r="214" spans="1:10" x14ac:dyDescent="0.25">
      <c r="A214" s="11"/>
      <c r="B214" s="12"/>
      <c r="C214" s="19"/>
      <c r="D214" s="15">
        <f>IF(A214="","",IFERROR(INDEX(Ejemplares!$F$5:$F$64,MATCH(A214,Ejemplares!$A$5:$A$64,0)),""))</f>
      </c>
      <c r="E214" s="11"/>
      <c r="F214" s="16">
        <f>IF(A214="","",COUNTIF($A$5:$A214,A214))</f>
      </c>
      <c r="G214" s="15">
        <f>IF(A214="","",A214&amp;"|"&amp;F214)</f>
      </c>
      <c r="H214" s="17">
        <f>IF(OR(F214="",F214&lt;2,C214=""),"",IFERROR(C214-INDEX($C$5:$C$504,MATCH(A214&amp;"|"&amp;(F214-1),$G$5:$G$504,0)),""))</f>
      </c>
      <c r="I214" s="16">
        <f>IF(OR(F214="",F214&lt;2,B214=""),"",IFERROR(B214-INDEX($B$5:$B$504,MATCH(A214&amp;"|"&amp;(F214-1),$G$5:$G$504,0)),""))</f>
      </c>
      <c r="J214" s="18">
        <f>IF(OR(H214="",I214="",I214=0),"",H214/I214)</f>
      </c>
    </row>
    <row r="215" spans="1:10" x14ac:dyDescent="0.25">
      <c r="A215" s="11"/>
      <c r="B215" s="12"/>
      <c r="C215" s="19"/>
      <c r="D215" s="15">
        <f>IF(A215="","",IFERROR(INDEX(Ejemplares!$F$5:$F$64,MATCH(A215,Ejemplares!$A$5:$A$64,0)),""))</f>
      </c>
      <c r="E215" s="11"/>
      <c r="F215" s="16">
        <f>IF(A215="","",COUNTIF($A$5:$A215,A215))</f>
      </c>
      <c r="G215" s="15">
        <f>IF(A215="","",A215&amp;"|"&amp;F215)</f>
      </c>
      <c r="H215" s="17">
        <f>IF(OR(F215="",F215&lt;2,C215=""),"",IFERROR(C215-INDEX($C$5:$C$504,MATCH(A215&amp;"|"&amp;(F215-1),$G$5:$G$504,0)),""))</f>
      </c>
      <c r="I215" s="16">
        <f>IF(OR(F215="",F215&lt;2,B215=""),"",IFERROR(B215-INDEX($B$5:$B$504,MATCH(A215&amp;"|"&amp;(F215-1),$G$5:$G$504,0)),""))</f>
      </c>
      <c r="J215" s="18">
        <f>IF(OR(H215="",I215="",I215=0),"",H215/I215)</f>
      </c>
    </row>
    <row r="216" spans="1:10" x14ac:dyDescent="0.25">
      <c r="A216" s="11"/>
      <c r="B216" s="12"/>
      <c r="C216" s="19"/>
      <c r="D216" s="15">
        <f>IF(A216="","",IFERROR(INDEX(Ejemplares!$F$5:$F$64,MATCH(A216,Ejemplares!$A$5:$A$64,0)),""))</f>
      </c>
      <c r="E216" s="11"/>
      <c r="F216" s="16">
        <f>IF(A216="","",COUNTIF($A$5:$A216,A216))</f>
      </c>
      <c r="G216" s="15">
        <f>IF(A216="","",A216&amp;"|"&amp;F216)</f>
      </c>
      <c r="H216" s="17">
        <f>IF(OR(F216="",F216&lt;2,C216=""),"",IFERROR(C216-INDEX($C$5:$C$504,MATCH(A216&amp;"|"&amp;(F216-1),$G$5:$G$504,0)),""))</f>
      </c>
      <c r="I216" s="16">
        <f>IF(OR(F216="",F216&lt;2,B216=""),"",IFERROR(B216-INDEX($B$5:$B$504,MATCH(A216&amp;"|"&amp;(F216-1),$G$5:$G$504,0)),""))</f>
      </c>
      <c r="J216" s="18">
        <f>IF(OR(H216="",I216="",I216=0),"",H216/I216)</f>
      </c>
    </row>
    <row r="217" spans="1:10" x14ac:dyDescent="0.25">
      <c r="A217" s="11"/>
      <c r="B217" s="12"/>
      <c r="C217" s="19"/>
      <c r="D217" s="15">
        <f>IF(A217="","",IFERROR(INDEX(Ejemplares!$F$5:$F$64,MATCH(A217,Ejemplares!$A$5:$A$64,0)),""))</f>
      </c>
      <c r="E217" s="11"/>
      <c r="F217" s="16">
        <f>IF(A217="","",COUNTIF($A$5:$A217,A217))</f>
      </c>
      <c r="G217" s="15">
        <f>IF(A217="","",A217&amp;"|"&amp;F217)</f>
      </c>
      <c r="H217" s="17">
        <f>IF(OR(F217="",F217&lt;2,C217=""),"",IFERROR(C217-INDEX($C$5:$C$504,MATCH(A217&amp;"|"&amp;(F217-1),$G$5:$G$504,0)),""))</f>
      </c>
      <c r="I217" s="16">
        <f>IF(OR(F217="",F217&lt;2,B217=""),"",IFERROR(B217-INDEX($B$5:$B$504,MATCH(A217&amp;"|"&amp;(F217-1),$G$5:$G$504,0)),""))</f>
      </c>
      <c r="J217" s="18">
        <f>IF(OR(H217="",I217="",I217=0),"",H217/I217)</f>
      </c>
    </row>
    <row r="218" spans="1:10" x14ac:dyDescent="0.25">
      <c r="A218" s="11"/>
      <c r="B218" s="12"/>
      <c r="C218" s="19"/>
      <c r="D218" s="15">
        <f>IF(A218="","",IFERROR(INDEX(Ejemplares!$F$5:$F$64,MATCH(A218,Ejemplares!$A$5:$A$64,0)),""))</f>
      </c>
      <c r="E218" s="11"/>
      <c r="F218" s="16">
        <f>IF(A218="","",COUNTIF($A$5:$A218,A218))</f>
      </c>
      <c r="G218" s="15">
        <f>IF(A218="","",A218&amp;"|"&amp;F218)</f>
      </c>
      <c r="H218" s="17">
        <f>IF(OR(F218="",F218&lt;2,C218=""),"",IFERROR(C218-INDEX($C$5:$C$504,MATCH(A218&amp;"|"&amp;(F218-1),$G$5:$G$504,0)),""))</f>
      </c>
      <c r="I218" s="16">
        <f>IF(OR(F218="",F218&lt;2,B218=""),"",IFERROR(B218-INDEX($B$5:$B$504,MATCH(A218&amp;"|"&amp;(F218-1),$G$5:$G$504,0)),""))</f>
      </c>
      <c r="J218" s="18">
        <f>IF(OR(H218="",I218="",I218=0),"",H218/I218)</f>
      </c>
    </row>
    <row r="219" spans="1:10" x14ac:dyDescent="0.25">
      <c r="A219" s="11"/>
      <c r="B219" s="12"/>
      <c r="C219" s="19"/>
      <c r="D219" s="15">
        <f>IF(A219="","",IFERROR(INDEX(Ejemplares!$F$5:$F$64,MATCH(A219,Ejemplares!$A$5:$A$64,0)),""))</f>
      </c>
      <c r="E219" s="11"/>
      <c r="F219" s="16">
        <f>IF(A219="","",COUNTIF($A$5:$A219,A219))</f>
      </c>
      <c r="G219" s="15">
        <f>IF(A219="","",A219&amp;"|"&amp;F219)</f>
      </c>
      <c r="H219" s="17">
        <f>IF(OR(F219="",F219&lt;2,C219=""),"",IFERROR(C219-INDEX($C$5:$C$504,MATCH(A219&amp;"|"&amp;(F219-1),$G$5:$G$504,0)),""))</f>
      </c>
      <c r="I219" s="16">
        <f>IF(OR(F219="",F219&lt;2,B219=""),"",IFERROR(B219-INDEX($B$5:$B$504,MATCH(A219&amp;"|"&amp;(F219-1),$G$5:$G$504,0)),""))</f>
      </c>
      <c r="J219" s="18">
        <f>IF(OR(H219="",I219="",I219=0),"",H219/I219)</f>
      </c>
    </row>
    <row r="220" spans="1:10" x14ac:dyDescent="0.25">
      <c r="A220" s="11"/>
      <c r="B220" s="12"/>
      <c r="C220" s="19"/>
      <c r="D220" s="15">
        <f>IF(A220="","",IFERROR(INDEX(Ejemplares!$F$5:$F$64,MATCH(A220,Ejemplares!$A$5:$A$64,0)),""))</f>
      </c>
      <c r="E220" s="11"/>
      <c r="F220" s="16">
        <f>IF(A220="","",COUNTIF($A$5:$A220,A220))</f>
      </c>
      <c r="G220" s="15">
        <f>IF(A220="","",A220&amp;"|"&amp;F220)</f>
      </c>
      <c r="H220" s="17">
        <f>IF(OR(F220="",F220&lt;2,C220=""),"",IFERROR(C220-INDEX($C$5:$C$504,MATCH(A220&amp;"|"&amp;(F220-1),$G$5:$G$504,0)),""))</f>
      </c>
      <c r="I220" s="16">
        <f>IF(OR(F220="",F220&lt;2,B220=""),"",IFERROR(B220-INDEX($B$5:$B$504,MATCH(A220&amp;"|"&amp;(F220-1),$G$5:$G$504,0)),""))</f>
      </c>
      <c r="J220" s="18">
        <f>IF(OR(H220="",I220="",I220=0),"",H220/I220)</f>
      </c>
    </row>
    <row r="221" spans="1:10" x14ac:dyDescent="0.25">
      <c r="A221" s="11"/>
      <c r="B221" s="12"/>
      <c r="C221" s="19"/>
      <c r="D221" s="15">
        <f>IF(A221="","",IFERROR(INDEX(Ejemplares!$F$5:$F$64,MATCH(A221,Ejemplares!$A$5:$A$64,0)),""))</f>
      </c>
      <c r="E221" s="11"/>
      <c r="F221" s="16">
        <f>IF(A221="","",COUNTIF($A$5:$A221,A221))</f>
      </c>
      <c r="G221" s="15">
        <f>IF(A221="","",A221&amp;"|"&amp;F221)</f>
      </c>
      <c r="H221" s="17">
        <f>IF(OR(F221="",F221&lt;2,C221=""),"",IFERROR(C221-INDEX($C$5:$C$504,MATCH(A221&amp;"|"&amp;(F221-1),$G$5:$G$504,0)),""))</f>
      </c>
      <c r="I221" s="16">
        <f>IF(OR(F221="",F221&lt;2,B221=""),"",IFERROR(B221-INDEX($B$5:$B$504,MATCH(A221&amp;"|"&amp;(F221-1),$G$5:$G$504,0)),""))</f>
      </c>
      <c r="J221" s="18">
        <f>IF(OR(H221="",I221="",I221=0),"",H221/I221)</f>
      </c>
    </row>
    <row r="222" spans="1:10" x14ac:dyDescent="0.25">
      <c r="A222" s="11"/>
      <c r="B222" s="12"/>
      <c r="C222" s="19"/>
      <c r="D222" s="15">
        <f>IF(A222="","",IFERROR(INDEX(Ejemplares!$F$5:$F$64,MATCH(A222,Ejemplares!$A$5:$A$64,0)),""))</f>
      </c>
      <c r="E222" s="11"/>
      <c r="F222" s="16">
        <f>IF(A222="","",COUNTIF($A$5:$A222,A222))</f>
      </c>
      <c r="G222" s="15">
        <f>IF(A222="","",A222&amp;"|"&amp;F222)</f>
      </c>
      <c r="H222" s="17">
        <f>IF(OR(F222="",F222&lt;2,C222=""),"",IFERROR(C222-INDEX($C$5:$C$504,MATCH(A222&amp;"|"&amp;(F222-1),$G$5:$G$504,0)),""))</f>
      </c>
      <c r="I222" s="16">
        <f>IF(OR(F222="",F222&lt;2,B222=""),"",IFERROR(B222-INDEX($B$5:$B$504,MATCH(A222&amp;"|"&amp;(F222-1),$G$5:$G$504,0)),""))</f>
      </c>
      <c r="J222" s="18">
        <f>IF(OR(H222="",I222="",I222=0),"",H222/I222)</f>
      </c>
    </row>
    <row r="223" spans="1:10" x14ac:dyDescent="0.25">
      <c r="A223" s="11"/>
      <c r="B223" s="12"/>
      <c r="C223" s="19"/>
      <c r="D223" s="15">
        <f>IF(A223="","",IFERROR(INDEX(Ejemplares!$F$5:$F$64,MATCH(A223,Ejemplares!$A$5:$A$64,0)),""))</f>
      </c>
      <c r="E223" s="11"/>
      <c r="F223" s="16">
        <f>IF(A223="","",COUNTIF($A$5:$A223,A223))</f>
      </c>
      <c r="G223" s="15">
        <f>IF(A223="","",A223&amp;"|"&amp;F223)</f>
      </c>
      <c r="H223" s="17">
        <f>IF(OR(F223="",F223&lt;2,C223=""),"",IFERROR(C223-INDEX($C$5:$C$504,MATCH(A223&amp;"|"&amp;(F223-1),$G$5:$G$504,0)),""))</f>
      </c>
      <c r="I223" s="16">
        <f>IF(OR(F223="",F223&lt;2,B223=""),"",IFERROR(B223-INDEX($B$5:$B$504,MATCH(A223&amp;"|"&amp;(F223-1),$G$5:$G$504,0)),""))</f>
      </c>
      <c r="J223" s="18">
        <f>IF(OR(H223="",I223="",I223=0),"",H223/I223)</f>
      </c>
    </row>
    <row r="224" spans="1:10" x14ac:dyDescent="0.25">
      <c r="A224" s="11"/>
      <c r="B224" s="12"/>
      <c r="C224" s="19"/>
      <c r="D224" s="15">
        <f>IF(A224="","",IFERROR(INDEX(Ejemplares!$F$5:$F$64,MATCH(A224,Ejemplares!$A$5:$A$64,0)),""))</f>
      </c>
      <c r="E224" s="11"/>
      <c r="F224" s="16">
        <f>IF(A224="","",COUNTIF($A$5:$A224,A224))</f>
      </c>
      <c r="G224" s="15">
        <f>IF(A224="","",A224&amp;"|"&amp;F224)</f>
      </c>
      <c r="H224" s="17">
        <f>IF(OR(F224="",F224&lt;2,C224=""),"",IFERROR(C224-INDEX($C$5:$C$504,MATCH(A224&amp;"|"&amp;(F224-1),$G$5:$G$504,0)),""))</f>
      </c>
      <c r="I224" s="16">
        <f>IF(OR(F224="",F224&lt;2,B224=""),"",IFERROR(B224-INDEX($B$5:$B$504,MATCH(A224&amp;"|"&amp;(F224-1),$G$5:$G$504,0)),""))</f>
      </c>
      <c r="J224" s="18">
        <f>IF(OR(H224="",I224="",I224=0),"",H224/I224)</f>
      </c>
    </row>
    <row r="225" spans="1:10" x14ac:dyDescent="0.25">
      <c r="A225" s="11"/>
      <c r="B225" s="12"/>
      <c r="C225" s="19"/>
      <c r="D225" s="15">
        <f>IF(A225="","",IFERROR(INDEX(Ejemplares!$F$5:$F$64,MATCH(A225,Ejemplares!$A$5:$A$64,0)),""))</f>
      </c>
      <c r="E225" s="11"/>
      <c r="F225" s="16">
        <f>IF(A225="","",COUNTIF($A$5:$A225,A225))</f>
      </c>
      <c r="G225" s="15">
        <f>IF(A225="","",A225&amp;"|"&amp;F225)</f>
      </c>
      <c r="H225" s="17">
        <f>IF(OR(F225="",F225&lt;2,C225=""),"",IFERROR(C225-INDEX($C$5:$C$504,MATCH(A225&amp;"|"&amp;(F225-1),$G$5:$G$504,0)),""))</f>
      </c>
      <c r="I225" s="16">
        <f>IF(OR(F225="",F225&lt;2,B225=""),"",IFERROR(B225-INDEX($B$5:$B$504,MATCH(A225&amp;"|"&amp;(F225-1),$G$5:$G$504,0)),""))</f>
      </c>
      <c r="J225" s="18">
        <f>IF(OR(H225="",I225="",I225=0),"",H225/I225)</f>
      </c>
    </row>
    <row r="226" spans="1:10" x14ac:dyDescent="0.25">
      <c r="A226" s="11"/>
      <c r="B226" s="12"/>
      <c r="C226" s="19"/>
      <c r="D226" s="15">
        <f>IF(A226="","",IFERROR(INDEX(Ejemplares!$F$5:$F$64,MATCH(A226,Ejemplares!$A$5:$A$64,0)),""))</f>
      </c>
      <c r="E226" s="11"/>
      <c r="F226" s="16">
        <f>IF(A226="","",COUNTIF($A$5:$A226,A226))</f>
      </c>
      <c r="G226" s="15">
        <f>IF(A226="","",A226&amp;"|"&amp;F226)</f>
      </c>
      <c r="H226" s="17">
        <f>IF(OR(F226="",F226&lt;2,C226=""),"",IFERROR(C226-INDEX($C$5:$C$504,MATCH(A226&amp;"|"&amp;(F226-1),$G$5:$G$504,0)),""))</f>
      </c>
      <c r="I226" s="16">
        <f>IF(OR(F226="",F226&lt;2,B226=""),"",IFERROR(B226-INDEX($B$5:$B$504,MATCH(A226&amp;"|"&amp;(F226-1),$G$5:$G$504,0)),""))</f>
      </c>
      <c r="J226" s="18">
        <f>IF(OR(H226="",I226="",I226=0),"",H226/I226)</f>
      </c>
    </row>
    <row r="227" spans="1:10" x14ac:dyDescent="0.25">
      <c r="A227" s="11"/>
      <c r="B227" s="12"/>
      <c r="C227" s="19"/>
      <c r="D227" s="15">
        <f>IF(A227="","",IFERROR(INDEX(Ejemplares!$F$5:$F$64,MATCH(A227,Ejemplares!$A$5:$A$64,0)),""))</f>
      </c>
      <c r="E227" s="11"/>
      <c r="F227" s="16">
        <f>IF(A227="","",COUNTIF($A$5:$A227,A227))</f>
      </c>
      <c r="G227" s="15">
        <f>IF(A227="","",A227&amp;"|"&amp;F227)</f>
      </c>
      <c r="H227" s="17">
        <f>IF(OR(F227="",F227&lt;2,C227=""),"",IFERROR(C227-INDEX($C$5:$C$504,MATCH(A227&amp;"|"&amp;(F227-1),$G$5:$G$504,0)),""))</f>
      </c>
      <c r="I227" s="16">
        <f>IF(OR(F227="",F227&lt;2,B227=""),"",IFERROR(B227-INDEX($B$5:$B$504,MATCH(A227&amp;"|"&amp;(F227-1),$G$5:$G$504,0)),""))</f>
      </c>
      <c r="J227" s="18">
        <f>IF(OR(H227="",I227="",I227=0),"",H227/I227)</f>
      </c>
    </row>
    <row r="228" spans="1:10" x14ac:dyDescent="0.25">
      <c r="A228" s="11"/>
      <c r="B228" s="12"/>
      <c r="C228" s="19"/>
      <c r="D228" s="15">
        <f>IF(A228="","",IFERROR(INDEX(Ejemplares!$F$5:$F$64,MATCH(A228,Ejemplares!$A$5:$A$64,0)),""))</f>
      </c>
      <c r="E228" s="11"/>
      <c r="F228" s="16">
        <f>IF(A228="","",COUNTIF($A$5:$A228,A228))</f>
      </c>
      <c r="G228" s="15">
        <f>IF(A228="","",A228&amp;"|"&amp;F228)</f>
      </c>
      <c r="H228" s="17">
        <f>IF(OR(F228="",F228&lt;2,C228=""),"",IFERROR(C228-INDEX($C$5:$C$504,MATCH(A228&amp;"|"&amp;(F228-1),$G$5:$G$504,0)),""))</f>
      </c>
      <c r="I228" s="16">
        <f>IF(OR(F228="",F228&lt;2,B228=""),"",IFERROR(B228-INDEX($B$5:$B$504,MATCH(A228&amp;"|"&amp;(F228-1),$G$5:$G$504,0)),""))</f>
      </c>
      <c r="J228" s="18">
        <f>IF(OR(H228="",I228="",I228=0),"",H228/I228)</f>
      </c>
    </row>
    <row r="229" spans="1:10" x14ac:dyDescent="0.25">
      <c r="A229" s="11"/>
      <c r="B229" s="12"/>
      <c r="C229" s="19"/>
      <c r="D229" s="15">
        <f>IF(A229="","",IFERROR(INDEX(Ejemplares!$F$5:$F$64,MATCH(A229,Ejemplares!$A$5:$A$64,0)),""))</f>
      </c>
      <c r="E229" s="11"/>
      <c r="F229" s="16">
        <f>IF(A229="","",COUNTIF($A$5:$A229,A229))</f>
      </c>
      <c r="G229" s="15">
        <f>IF(A229="","",A229&amp;"|"&amp;F229)</f>
      </c>
      <c r="H229" s="17">
        <f>IF(OR(F229="",F229&lt;2,C229=""),"",IFERROR(C229-INDEX($C$5:$C$504,MATCH(A229&amp;"|"&amp;(F229-1),$G$5:$G$504,0)),""))</f>
      </c>
      <c r="I229" s="16">
        <f>IF(OR(F229="",F229&lt;2,B229=""),"",IFERROR(B229-INDEX($B$5:$B$504,MATCH(A229&amp;"|"&amp;(F229-1),$G$5:$G$504,0)),""))</f>
      </c>
      <c r="J229" s="18">
        <f>IF(OR(H229="",I229="",I229=0),"",H229/I229)</f>
      </c>
    </row>
    <row r="230" spans="1:10" x14ac:dyDescent="0.25">
      <c r="A230" s="11"/>
      <c r="B230" s="12"/>
      <c r="C230" s="19"/>
      <c r="D230" s="15">
        <f>IF(A230="","",IFERROR(INDEX(Ejemplares!$F$5:$F$64,MATCH(A230,Ejemplares!$A$5:$A$64,0)),""))</f>
      </c>
      <c r="E230" s="11"/>
      <c r="F230" s="16">
        <f>IF(A230="","",COUNTIF($A$5:$A230,A230))</f>
      </c>
      <c r="G230" s="15">
        <f>IF(A230="","",A230&amp;"|"&amp;F230)</f>
      </c>
      <c r="H230" s="17">
        <f>IF(OR(F230="",F230&lt;2,C230=""),"",IFERROR(C230-INDEX($C$5:$C$504,MATCH(A230&amp;"|"&amp;(F230-1),$G$5:$G$504,0)),""))</f>
      </c>
      <c r="I230" s="16">
        <f>IF(OR(F230="",F230&lt;2,B230=""),"",IFERROR(B230-INDEX($B$5:$B$504,MATCH(A230&amp;"|"&amp;(F230-1),$G$5:$G$504,0)),""))</f>
      </c>
      <c r="J230" s="18">
        <f>IF(OR(H230="",I230="",I230=0),"",H230/I230)</f>
      </c>
    </row>
    <row r="231" spans="1:10" x14ac:dyDescent="0.25">
      <c r="A231" s="11"/>
      <c r="B231" s="12"/>
      <c r="C231" s="19"/>
      <c r="D231" s="15">
        <f>IF(A231="","",IFERROR(INDEX(Ejemplares!$F$5:$F$64,MATCH(A231,Ejemplares!$A$5:$A$64,0)),""))</f>
      </c>
      <c r="E231" s="11"/>
      <c r="F231" s="16">
        <f>IF(A231="","",COUNTIF($A$5:$A231,A231))</f>
      </c>
      <c r="G231" s="15">
        <f>IF(A231="","",A231&amp;"|"&amp;F231)</f>
      </c>
      <c r="H231" s="17">
        <f>IF(OR(F231="",F231&lt;2,C231=""),"",IFERROR(C231-INDEX($C$5:$C$504,MATCH(A231&amp;"|"&amp;(F231-1),$G$5:$G$504,0)),""))</f>
      </c>
      <c r="I231" s="16">
        <f>IF(OR(F231="",F231&lt;2,B231=""),"",IFERROR(B231-INDEX($B$5:$B$504,MATCH(A231&amp;"|"&amp;(F231-1),$G$5:$G$504,0)),""))</f>
      </c>
      <c r="J231" s="18">
        <f>IF(OR(H231="",I231="",I231=0),"",H231/I231)</f>
      </c>
    </row>
    <row r="232" spans="1:10" x14ac:dyDescent="0.25">
      <c r="A232" s="11"/>
      <c r="B232" s="12"/>
      <c r="C232" s="19"/>
      <c r="D232" s="15">
        <f>IF(A232="","",IFERROR(INDEX(Ejemplares!$F$5:$F$64,MATCH(A232,Ejemplares!$A$5:$A$64,0)),""))</f>
      </c>
      <c r="E232" s="11"/>
      <c r="F232" s="16">
        <f>IF(A232="","",COUNTIF($A$5:$A232,A232))</f>
      </c>
      <c r="G232" s="15">
        <f>IF(A232="","",A232&amp;"|"&amp;F232)</f>
      </c>
      <c r="H232" s="17">
        <f>IF(OR(F232="",F232&lt;2,C232=""),"",IFERROR(C232-INDEX($C$5:$C$504,MATCH(A232&amp;"|"&amp;(F232-1),$G$5:$G$504,0)),""))</f>
      </c>
      <c r="I232" s="16">
        <f>IF(OR(F232="",F232&lt;2,B232=""),"",IFERROR(B232-INDEX($B$5:$B$504,MATCH(A232&amp;"|"&amp;(F232-1),$G$5:$G$504,0)),""))</f>
      </c>
      <c r="J232" s="18">
        <f>IF(OR(H232="",I232="",I232=0),"",H232/I232)</f>
      </c>
    </row>
    <row r="233" spans="1:10" x14ac:dyDescent="0.25">
      <c r="A233" s="11"/>
      <c r="B233" s="12"/>
      <c r="C233" s="19"/>
      <c r="D233" s="15">
        <f>IF(A233="","",IFERROR(INDEX(Ejemplares!$F$5:$F$64,MATCH(A233,Ejemplares!$A$5:$A$64,0)),""))</f>
      </c>
      <c r="E233" s="11"/>
      <c r="F233" s="16">
        <f>IF(A233="","",COUNTIF($A$5:$A233,A233))</f>
      </c>
      <c r="G233" s="15">
        <f>IF(A233="","",A233&amp;"|"&amp;F233)</f>
      </c>
      <c r="H233" s="17">
        <f>IF(OR(F233="",F233&lt;2,C233=""),"",IFERROR(C233-INDEX($C$5:$C$504,MATCH(A233&amp;"|"&amp;(F233-1),$G$5:$G$504,0)),""))</f>
      </c>
      <c r="I233" s="16">
        <f>IF(OR(F233="",F233&lt;2,B233=""),"",IFERROR(B233-INDEX($B$5:$B$504,MATCH(A233&amp;"|"&amp;(F233-1),$G$5:$G$504,0)),""))</f>
      </c>
      <c r="J233" s="18">
        <f>IF(OR(H233="",I233="",I233=0),"",H233/I233)</f>
      </c>
    </row>
    <row r="234" spans="1:10" x14ac:dyDescent="0.25">
      <c r="A234" s="11"/>
      <c r="B234" s="12"/>
      <c r="C234" s="19"/>
      <c r="D234" s="15">
        <f>IF(A234="","",IFERROR(INDEX(Ejemplares!$F$5:$F$64,MATCH(A234,Ejemplares!$A$5:$A$64,0)),""))</f>
      </c>
      <c r="E234" s="11"/>
      <c r="F234" s="16">
        <f>IF(A234="","",COUNTIF($A$5:$A234,A234))</f>
      </c>
      <c r="G234" s="15">
        <f>IF(A234="","",A234&amp;"|"&amp;F234)</f>
      </c>
      <c r="H234" s="17">
        <f>IF(OR(F234="",F234&lt;2,C234=""),"",IFERROR(C234-INDEX($C$5:$C$504,MATCH(A234&amp;"|"&amp;(F234-1),$G$5:$G$504,0)),""))</f>
      </c>
      <c r="I234" s="16">
        <f>IF(OR(F234="",F234&lt;2,B234=""),"",IFERROR(B234-INDEX($B$5:$B$504,MATCH(A234&amp;"|"&amp;(F234-1),$G$5:$G$504,0)),""))</f>
      </c>
      <c r="J234" s="18">
        <f>IF(OR(H234="",I234="",I234=0),"",H234/I234)</f>
      </c>
    </row>
    <row r="235" spans="1:10" x14ac:dyDescent="0.25">
      <c r="A235" s="11"/>
      <c r="B235" s="12"/>
      <c r="C235" s="19"/>
      <c r="D235" s="15">
        <f>IF(A235="","",IFERROR(INDEX(Ejemplares!$F$5:$F$64,MATCH(A235,Ejemplares!$A$5:$A$64,0)),""))</f>
      </c>
      <c r="E235" s="11"/>
      <c r="F235" s="16">
        <f>IF(A235="","",COUNTIF($A$5:$A235,A235))</f>
      </c>
      <c r="G235" s="15">
        <f>IF(A235="","",A235&amp;"|"&amp;F235)</f>
      </c>
      <c r="H235" s="17">
        <f>IF(OR(F235="",F235&lt;2,C235=""),"",IFERROR(C235-INDEX($C$5:$C$504,MATCH(A235&amp;"|"&amp;(F235-1),$G$5:$G$504,0)),""))</f>
      </c>
      <c r="I235" s="16">
        <f>IF(OR(F235="",F235&lt;2,B235=""),"",IFERROR(B235-INDEX($B$5:$B$504,MATCH(A235&amp;"|"&amp;(F235-1),$G$5:$G$504,0)),""))</f>
      </c>
      <c r="J235" s="18">
        <f>IF(OR(H235="",I235="",I235=0),"",H235/I235)</f>
      </c>
    </row>
    <row r="236" spans="1:10" x14ac:dyDescent="0.25">
      <c r="A236" s="11"/>
      <c r="B236" s="12"/>
      <c r="C236" s="19"/>
      <c r="D236" s="15">
        <f>IF(A236="","",IFERROR(INDEX(Ejemplares!$F$5:$F$64,MATCH(A236,Ejemplares!$A$5:$A$64,0)),""))</f>
      </c>
      <c r="E236" s="11"/>
      <c r="F236" s="16">
        <f>IF(A236="","",COUNTIF($A$5:$A236,A236))</f>
      </c>
      <c r="G236" s="15">
        <f>IF(A236="","",A236&amp;"|"&amp;F236)</f>
      </c>
      <c r="H236" s="17">
        <f>IF(OR(F236="",F236&lt;2,C236=""),"",IFERROR(C236-INDEX($C$5:$C$504,MATCH(A236&amp;"|"&amp;(F236-1),$G$5:$G$504,0)),""))</f>
      </c>
      <c r="I236" s="16">
        <f>IF(OR(F236="",F236&lt;2,B236=""),"",IFERROR(B236-INDEX($B$5:$B$504,MATCH(A236&amp;"|"&amp;(F236-1),$G$5:$G$504,0)),""))</f>
      </c>
      <c r="J236" s="18">
        <f>IF(OR(H236="",I236="",I236=0),"",H236/I236)</f>
      </c>
    </row>
    <row r="237" spans="1:10" x14ac:dyDescent="0.25">
      <c r="A237" s="11"/>
      <c r="B237" s="12"/>
      <c r="C237" s="19"/>
      <c r="D237" s="15">
        <f>IF(A237="","",IFERROR(INDEX(Ejemplares!$F$5:$F$64,MATCH(A237,Ejemplares!$A$5:$A$64,0)),""))</f>
      </c>
      <c r="E237" s="11"/>
      <c r="F237" s="16">
        <f>IF(A237="","",COUNTIF($A$5:$A237,A237))</f>
      </c>
      <c r="G237" s="15">
        <f>IF(A237="","",A237&amp;"|"&amp;F237)</f>
      </c>
      <c r="H237" s="17">
        <f>IF(OR(F237="",F237&lt;2,C237=""),"",IFERROR(C237-INDEX($C$5:$C$504,MATCH(A237&amp;"|"&amp;(F237-1),$G$5:$G$504,0)),""))</f>
      </c>
      <c r="I237" s="16">
        <f>IF(OR(F237="",F237&lt;2,B237=""),"",IFERROR(B237-INDEX($B$5:$B$504,MATCH(A237&amp;"|"&amp;(F237-1),$G$5:$G$504,0)),""))</f>
      </c>
      <c r="J237" s="18">
        <f>IF(OR(H237="",I237="",I237=0),"",H237/I237)</f>
      </c>
    </row>
    <row r="238" spans="1:10" x14ac:dyDescent="0.25">
      <c r="A238" s="11"/>
      <c r="B238" s="12"/>
      <c r="C238" s="19"/>
      <c r="D238" s="15">
        <f>IF(A238="","",IFERROR(INDEX(Ejemplares!$F$5:$F$64,MATCH(A238,Ejemplares!$A$5:$A$64,0)),""))</f>
      </c>
      <c r="E238" s="11"/>
      <c r="F238" s="16">
        <f>IF(A238="","",COUNTIF($A$5:$A238,A238))</f>
      </c>
      <c r="G238" s="15">
        <f>IF(A238="","",A238&amp;"|"&amp;F238)</f>
      </c>
      <c r="H238" s="17">
        <f>IF(OR(F238="",F238&lt;2,C238=""),"",IFERROR(C238-INDEX($C$5:$C$504,MATCH(A238&amp;"|"&amp;(F238-1),$G$5:$G$504,0)),""))</f>
      </c>
      <c r="I238" s="16">
        <f>IF(OR(F238="",F238&lt;2,B238=""),"",IFERROR(B238-INDEX($B$5:$B$504,MATCH(A238&amp;"|"&amp;(F238-1),$G$5:$G$504,0)),""))</f>
      </c>
      <c r="J238" s="18">
        <f>IF(OR(H238="",I238="",I238=0),"",H238/I238)</f>
      </c>
    </row>
    <row r="239" spans="1:10" x14ac:dyDescent="0.25">
      <c r="A239" s="11"/>
      <c r="B239" s="12"/>
      <c r="C239" s="19"/>
      <c r="D239" s="15">
        <f>IF(A239="","",IFERROR(INDEX(Ejemplares!$F$5:$F$64,MATCH(A239,Ejemplares!$A$5:$A$64,0)),""))</f>
      </c>
      <c r="E239" s="11"/>
      <c r="F239" s="16">
        <f>IF(A239="","",COUNTIF($A$5:$A239,A239))</f>
      </c>
      <c r="G239" s="15">
        <f>IF(A239="","",A239&amp;"|"&amp;F239)</f>
      </c>
      <c r="H239" s="17">
        <f>IF(OR(F239="",F239&lt;2,C239=""),"",IFERROR(C239-INDEX($C$5:$C$504,MATCH(A239&amp;"|"&amp;(F239-1),$G$5:$G$504,0)),""))</f>
      </c>
      <c r="I239" s="16">
        <f>IF(OR(F239="",F239&lt;2,B239=""),"",IFERROR(B239-INDEX($B$5:$B$504,MATCH(A239&amp;"|"&amp;(F239-1),$G$5:$G$504,0)),""))</f>
      </c>
      <c r="J239" s="18">
        <f>IF(OR(H239="",I239="",I239=0),"",H239/I239)</f>
      </c>
    </row>
    <row r="240" spans="1:10" x14ac:dyDescent="0.25">
      <c r="A240" s="11"/>
      <c r="B240" s="12"/>
      <c r="C240" s="19"/>
      <c r="D240" s="15">
        <f>IF(A240="","",IFERROR(INDEX(Ejemplares!$F$5:$F$64,MATCH(A240,Ejemplares!$A$5:$A$64,0)),""))</f>
      </c>
      <c r="E240" s="11"/>
      <c r="F240" s="16">
        <f>IF(A240="","",COUNTIF($A$5:$A240,A240))</f>
      </c>
      <c r="G240" s="15">
        <f>IF(A240="","",A240&amp;"|"&amp;F240)</f>
      </c>
      <c r="H240" s="17">
        <f>IF(OR(F240="",F240&lt;2,C240=""),"",IFERROR(C240-INDEX($C$5:$C$504,MATCH(A240&amp;"|"&amp;(F240-1),$G$5:$G$504,0)),""))</f>
      </c>
      <c r="I240" s="16">
        <f>IF(OR(F240="",F240&lt;2,B240=""),"",IFERROR(B240-INDEX($B$5:$B$504,MATCH(A240&amp;"|"&amp;(F240-1),$G$5:$G$504,0)),""))</f>
      </c>
      <c r="J240" s="18">
        <f>IF(OR(H240="",I240="",I240=0),"",H240/I240)</f>
      </c>
    </row>
    <row r="241" spans="1:10" x14ac:dyDescent="0.25">
      <c r="A241" s="11"/>
      <c r="B241" s="12"/>
      <c r="C241" s="19"/>
      <c r="D241" s="15">
        <f>IF(A241="","",IFERROR(INDEX(Ejemplares!$F$5:$F$64,MATCH(A241,Ejemplares!$A$5:$A$64,0)),""))</f>
      </c>
      <c r="E241" s="11"/>
      <c r="F241" s="16">
        <f>IF(A241="","",COUNTIF($A$5:$A241,A241))</f>
      </c>
      <c r="G241" s="15">
        <f>IF(A241="","",A241&amp;"|"&amp;F241)</f>
      </c>
      <c r="H241" s="17">
        <f>IF(OR(F241="",F241&lt;2,C241=""),"",IFERROR(C241-INDEX($C$5:$C$504,MATCH(A241&amp;"|"&amp;(F241-1),$G$5:$G$504,0)),""))</f>
      </c>
      <c r="I241" s="16">
        <f>IF(OR(F241="",F241&lt;2,B241=""),"",IFERROR(B241-INDEX($B$5:$B$504,MATCH(A241&amp;"|"&amp;(F241-1),$G$5:$G$504,0)),""))</f>
      </c>
      <c r="J241" s="18">
        <f>IF(OR(H241="",I241="",I241=0),"",H241/I241)</f>
      </c>
    </row>
    <row r="242" spans="1:10" x14ac:dyDescent="0.25">
      <c r="A242" s="11"/>
      <c r="B242" s="12"/>
      <c r="C242" s="19"/>
      <c r="D242" s="15">
        <f>IF(A242="","",IFERROR(INDEX(Ejemplares!$F$5:$F$64,MATCH(A242,Ejemplares!$A$5:$A$64,0)),""))</f>
      </c>
      <c r="E242" s="11"/>
      <c r="F242" s="16">
        <f>IF(A242="","",COUNTIF($A$5:$A242,A242))</f>
      </c>
      <c r="G242" s="15">
        <f>IF(A242="","",A242&amp;"|"&amp;F242)</f>
      </c>
      <c r="H242" s="17">
        <f>IF(OR(F242="",F242&lt;2,C242=""),"",IFERROR(C242-INDEX($C$5:$C$504,MATCH(A242&amp;"|"&amp;(F242-1),$G$5:$G$504,0)),""))</f>
      </c>
      <c r="I242" s="16">
        <f>IF(OR(F242="",F242&lt;2,B242=""),"",IFERROR(B242-INDEX($B$5:$B$504,MATCH(A242&amp;"|"&amp;(F242-1),$G$5:$G$504,0)),""))</f>
      </c>
      <c r="J242" s="18">
        <f>IF(OR(H242="",I242="",I242=0),"",H242/I242)</f>
      </c>
    </row>
    <row r="243" spans="1:10" x14ac:dyDescent="0.25">
      <c r="A243" s="11"/>
      <c r="B243" s="12"/>
      <c r="C243" s="19"/>
      <c r="D243" s="15">
        <f>IF(A243="","",IFERROR(INDEX(Ejemplares!$F$5:$F$64,MATCH(A243,Ejemplares!$A$5:$A$64,0)),""))</f>
      </c>
      <c r="E243" s="11"/>
      <c r="F243" s="16">
        <f>IF(A243="","",COUNTIF($A$5:$A243,A243))</f>
      </c>
      <c r="G243" s="15">
        <f>IF(A243="","",A243&amp;"|"&amp;F243)</f>
      </c>
      <c r="H243" s="17">
        <f>IF(OR(F243="",F243&lt;2,C243=""),"",IFERROR(C243-INDEX($C$5:$C$504,MATCH(A243&amp;"|"&amp;(F243-1),$G$5:$G$504,0)),""))</f>
      </c>
      <c r="I243" s="16">
        <f>IF(OR(F243="",F243&lt;2,B243=""),"",IFERROR(B243-INDEX($B$5:$B$504,MATCH(A243&amp;"|"&amp;(F243-1),$G$5:$G$504,0)),""))</f>
      </c>
      <c r="J243" s="18">
        <f>IF(OR(H243="",I243="",I243=0),"",H243/I243)</f>
      </c>
    </row>
    <row r="244" spans="1:10" x14ac:dyDescent="0.25">
      <c r="A244" s="11"/>
      <c r="B244" s="12"/>
      <c r="C244" s="19"/>
      <c r="D244" s="15">
        <f>IF(A244="","",IFERROR(INDEX(Ejemplares!$F$5:$F$64,MATCH(A244,Ejemplares!$A$5:$A$64,0)),""))</f>
      </c>
      <c r="E244" s="11"/>
      <c r="F244" s="16">
        <f>IF(A244="","",COUNTIF($A$5:$A244,A244))</f>
      </c>
      <c r="G244" s="15">
        <f>IF(A244="","",A244&amp;"|"&amp;F244)</f>
      </c>
      <c r="H244" s="17">
        <f>IF(OR(F244="",F244&lt;2,C244=""),"",IFERROR(C244-INDEX($C$5:$C$504,MATCH(A244&amp;"|"&amp;(F244-1),$G$5:$G$504,0)),""))</f>
      </c>
      <c r="I244" s="16">
        <f>IF(OR(F244="",F244&lt;2,B244=""),"",IFERROR(B244-INDEX($B$5:$B$504,MATCH(A244&amp;"|"&amp;(F244-1),$G$5:$G$504,0)),""))</f>
      </c>
      <c r="J244" s="18">
        <f>IF(OR(H244="",I244="",I244=0),"",H244/I244)</f>
      </c>
    </row>
    <row r="245" spans="1:10" x14ac:dyDescent="0.25">
      <c r="A245" s="11"/>
      <c r="B245" s="12"/>
      <c r="C245" s="19"/>
      <c r="D245" s="15">
        <f>IF(A245="","",IFERROR(INDEX(Ejemplares!$F$5:$F$64,MATCH(A245,Ejemplares!$A$5:$A$64,0)),""))</f>
      </c>
      <c r="E245" s="11"/>
      <c r="F245" s="16">
        <f>IF(A245="","",COUNTIF($A$5:$A245,A245))</f>
      </c>
      <c r="G245" s="15">
        <f>IF(A245="","",A245&amp;"|"&amp;F245)</f>
      </c>
      <c r="H245" s="17">
        <f>IF(OR(F245="",F245&lt;2,C245=""),"",IFERROR(C245-INDEX($C$5:$C$504,MATCH(A245&amp;"|"&amp;(F245-1),$G$5:$G$504,0)),""))</f>
      </c>
      <c r="I245" s="16">
        <f>IF(OR(F245="",F245&lt;2,B245=""),"",IFERROR(B245-INDEX($B$5:$B$504,MATCH(A245&amp;"|"&amp;(F245-1),$G$5:$G$504,0)),""))</f>
      </c>
      <c r="J245" s="18">
        <f>IF(OR(H245="",I245="",I245=0),"",H245/I245)</f>
      </c>
    </row>
    <row r="246" spans="1:10" x14ac:dyDescent="0.25">
      <c r="A246" s="11"/>
      <c r="B246" s="12"/>
      <c r="C246" s="19"/>
      <c r="D246" s="15">
        <f>IF(A246="","",IFERROR(INDEX(Ejemplares!$F$5:$F$64,MATCH(A246,Ejemplares!$A$5:$A$64,0)),""))</f>
      </c>
      <c r="E246" s="11"/>
      <c r="F246" s="16">
        <f>IF(A246="","",COUNTIF($A$5:$A246,A246))</f>
      </c>
      <c r="G246" s="15">
        <f>IF(A246="","",A246&amp;"|"&amp;F246)</f>
      </c>
      <c r="H246" s="17">
        <f>IF(OR(F246="",F246&lt;2,C246=""),"",IFERROR(C246-INDEX($C$5:$C$504,MATCH(A246&amp;"|"&amp;(F246-1),$G$5:$G$504,0)),""))</f>
      </c>
      <c r="I246" s="16">
        <f>IF(OR(F246="",F246&lt;2,B246=""),"",IFERROR(B246-INDEX($B$5:$B$504,MATCH(A246&amp;"|"&amp;(F246-1),$G$5:$G$504,0)),""))</f>
      </c>
      <c r="J246" s="18">
        <f>IF(OR(H246="",I246="",I246=0),"",H246/I246)</f>
      </c>
    </row>
    <row r="247" spans="1:10" x14ac:dyDescent="0.25">
      <c r="A247" s="11"/>
      <c r="B247" s="12"/>
      <c r="C247" s="19"/>
      <c r="D247" s="15">
        <f>IF(A247="","",IFERROR(INDEX(Ejemplares!$F$5:$F$64,MATCH(A247,Ejemplares!$A$5:$A$64,0)),""))</f>
      </c>
      <c r="E247" s="11"/>
      <c r="F247" s="16">
        <f>IF(A247="","",COUNTIF($A$5:$A247,A247))</f>
      </c>
      <c r="G247" s="15">
        <f>IF(A247="","",A247&amp;"|"&amp;F247)</f>
      </c>
      <c r="H247" s="17">
        <f>IF(OR(F247="",F247&lt;2,C247=""),"",IFERROR(C247-INDEX($C$5:$C$504,MATCH(A247&amp;"|"&amp;(F247-1),$G$5:$G$504,0)),""))</f>
      </c>
      <c r="I247" s="16">
        <f>IF(OR(F247="",F247&lt;2,B247=""),"",IFERROR(B247-INDEX($B$5:$B$504,MATCH(A247&amp;"|"&amp;(F247-1),$G$5:$G$504,0)),""))</f>
      </c>
      <c r="J247" s="18">
        <f>IF(OR(H247="",I247="",I247=0),"",H247/I247)</f>
      </c>
    </row>
    <row r="248" spans="1:10" x14ac:dyDescent="0.25">
      <c r="A248" s="11"/>
      <c r="B248" s="12"/>
      <c r="C248" s="19"/>
      <c r="D248" s="15">
        <f>IF(A248="","",IFERROR(INDEX(Ejemplares!$F$5:$F$64,MATCH(A248,Ejemplares!$A$5:$A$64,0)),""))</f>
      </c>
      <c r="E248" s="11"/>
      <c r="F248" s="16">
        <f>IF(A248="","",COUNTIF($A$5:$A248,A248))</f>
      </c>
      <c r="G248" s="15">
        <f>IF(A248="","",A248&amp;"|"&amp;F248)</f>
      </c>
      <c r="H248" s="17">
        <f>IF(OR(F248="",F248&lt;2,C248=""),"",IFERROR(C248-INDEX($C$5:$C$504,MATCH(A248&amp;"|"&amp;(F248-1),$G$5:$G$504,0)),""))</f>
      </c>
      <c r="I248" s="16">
        <f>IF(OR(F248="",F248&lt;2,B248=""),"",IFERROR(B248-INDEX($B$5:$B$504,MATCH(A248&amp;"|"&amp;(F248-1),$G$5:$G$504,0)),""))</f>
      </c>
      <c r="J248" s="18">
        <f>IF(OR(H248="",I248="",I248=0),"",H248/I248)</f>
      </c>
    </row>
    <row r="249" spans="1:10" x14ac:dyDescent="0.25">
      <c r="A249" s="11"/>
      <c r="B249" s="12"/>
      <c r="C249" s="19"/>
      <c r="D249" s="15">
        <f>IF(A249="","",IFERROR(INDEX(Ejemplares!$F$5:$F$64,MATCH(A249,Ejemplares!$A$5:$A$64,0)),""))</f>
      </c>
      <c r="E249" s="11"/>
      <c r="F249" s="16">
        <f>IF(A249="","",COUNTIF($A$5:$A249,A249))</f>
      </c>
      <c r="G249" s="15">
        <f>IF(A249="","",A249&amp;"|"&amp;F249)</f>
      </c>
      <c r="H249" s="17">
        <f>IF(OR(F249="",F249&lt;2,C249=""),"",IFERROR(C249-INDEX($C$5:$C$504,MATCH(A249&amp;"|"&amp;(F249-1),$G$5:$G$504,0)),""))</f>
      </c>
      <c r="I249" s="16">
        <f>IF(OR(F249="",F249&lt;2,B249=""),"",IFERROR(B249-INDEX($B$5:$B$504,MATCH(A249&amp;"|"&amp;(F249-1),$G$5:$G$504,0)),""))</f>
      </c>
      <c r="J249" s="18">
        <f>IF(OR(H249="",I249="",I249=0),"",H249/I249)</f>
      </c>
    </row>
    <row r="250" spans="1:10" x14ac:dyDescent="0.25">
      <c r="A250" s="11"/>
      <c r="B250" s="12"/>
      <c r="C250" s="19"/>
      <c r="D250" s="15">
        <f>IF(A250="","",IFERROR(INDEX(Ejemplares!$F$5:$F$64,MATCH(A250,Ejemplares!$A$5:$A$64,0)),""))</f>
      </c>
      <c r="E250" s="11"/>
      <c r="F250" s="16">
        <f>IF(A250="","",COUNTIF($A$5:$A250,A250))</f>
      </c>
      <c r="G250" s="15">
        <f>IF(A250="","",A250&amp;"|"&amp;F250)</f>
      </c>
      <c r="H250" s="17">
        <f>IF(OR(F250="",F250&lt;2,C250=""),"",IFERROR(C250-INDEX($C$5:$C$504,MATCH(A250&amp;"|"&amp;(F250-1),$G$5:$G$504,0)),""))</f>
      </c>
      <c r="I250" s="16">
        <f>IF(OR(F250="",F250&lt;2,B250=""),"",IFERROR(B250-INDEX($B$5:$B$504,MATCH(A250&amp;"|"&amp;(F250-1),$G$5:$G$504,0)),""))</f>
      </c>
      <c r="J250" s="18">
        <f>IF(OR(H250="",I250="",I250=0),"",H250/I250)</f>
      </c>
    </row>
    <row r="251" spans="1:10" x14ac:dyDescent="0.25">
      <c r="A251" s="11"/>
      <c r="B251" s="12"/>
      <c r="C251" s="19"/>
      <c r="D251" s="15">
        <f>IF(A251="","",IFERROR(INDEX(Ejemplares!$F$5:$F$64,MATCH(A251,Ejemplares!$A$5:$A$64,0)),""))</f>
      </c>
      <c r="E251" s="11"/>
      <c r="F251" s="16">
        <f>IF(A251="","",COUNTIF($A$5:$A251,A251))</f>
      </c>
      <c r="G251" s="15">
        <f>IF(A251="","",A251&amp;"|"&amp;F251)</f>
      </c>
      <c r="H251" s="17">
        <f>IF(OR(F251="",F251&lt;2,C251=""),"",IFERROR(C251-INDEX($C$5:$C$504,MATCH(A251&amp;"|"&amp;(F251-1),$G$5:$G$504,0)),""))</f>
      </c>
      <c r="I251" s="16">
        <f>IF(OR(F251="",F251&lt;2,B251=""),"",IFERROR(B251-INDEX($B$5:$B$504,MATCH(A251&amp;"|"&amp;(F251-1),$G$5:$G$504,0)),""))</f>
      </c>
      <c r="J251" s="18">
        <f>IF(OR(H251="",I251="",I251=0),"",H251/I251)</f>
      </c>
    </row>
    <row r="252" spans="1:10" x14ac:dyDescent="0.25">
      <c r="A252" s="11"/>
      <c r="B252" s="12"/>
      <c r="C252" s="19"/>
      <c r="D252" s="15">
        <f>IF(A252="","",IFERROR(INDEX(Ejemplares!$F$5:$F$64,MATCH(A252,Ejemplares!$A$5:$A$64,0)),""))</f>
      </c>
      <c r="E252" s="11"/>
      <c r="F252" s="16">
        <f>IF(A252="","",COUNTIF($A$5:$A252,A252))</f>
      </c>
      <c r="G252" s="15">
        <f>IF(A252="","",A252&amp;"|"&amp;F252)</f>
      </c>
      <c r="H252" s="17">
        <f>IF(OR(F252="",F252&lt;2,C252=""),"",IFERROR(C252-INDEX($C$5:$C$504,MATCH(A252&amp;"|"&amp;(F252-1),$G$5:$G$504,0)),""))</f>
      </c>
      <c r="I252" s="16">
        <f>IF(OR(F252="",F252&lt;2,B252=""),"",IFERROR(B252-INDEX($B$5:$B$504,MATCH(A252&amp;"|"&amp;(F252-1),$G$5:$G$504,0)),""))</f>
      </c>
      <c r="J252" s="18">
        <f>IF(OR(H252="",I252="",I252=0),"",H252/I252)</f>
      </c>
    </row>
    <row r="253" spans="1:10" x14ac:dyDescent="0.25">
      <c r="A253" s="11"/>
      <c r="B253" s="12"/>
      <c r="C253" s="19"/>
      <c r="D253" s="15">
        <f>IF(A253="","",IFERROR(INDEX(Ejemplares!$F$5:$F$64,MATCH(A253,Ejemplares!$A$5:$A$64,0)),""))</f>
      </c>
      <c r="E253" s="11"/>
      <c r="F253" s="16">
        <f>IF(A253="","",COUNTIF($A$5:$A253,A253))</f>
      </c>
      <c r="G253" s="15">
        <f>IF(A253="","",A253&amp;"|"&amp;F253)</f>
      </c>
      <c r="H253" s="17">
        <f>IF(OR(F253="",F253&lt;2,C253=""),"",IFERROR(C253-INDEX($C$5:$C$504,MATCH(A253&amp;"|"&amp;(F253-1),$G$5:$G$504,0)),""))</f>
      </c>
      <c r="I253" s="16">
        <f>IF(OR(F253="",F253&lt;2,B253=""),"",IFERROR(B253-INDEX($B$5:$B$504,MATCH(A253&amp;"|"&amp;(F253-1),$G$5:$G$504,0)),""))</f>
      </c>
      <c r="J253" s="18">
        <f>IF(OR(H253="",I253="",I253=0),"",H253/I253)</f>
      </c>
    </row>
    <row r="254" spans="1:10" x14ac:dyDescent="0.25">
      <c r="A254" s="11"/>
      <c r="B254" s="12"/>
      <c r="C254" s="19"/>
      <c r="D254" s="15">
        <f>IF(A254="","",IFERROR(INDEX(Ejemplares!$F$5:$F$64,MATCH(A254,Ejemplares!$A$5:$A$64,0)),""))</f>
      </c>
      <c r="E254" s="11"/>
      <c r="F254" s="16">
        <f>IF(A254="","",COUNTIF($A$5:$A254,A254))</f>
      </c>
      <c r="G254" s="15">
        <f>IF(A254="","",A254&amp;"|"&amp;F254)</f>
      </c>
      <c r="H254" s="17">
        <f>IF(OR(F254="",F254&lt;2,C254=""),"",IFERROR(C254-INDEX($C$5:$C$504,MATCH(A254&amp;"|"&amp;(F254-1),$G$5:$G$504,0)),""))</f>
      </c>
      <c r="I254" s="16">
        <f>IF(OR(F254="",F254&lt;2,B254=""),"",IFERROR(B254-INDEX($B$5:$B$504,MATCH(A254&amp;"|"&amp;(F254-1),$G$5:$G$504,0)),""))</f>
      </c>
      <c r="J254" s="18">
        <f>IF(OR(H254="",I254="",I254=0),"",H254/I254)</f>
      </c>
    </row>
    <row r="255" spans="1:10" x14ac:dyDescent="0.25">
      <c r="A255" s="11"/>
      <c r="B255" s="12"/>
      <c r="C255" s="19"/>
      <c r="D255" s="15">
        <f>IF(A255="","",IFERROR(INDEX(Ejemplares!$F$5:$F$64,MATCH(A255,Ejemplares!$A$5:$A$64,0)),""))</f>
      </c>
      <c r="E255" s="11"/>
      <c r="F255" s="16">
        <f>IF(A255="","",COUNTIF($A$5:$A255,A255))</f>
      </c>
      <c r="G255" s="15">
        <f>IF(A255="","",A255&amp;"|"&amp;F255)</f>
      </c>
      <c r="H255" s="17">
        <f>IF(OR(F255="",F255&lt;2,C255=""),"",IFERROR(C255-INDEX($C$5:$C$504,MATCH(A255&amp;"|"&amp;(F255-1),$G$5:$G$504,0)),""))</f>
      </c>
      <c r="I255" s="16">
        <f>IF(OR(F255="",F255&lt;2,B255=""),"",IFERROR(B255-INDEX($B$5:$B$504,MATCH(A255&amp;"|"&amp;(F255-1),$G$5:$G$504,0)),""))</f>
      </c>
      <c r="J255" s="18">
        <f>IF(OR(H255="",I255="",I255=0),"",H255/I255)</f>
      </c>
    </row>
    <row r="256" spans="1:10" x14ac:dyDescent="0.25">
      <c r="A256" s="11"/>
      <c r="B256" s="12"/>
      <c r="C256" s="19"/>
      <c r="D256" s="15">
        <f>IF(A256="","",IFERROR(INDEX(Ejemplares!$F$5:$F$64,MATCH(A256,Ejemplares!$A$5:$A$64,0)),""))</f>
      </c>
      <c r="E256" s="11"/>
      <c r="F256" s="16">
        <f>IF(A256="","",COUNTIF($A$5:$A256,A256))</f>
      </c>
      <c r="G256" s="15">
        <f>IF(A256="","",A256&amp;"|"&amp;F256)</f>
      </c>
      <c r="H256" s="17">
        <f>IF(OR(F256="",F256&lt;2,C256=""),"",IFERROR(C256-INDEX($C$5:$C$504,MATCH(A256&amp;"|"&amp;(F256-1),$G$5:$G$504,0)),""))</f>
      </c>
      <c r="I256" s="16">
        <f>IF(OR(F256="",F256&lt;2,B256=""),"",IFERROR(B256-INDEX($B$5:$B$504,MATCH(A256&amp;"|"&amp;(F256-1),$G$5:$G$504,0)),""))</f>
      </c>
      <c r="J256" s="18">
        <f>IF(OR(H256="",I256="",I256=0),"",H256/I256)</f>
      </c>
    </row>
    <row r="257" spans="1:10" x14ac:dyDescent="0.25">
      <c r="A257" s="11"/>
      <c r="B257" s="12"/>
      <c r="C257" s="19"/>
      <c r="D257" s="15">
        <f>IF(A257="","",IFERROR(INDEX(Ejemplares!$F$5:$F$64,MATCH(A257,Ejemplares!$A$5:$A$64,0)),""))</f>
      </c>
      <c r="E257" s="11"/>
      <c r="F257" s="16">
        <f>IF(A257="","",COUNTIF($A$5:$A257,A257))</f>
      </c>
      <c r="G257" s="15">
        <f>IF(A257="","",A257&amp;"|"&amp;F257)</f>
      </c>
      <c r="H257" s="17">
        <f>IF(OR(F257="",F257&lt;2,C257=""),"",IFERROR(C257-INDEX($C$5:$C$504,MATCH(A257&amp;"|"&amp;(F257-1),$G$5:$G$504,0)),""))</f>
      </c>
      <c r="I257" s="16">
        <f>IF(OR(F257="",F257&lt;2,B257=""),"",IFERROR(B257-INDEX($B$5:$B$504,MATCH(A257&amp;"|"&amp;(F257-1),$G$5:$G$504,0)),""))</f>
      </c>
      <c r="J257" s="18">
        <f>IF(OR(H257="",I257="",I257=0),"",H257/I257)</f>
      </c>
    </row>
    <row r="258" spans="1:10" x14ac:dyDescent="0.25">
      <c r="A258" s="11"/>
      <c r="B258" s="12"/>
      <c r="C258" s="19"/>
      <c r="D258" s="15">
        <f>IF(A258="","",IFERROR(INDEX(Ejemplares!$F$5:$F$64,MATCH(A258,Ejemplares!$A$5:$A$64,0)),""))</f>
      </c>
      <c r="E258" s="11"/>
      <c r="F258" s="16">
        <f>IF(A258="","",COUNTIF($A$5:$A258,A258))</f>
      </c>
      <c r="G258" s="15">
        <f>IF(A258="","",A258&amp;"|"&amp;F258)</f>
      </c>
      <c r="H258" s="17">
        <f>IF(OR(F258="",F258&lt;2,C258=""),"",IFERROR(C258-INDEX($C$5:$C$504,MATCH(A258&amp;"|"&amp;(F258-1),$G$5:$G$504,0)),""))</f>
      </c>
      <c r="I258" s="16">
        <f>IF(OR(F258="",F258&lt;2,B258=""),"",IFERROR(B258-INDEX($B$5:$B$504,MATCH(A258&amp;"|"&amp;(F258-1),$G$5:$G$504,0)),""))</f>
      </c>
      <c r="J258" s="18">
        <f>IF(OR(H258="",I258="",I258=0),"",H258/I258)</f>
      </c>
    </row>
    <row r="259" spans="1:10" x14ac:dyDescent="0.25">
      <c r="A259" s="11"/>
      <c r="B259" s="12"/>
      <c r="C259" s="19"/>
      <c r="D259" s="15">
        <f>IF(A259="","",IFERROR(INDEX(Ejemplares!$F$5:$F$64,MATCH(A259,Ejemplares!$A$5:$A$64,0)),""))</f>
      </c>
      <c r="E259" s="11"/>
      <c r="F259" s="16">
        <f>IF(A259="","",COUNTIF($A$5:$A259,A259))</f>
      </c>
      <c r="G259" s="15">
        <f>IF(A259="","",A259&amp;"|"&amp;F259)</f>
      </c>
      <c r="H259" s="17">
        <f>IF(OR(F259="",F259&lt;2,C259=""),"",IFERROR(C259-INDEX($C$5:$C$504,MATCH(A259&amp;"|"&amp;(F259-1),$G$5:$G$504,0)),""))</f>
      </c>
      <c r="I259" s="16">
        <f>IF(OR(F259="",F259&lt;2,B259=""),"",IFERROR(B259-INDEX($B$5:$B$504,MATCH(A259&amp;"|"&amp;(F259-1),$G$5:$G$504,0)),""))</f>
      </c>
      <c r="J259" s="18">
        <f>IF(OR(H259="",I259="",I259=0),"",H259/I259)</f>
      </c>
    </row>
    <row r="260" spans="1:10" x14ac:dyDescent="0.25">
      <c r="A260" s="11"/>
      <c r="B260" s="12"/>
      <c r="C260" s="19"/>
      <c r="D260" s="15">
        <f>IF(A260="","",IFERROR(INDEX(Ejemplares!$F$5:$F$64,MATCH(A260,Ejemplares!$A$5:$A$64,0)),""))</f>
      </c>
      <c r="E260" s="11"/>
      <c r="F260" s="16">
        <f>IF(A260="","",COUNTIF($A$5:$A260,A260))</f>
      </c>
      <c r="G260" s="15">
        <f>IF(A260="","",A260&amp;"|"&amp;F260)</f>
      </c>
      <c r="H260" s="17">
        <f>IF(OR(F260="",F260&lt;2,C260=""),"",IFERROR(C260-INDEX($C$5:$C$504,MATCH(A260&amp;"|"&amp;(F260-1),$G$5:$G$504,0)),""))</f>
      </c>
      <c r="I260" s="16">
        <f>IF(OR(F260="",F260&lt;2,B260=""),"",IFERROR(B260-INDEX($B$5:$B$504,MATCH(A260&amp;"|"&amp;(F260-1),$G$5:$G$504,0)),""))</f>
      </c>
      <c r="J260" s="18">
        <f>IF(OR(H260="",I260="",I260=0),"",H260/I260)</f>
      </c>
    </row>
    <row r="261" spans="1:10" x14ac:dyDescent="0.25">
      <c r="A261" s="11"/>
      <c r="B261" s="12"/>
      <c r="C261" s="19"/>
      <c r="D261" s="15">
        <f>IF(A261="","",IFERROR(INDEX(Ejemplares!$F$5:$F$64,MATCH(A261,Ejemplares!$A$5:$A$64,0)),""))</f>
      </c>
      <c r="E261" s="11"/>
      <c r="F261" s="16">
        <f>IF(A261="","",COUNTIF($A$5:$A261,A261))</f>
      </c>
      <c r="G261" s="15">
        <f>IF(A261="","",A261&amp;"|"&amp;F261)</f>
      </c>
      <c r="H261" s="17">
        <f>IF(OR(F261="",F261&lt;2,C261=""),"",IFERROR(C261-INDEX($C$5:$C$504,MATCH(A261&amp;"|"&amp;(F261-1),$G$5:$G$504,0)),""))</f>
      </c>
      <c r="I261" s="16">
        <f>IF(OR(F261="",F261&lt;2,B261=""),"",IFERROR(B261-INDEX($B$5:$B$504,MATCH(A261&amp;"|"&amp;(F261-1),$G$5:$G$504,0)),""))</f>
      </c>
      <c r="J261" s="18">
        <f>IF(OR(H261="",I261="",I261=0),"",H261/I261)</f>
      </c>
    </row>
    <row r="262" spans="1:10" x14ac:dyDescent="0.25">
      <c r="A262" s="11"/>
      <c r="B262" s="12"/>
      <c r="C262" s="19"/>
      <c r="D262" s="15">
        <f>IF(A262="","",IFERROR(INDEX(Ejemplares!$F$5:$F$64,MATCH(A262,Ejemplares!$A$5:$A$64,0)),""))</f>
      </c>
      <c r="E262" s="11"/>
      <c r="F262" s="16">
        <f>IF(A262="","",COUNTIF($A$5:$A262,A262))</f>
      </c>
      <c r="G262" s="15">
        <f>IF(A262="","",A262&amp;"|"&amp;F262)</f>
      </c>
      <c r="H262" s="17">
        <f>IF(OR(F262="",F262&lt;2,C262=""),"",IFERROR(C262-INDEX($C$5:$C$504,MATCH(A262&amp;"|"&amp;(F262-1),$G$5:$G$504,0)),""))</f>
      </c>
      <c r="I262" s="16">
        <f>IF(OR(F262="",F262&lt;2,B262=""),"",IFERROR(B262-INDEX($B$5:$B$504,MATCH(A262&amp;"|"&amp;(F262-1),$G$5:$G$504,0)),""))</f>
      </c>
      <c r="J262" s="18">
        <f>IF(OR(H262="",I262="",I262=0),"",H262/I262)</f>
      </c>
    </row>
    <row r="263" spans="1:10" x14ac:dyDescent="0.25">
      <c r="A263" s="11"/>
      <c r="B263" s="12"/>
      <c r="C263" s="19"/>
      <c r="D263" s="15">
        <f>IF(A263="","",IFERROR(INDEX(Ejemplares!$F$5:$F$64,MATCH(A263,Ejemplares!$A$5:$A$64,0)),""))</f>
      </c>
      <c r="E263" s="11"/>
      <c r="F263" s="16">
        <f>IF(A263="","",COUNTIF($A$5:$A263,A263))</f>
      </c>
      <c r="G263" s="15">
        <f>IF(A263="","",A263&amp;"|"&amp;F263)</f>
      </c>
      <c r="H263" s="17">
        <f>IF(OR(F263="",F263&lt;2,C263=""),"",IFERROR(C263-INDEX($C$5:$C$504,MATCH(A263&amp;"|"&amp;(F263-1),$G$5:$G$504,0)),""))</f>
      </c>
      <c r="I263" s="16">
        <f>IF(OR(F263="",F263&lt;2,B263=""),"",IFERROR(B263-INDEX($B$5:$B$504,MATCH(A263&amp;"|"&amp;(F263-1),$G$5:$G$504,0)),""))</f>
      </c>
      <c r="J263" s="18">
        <f>IF(OR(H263="",I263="",I263=0),"",H263/I263)</f>
      </c>
    </row>
    <row r="264" spans="1:10" x14ac:dyDescent="0.25">
      <c r="A264" s="11"/>
      <c r="B264" s="12"/>
      <c r="C264" s="19"/>
      <c r="D264" s="15">
        <f>IF(A264="","",IFERROR(INDEX(Ejemplares!$F$5:$F$64,MATCH(A264,Ejemplares!$A$5:$A$64,0)),""))</f>
      </c>
      <c r="E264" s="11"/>
      <c r="F264" s="16">
        <f>IF(A264="","",COUNTIF($A$5:$A264,A264))</f>
      </c>
      <c r="G264" s="15">
        <f>IF(A264="","",A264&amp;"|"&amp;F264)</f>
      </c>
      <c r="H264" s="17">
        <f>IF(OR(F264="",F264&lt;2,C264=""),"",IFERROR(C264-INDEX($C$5:$C$504,MATCH(A264&amp;"|"&amp;(F264-1),$G$5:$G$504,0)),""))</f>
      </c>
      <c r="I264" s="16">
        <f>IF(OR(F264="",F264&lt;2,B264=""),"",IFERROR(B264-INDEX($B$5:$B$504,MATCH(A264&amp;"|"&amp;(F264-1),$G$5:$G$504,0)),""))</f>
      </c>
      <c r="J264" s="18">
        <f>IF(OR(H264="",I264="",I264=0),"",H264/I264)</f>
      </c>
    </row>
    <row r="265" spans="1:10" x14ac:dyDescent="0.25">
      <c r="A265" s="11"/>
      <c r="B265" s="12"/>
      <c r="C265" s="19"/>
      <c r="D265" s="15">
        <f>IF(A265="","",IFERROR(INDEX(Ejemplares!$F$5:$F$64,MATCH(A265,Ejemplares!$A$5:$A$64,0)),""))</f>
      </c>
      <c r="E265" s="11"/>
      <c r="F265" s="16">
        <f>IF(A265="","",COUNTIF($A$5:$A265,A265))</f>
      </c>
      <c r="G265" s="15">
        <f>IF(A265="","",A265&amp;"|"&amp;F265)</f>
      </c>
      <c r="H265" s="17">
        <f>IF(OR(F265="",F265&lt;2,C265=""),"",IFERROR(C265-INDEX($C$5:$C$504,MATCH(A265&amp;"|"&amp;(F265-1),$G$5:$G$504,0)),""))</f>
      </c>
      <c r="I265" s="16">
        <f>IF(OR(F265="",F265&lt;2,B265=""),"",IFERROR(B265-INDEX($B$5:$B$504,MATCH(A265&amp;"|"&amp;(F265-1),$G$5:$G$504,0)),""))</f>
      </c>
      <c r="J265" s="18">
        <f>IF(OR(H265="",I265="",I265=0),"",H265/I265)</f>
      </c>
    </row>
    <row r="266" spans="1:10" x14ac:dyDescent="0.25">
      <c r="A266" s="11"/>
      <c r="B266" s="12"/>
      <c r="C266" s="19"/>
      <c r="D266" s="15">
        <f>IF(A266="","",IFERROR(INDEX(Ejemplares!$F$5:$F$64,MATCH(A266,Ejemplares!$A$5:$A$64,0)),""))</f>
      </c>
      <c r="E266" s="11"/>
      <c r="F266" s="16">
        <f>IF(A266="","",COUNTIF($A$5:$A266,A266))</f>
      </c>
      <c r="G266" s="15">
        <f>IF(A266="","",A266&amp;"|"&amp;F266)</f>
      </c>
      <c r="H266" s="17">
        <f>IF(OR(F266="",F266&lt;2,C266=""),"",IFERROR(C266-INDEX($C$5:$C$504,MATCH(A266&amp;"|"&amp;(F266-1),$G$5:$G$504,0)),""))</f>
      </c>
      <c r="I266" s="16">
        <f>IF(OR(F266="",F266&lt;2,B266=""),"",IFERROR(B266-INDEX($B$5:$B$504,MATCH(A266&amp;"|"&amp;(F266-1),$G$5:$G$504,0)),""))</f>
      </c>
      <c r="J266" s="18">
        <f>IF(OR(H266="",I266="",I266=0),"",H266/I266)</f>
      </c>
    </row>
    <row r="267" spans="1:10" x14ac:dyDescent="0.25">
      <c r="A267" s="11"/>
      <c r="B267" s="12"/>
      <c r="C267" s="19"/>
      <c r="D267" s="15">
        <f>IF(A267="","",IFERROR(INDEX(Ejemplares!$F$5:$F$64,MATCH(A267,Ejemplares!$A$5:$A$64,0)),""))</f>
      </c>
      <c r="E267" s="11"/>
      <c r="F267" s="16">
        <f>IF(A267="","",COUNTIF($A$5:$A267,A267))</f>
      </c>
      <c r="G267" s="15">
        <f>IF(A267="","",A267&amp;"|"&amp;F267)</f>
      </c>
      <c r="H267" s="17">
        <f>IF(OR(F267="",F267&lt;2,C267=""),"",IFERROR(C267-INDEX($C$5:$C$504,MATCH(A267&amp;"|"&amp;(F267-1),$G$5:$G$504,0)),""))</f>
      </c>
      <c r="I267" s="16">
        <f>IF(OR(F267="",F267&lt;2,B267=""),"",IFERROR(B267-INDEX($B$5:$B$504,MATCH(A267&amp;"|"&amp;(F267-1),$G$5:$G$504,0)),""))</f>
      </c>
      <c r="J267" s="18">
        <f>IF(OR(H267="",I267="",I267=0),"",H267/I267)</f>
      </c>
    </row>
    <row r="268" spans="1:10" x14ac:dyDescent="0.25">
      <c r="A268" s="11"/>
      <c r="B268" s="12"/>
      <c r="C268" s="19"/>
      <c r="D268" s="15">
        <f>IF(A268="","",IFERROR(INDEX(Ejemplares!$F$5:$F$64,MATCH(A268,Ejemplares!$A$5:$A$64,0)),""))</f>
      </c>
      <c r="E268" s="11"/>
      <c r="F268" s="16">
        <f>IF(A268="","",COUNTIF($A$5:$A268,A268))</f>
      </c>
      <c r="G268" s="15">
        <f>IF(A268="","",A268&amp;"|"&amp;F268)</f>
      </c>
      <c r="H268" s="17">
        <f>IF(OR(F268="",F268&lt;2,C268=""),"",IFERROR(C268-INDEX($C$5:$C$504,MATCH(A268&amp;"|"&amp;(F268-1),$G$5:$G$504,0)),""))</f>
      </c>
      <c r="I268" s="16">
        <f>IF(OR(F268="",F268&lt;2,B268=""),"",IFERROR(B268-INDEX($B$5:$B$504,MATCH(A268&amp;"|"&amp;(F268-1),$G$5:$G$504,0)),""))</f>
      </c>
      <c r="J268" s="18">
        <f>IF(OR(H268="",I268="",I268=0),"",H268/I268)</f>
      </c>
    </row>
    <row r="269" spans="1:10" x14ac:dyDescent="0.25">
      <c r="A269" s="11"/>
      <c r="B269" s="12"/>
      <c r="C269" s="19"/>
      <c r="D269" s="15">
        <f>IF(A269="","",IFERROR(INDEX(Ejemplares!$F$5:$F$64,MATCH(A269,Ejemplares!$A$5:$A$64,0)),""))</f>
      </c>
      <c r="E269" s="11"/>
      <c r="F269" s="16">
        <f>IF(A269="","",COUNTIF($A$5:$A269,A269))</f>
      </c>
      <c r="G269" s="15">
        <f>IF(A269="","",A269&amp;"|"&amp;F269)</f>
      </c>
      <c r="H269" s="17">
        <f>IF(OR(F269="",F269&lt;2,C269=""),"",IFERROR(C269-INDEX($C$5:$C$504,MATCH(A269&amp;"|"&amp;(F269-1),$G$5:$G$504,0)),""))</f>
      </c>
      <c r="I269" s="16">
        <f>IF(OR(F269="",F269&lt;2,B269=""),"",IFERROR(B269-INDEX($B$5:$B$504,MATCH(A269&amp;"|"&amp;(F269-1),$G$5:$G$504,0)),""))</f>
      </c>
      <c r="J269" s="18">
        <f>IF(OR(H269="",I269="",I269=0),"",H269/I269)</f>
      </c>
    </row>
    <row r="270" spans="1:10" x14ac:dyDescent="0.25">
      <c r="A270" s="11"/>
      <c r="B270" s="12"/>
      <c r="C270" s="19"/>
      <c r="D270" s="15">
        <f>IF(A270="","",IFERROR(INDEX(Ejemplares!$F$5:$F$64,MATCH(A270,Ejemplares!$A$5:$A$64,0)),""))</f>
      </c>
      <c r="E270" s="11"/>
      <c r="F270" s="16">
        <f>IF(A270="","",COUNTIF($A$5:$A270,A270))</f>
      </c>
      <c r="G270" s="15">
        <f>IF(A270="","",A270&amp;"|"&amp;F270)</f>
      </c>
      <c r="H270" s="17">
        <f>IF(OR(F270="",F270&lt;2,C270=""),"",IFERROR(C270-INDEX($C$5:$C$504,MATCH(A270&amp;"|"&amp;(F270-1),$G$5:$G$504,0)),""))</f>
      </c>
      <c r="I270" s="16">
        <f>IF(OR(F270="",F270&lt;2,B270=""),"",IFERROR(B270-INDEX($B$5:$B$504,MATCH(A270&amp;"|"&amp;(F270-1),$G$5:$G$504,0)),""))</f>
      </c>
      <c r="J270" s="18">
        <f>IF(OR(H270="",I270="",I270=0),"",H270/I270)</f>
      </c>
    </row>
    <row r="271" spans="1:10" x14ac:dyDescent="0.25">
      <c r="A271" s="11"/>
      <c r="B271" s="12"/>
      <c r="C271" s="19"/>
      <c r="D271" s="15">
        <f>IF(A271="","",IFERROR(INDEX(Ejemplares!$F$5:$F$64,MATCH(A271,Ejemplares!$A$5:$A$64,0)),""))</f>
      </c>
      <c r="E271" s="11"/>
      <c r="F271" s="16">
        <f>IF(A271="","",COUNTIF($A$5:$A271,A271))</f>
      </c>
      <c r="G271" s="15">
        <f>IF(A271="","",A271&amp;"|"&amp;F271)</f>
      </c>
      <c r="H271" s="17">
        <f>IF(OR(F271="",F271&lt;2,C271=""),"",IFERROR(C271-INDEX($C$5:$C$504,MATCH(A271&amp;"|"&amp;(F271-1),$G$5:$G$504,0)),""))</f>
      </c>
      <c r="I271" s="16">
        <f>IF(OR(F271="",F271&lt;2,B271=""),"",IFERROR(B271-INDEX($B$5:$B$504,MATCH(A271&amp;"|"&amp;(F271-1),$G$5:$G$504,0)),""))</f>
      </c>
      <c r="J271" s="18">
        <f>IF(OR(H271="",I271="",I271=0),"",H271/I271)</f>
      </c>
    </row>
    <row r="272" spans="1:10" x14ac:dyDescent="0.25">
      <c r="A272" s="11"/>
      <c r="B272" s="12"/>
      <c r="C272" s="19"/>
      <c r="D272" s="15">
        <f>IF(A272="","",IFERROR(INDEX(Ejemplares!$F$5:$F$64,MATCH(A272,Ejemplares!$A$5:$A$64,0)),""))</f>
      </c>
      <c r="E272" s="11"/>
      <c r="F272" s="16">
        <f>IF(A272="","",COUNTIF($A$5:$A272,A272))</f>
      </c>
      <c r="G272" s="15">
        <f>IF(A272="","",A272&amp;"|"&amp;F272)</f>
      </c>
      <c r="H272" s="17">
        <f>IF(OR(F272="",F272&lt;2,C272=""),"",IFERROR(C272-INDEX($C$5:$C$504,MATCH(A272&amp;"|"&amp;(F272-1),$G$5:$G$504,0)),""))</f>
      </c>
      <c r="I272" s="16">
        <f>IF(OR(F272="",F272&lt;2,B272=""),"",IFERROR(B272-INDEX($B$5:$B$504,MATCH(A272&amp;"|"&amp;(F272-1),$G$5:$G$504,0)),""))</f>
      </c>
      <c r="J272" s="18">
        <f>IF(OR(H272="",I272="",I272=0),"",H272/I272)</f>
      </c>
    </row>
    <row r="273" spans="1:10" x14ac:dyDescent="0.25">
      <c r="A273" s="11"/>
      <c r="B273" s="12"/>
      <c r="C273" s="19"/>
      <c r="D273" s="15">
        <f>IF(A273="","",IFERROR(INDEX(Ejemplares!$F$5:$F$64,MATCH(A273,Ejemplares!$A$5:$A$64,0)),""))</f>
      </c>
      <c r="E273" s="11"/>
      <c r="F273" s="16">
        <f>IF(A273="","",COUNTIF($A$5:$A273,A273))</f>
      </c>
      <c r="G273" s="15">
        <f>IF(A273="","",A273&amp;"|"&amp;F273)</f>
      </c>
      <c r="H273" s="17">
        <f>IF(OR(F273="",F273&lt;2,C273=""),"",IFERROR(C273-INDEX($C$5:$C$504,MATCH(A273&amp;"|"&amp;(F273-1),$G$5:$G$504,0)),""))</f>
      </c>
      <c r="I273" s="16">
        <f>IF(OR(F273="",F273&lt;2,B273=""),"",IFERROR(B273-INDEX($B$5:$B$504,MATCH(A273&amp;"|"&amp;(F273-1),$G$5:$G$504,0)),""))</f>
      </c>
      <c r="J273" s="18">
        <f>IF(OR(H273="",I273="",I273=0),"",H273/I273)</f>
      </c>
    </row>
    <row r="274" spans="1:10" x14ac:dyDescent="0.25">
      <c r="A274" s="11"/>
      <c r="B274" s="12"/>
      <c r="C274" s="19"/>
      <c r="D274" s="15">
        <f>IF(A274="","",IFERROR(INDEX(Ejemplares!$F$5:$F$64,MATCH(A274,Ejemplares!$A$5:$A$64,0)),""))</f>
      </c>
      <c r="E274" s="11"/>
      <c r="F274" s="16">
        <f>IF(A274="","",COUNTIF($A$5:$A274,A274))</f>
      </c>
      <c r="G274" s="15">
        <f>IF(A274="","",A274&amp;"|"&amp;F274)</f>
      </c>
      <c r="H274" s="17">
        <f>IF(OR(F274="",F274&lt;2,C274=""),"",IFERROR(C274-INDEX($C$5:$C$504,MATCH(A274&amp;"|"&amp;(F274-1),$G$5:$G$504,0)),""))</f>
      </c>
      <c r="I274" s="16">
        <f>IF(OR(F274="",F274&lt;2,B274=""),"",IFERROR(B274-INDEX($B$5:$B$504,MATCH(A274&amp;"|"&amp;(F274-1),$G$5:$G$504,0)),""))</f>
      </c>
      <c r="J274" s="18">
        <f>IF(OR(H274="",I274="",I274=0),"",H274/I274)</f>
      </c>
    </row>
    <row r="275" spans="1:10" x14ac:dyDescent="0.25">
      <c r="A275" s="11"/>
      <c r="B275" s="12"/>
      <c r="C275" s="19"/>
      <c r="D275" s="15">
        <f>IF(A275="","",IFERROR(INDEX(Ejemplares!$F$5:$F$64,MATCH(A275,Ejemplares!$A$5:$A$64,0)),""))</f>
      </c>
      <c r="E275" s="11"/>
      <c r="F275" s="16">
        <f>IF(A275="","",COUNTIF($A$5:$A275,A275))</f>
      </c>
      <c r="G275" s="15">
        <f>IF(A275="","",A275&amp;"|"&amp;F275)</f>
      </c>
      <c r="H275" s="17">
        <f>IF(OR(F275="",F275&lt;2,C275=""),"",IFERROR(C275-INDEX($C$5:$C$504,MATCH(A275&amp;"|"&amp;(F275-1),$G$5:$G$504,0)),""))</f>
      </c>
      <c r="I275" s="16">
        <f>IF(OR(F275="",F275&lt;2,B275=""),"",IFERROR(B275-INDEX($B$5:$B$504,MATCH(A275&amp;"|"&amp;(F275-1),$G$5:$G$504,0)),""))</f>
      </c>
      <c r="J275" s="18">
        <f>IF(OR(H275="",I275="",I275=0),"",H275/I275)</f>
      </c>
    </row>
    <row r="276" spans="1:10" x14ac:dyDescent="0.25">
      <c r="A276" s="11"/>
      <c r="B276" s="12"/>
      <c r="C276" s="19"/>
      <c r="D276" s="15">
        <f>IF(A276="","",IFERROR(INDEX(Ejemplares!$F$5:$F$64,MATCH(A276,Ejemplares!$A$5:$A$64,0)),""))</f>
      </c>
      <c r="E276" s="11"/>
      <c r="F276" s="16">
        <f>IF(A276="","",COUNTIF($A$5:$A276,A276))</f>
      </c>
      <c r="G276" s="15">
        <f>IF(A276="","",A276&amp;"|"&amp;F276)</f>
      </c>
      <c r="H276" s="17">
        <f>IF(OR(F276="",F276&lt;2,C276=""),"",IFERROR(C276-INDEX($C$5:$C$504,MATCH(A276&amp;"|"&amp;(F276-1),$G$5:$G$504,0)),""))</f>
      </c>
      <c r="I276" s="16">
        <f>IF(OR(F276="",F276&lt;2,B276=""),"",IFERROR(B276-INDEX($B$5:$B$504,MATCH(A276&amp;"|"&amp;(F276-1),$G$5:$G$504,0)),""))</f>
      </c>
      <c r="J276" s="18">
        <f>IF(OR(H276="",I276="",I276=0),"",H276/I276)</f>
      </c>
    </row>
    <row r="277" spans="1:10" x14ac:dyDescent="0.25">
      <c r="A277" s="11"/>
      <c r="B277" s="12"/>
      <c r="C277" s="19"/>
      <c r="D277" s="15">
        <f>IF(A277="","",IFERROR(INDEX(Ejemplares!$F$5:$F$64,MATCH(A277,Ejemplares!$A$5:$A$64,0)),""))</f>
      </c>
      <c r="E277" s="11"/>
      <c r="F277" s="16">
        <f>IF(A277="","",COUNTIF($A$5:$A277,A277))</f>
      </c>
      <c r="G277" s="15">
        <f>IF(A277="","",A277&amp;"|"&amp;F277)</f>
      </c>
      <c r="H277" s="17">
        <f>IF(OR(F277="",F277&lt;2,C277=""),"",IFERROR(C277-INDEX($C$5:$C$504,MATCH(A277&amp;"|"&amp;(F277-1),$G$5:$G$504,0)),""))</f>
      </c>
      <c r="I277" s="16">
        <f>IF(OR(F277="",F277&lt;2,B277=""),"",IFERROR(B277-INDEX($B$5:$B$504,MATCH(A277&amp;"|"&amp;(F277-1),$G$5:$G$504,0)),""))</f>
      </c>
      <c r="J277" s="18">
        <f>IF(OR(H277="",I277="",I277=0),"",H277/I277)</f>
      </c>
    </row>
    <row r="278" spans="1:10" x14ac:dyDescent="0.25">
      <c r="A278" s="11"/>
      <c r="B278" s="12"/>
      <c r="C278" s="19"/>
      <c r="D278" s="15">
        <f>IF(A278="","",IFERROR(INDEX(Ejemplares!$F$5:$F$64,MATCH(A278,Ejemplares!$A$5:$A$64,0)),""))</f>
      </c>
      <c r="E278" s="11"/>
      <c r="F278" s="16">
        <f>IF(A278="","",COUNTIF($A$5:$A278,A278))</f>
      </c>
      <c r="G278" s="15">
        <f>IF(A278="","",A278&amp;"|"&amp;F278)</f>
      </c>
      <c r="H278" s="17">
        <f>IF(OR(F278="",F278&lt;2,C278=""),"",IFERROR(C278-INDEX($C$5:$C$504,MATCH(A278&amp;"|"&amp;(F278-1),$G$5:$G$504,0)),""))</f>
      </c>
      <c r="I278" s="16">
        <f>IF(OR(F278="",F278&lt;2,B278=""),"",IFERROR(B278-INDEX($B$5:$B$504,MATCH(A278&amp;"|"&amp;(F278-1),$G$5:$G$504,0)),""))</f>
      </c>
      <c r="J278" s="18">
        <f>IF(OR(H278="",I278="",I278=0),"",H278/I278)</f>
      </c>
    </row>
    <row r="279" spans="1:10" x14ac:dyDescent="0.25">
      <c r="A279" s="11"/>
      <c r="B279" s="12"/>
      <c r="C279" s="19"/>
      <c r="D279" s="15">
        <f>IF(A279="","",IFERROR(INDEX(Ejemplares!$F$5:$F$64,MATCH(A279,Ejemplares!$A$5:$A$64,0)),""))</f>
      </c>
      <c r="E279" s="11"/>
      <c r="F279" s="16">
        <f>IF(A279="","",COUNTIF($A$5:$A279,A279))</f>
      </c>
      <c r="G279" s="15">
        <f>IF(A279="","",A279&amp;"|"&amp;F279)</f>
      </c>
      <c r="H279" s="17">
        <f>IF(OR(F279="",F279&lt;2,C279=""),"",IFERROR(C279-INDEX($C$5:$C$504,MATCH(A279&amp;"|"&amp;(F279-1),$G$5:$G$504,0)),""))</f>
      </c>
      <c r="I279" s="16">
        <f>IF(OR(F279="",F279&lt;2,B279=""),"",IFERROR(B279-INDEX($B$5:$B$504,MATCH(A279&amp;"|"&amp;(F279-1),$G$5:$G$504,0)),""))</f>
      </c>
      <c r="J279" s="18">
        <f>IF(OR(H279="",I279="",I279=0),"",H279/I279)</f>
      </c>
    </row>
    <row r="280" spans="1:10" x14ac:dyDescent="0.25">
      <c r="A280" s="11"/>
      <c r="B280" s="12"/>
      <c r="C280" s="19"/>
      <c r="D280" s="15">
        <f>IF(A280="","",IFERROR(INDEX(Ejemplares!$F$5:$F$64,MATCH(A280,Ejemplares!$A$5:$A$64,0)),""))</f>
      </c>
      <c r="E280" s="11"/>
      <c r="F280" s="16">
        <f>IF(A280="","",COUNTIF($A$5:$A280,A280))</f>
      </c>
      <c r="G280" s="15">
        <f>IF(A280="","",A280&amp;"|"&amp;F280)</f>
      </c>
      <c r="H280" s="17">
        <f>IF(OR(F280="",F280&lt;2,C280=""),"",IFERROR(C280-INDEX($C$5:$C$504,MATCH(A280&amp;"|"&amp;(F280-1),$G$5:$G$504,0)),""))</f>
      </c>
      <c r="I280" s="16">
        <f>IF(OR(F280="",F280&lt;2,B280=""),"",IFERROR(B280-INDEX($B$5:$B$504,MATCH(A280&amp;"|"&amp;(F280-1),$G$5:$G$504,0)),""))</f>
      </c>
      <c r="J280" s="18">
        <f>IF(OR(H280="",I280="",I280=0),"",H280/I280)</f>
      </c>
    </row>
    <row r="281" spans="1:10" x14ac:dyDescent="0.25">
      <c r="A281" s="11"/>
      <c r="B281" s="12"/>
      <c r="C281" s="19"/>
      <c r="D281" s="15">
        <f>IF(A281="","",IFERROR(INDEX(Ejemplares!$F$5:$F$64,MATCH(A281,Ejemplares!$A$5:$A$64,0)),""))</f>
      </c>
      <c r="E281" s="11"/>
      <c r="F281" s="16">
        <f>IF(A281="","",COUNTIF($A$5:$A281,A281))</f>
      </c>
      <c r="G281" s="15">
        <f>IF(A281="","",A281&amp;"|"&amp;F281)</f>
      </c>
      <c r="H281" s="17">
        <f>IF(OR(F281="",F281&lt;2,C281=""),"",IFERROR(C281-INDEX($C$5:$C$504,MATCH(A281&amp;"|"&amp;(F281-1),$G$5:$G$504,0)),""))</f>
      </c>
      <c r="I281" s="16">
        <f>IF(OR(F281="",F281&lt;2,B281=""),"",IFERROR(B281-INDEX($B$5:$B$504,MATCH(A281&amp;"|"&amp;(F281-1),$G$5:$G$504,0)),""))</f>
      </c>
      <c r="J281" s="18">
        <f>IF(OR(H281="",I281="",I281=0),"",H281/I281)</f>
      </c>
    </row>
    <row r="282" spans="1:10" x14ac:dyDescent="0.25">
      <c r="A282" s="11"/>
      <c r="B282" s="12"/>
      <c r="C282" s="19"/>
      <c r="D282" s="15">
        <f>IF(A282="","",IFERROR(INDEX(Ejemplares!$F$5:$F$64,MATCH(A282,Ejemplares!$A$5:$A$64,0)),""))</f>
      </c>
      <c r="E282" s="11"/>
      <c r="F282" s="16">
        <f>IF(A282="","",COUNTIF($A$5:$A282,A282))</f>
      </c>
      <c r="G282" s="15">
        <f>IF(A282="","",A282&amp;"|"&amp;F282)</f>
      </c>
      <c r="H282" s="17">
        <f>IF(OR(F282="",F282&lt;2,C282=""),"",IFERROR(C282-INDEX($C$5:$C$504,MATCH(A282&amp;"|"&amp;(F282-1),$G$5:$G$504,0)),""))</f>
      </c>
      <c r="I282" s="16">
        <f>IF(OR(F282="",F282&lt;2,B282=""),"",IFERROR(B282-INDEX($B$5:$B$504,MATCH(A282&amp;"|"&amp;(F282-1),$G$5:$G$504,0)),""))</f>
      </c>
      <c r="J282" s="18">
        <f>IF(OR(H282="",I282="",I282=0),"",H282/I282)</f>
      </c>
    </row>
    <row r="283" spans="1:10" x14ac:dyDescent="0.25">
      <c r="A283" s="11"/>
      <c r="B283" s="12"/>
      <c r="C283" s="19"/>
      <c r="D283" s="15">
        <f>IF(A283="","",IFERROR(INDEX(Ejemplares!$F$5:$F$64,MATCH(A283,Ejemplares!$A$5:$A$64,0)),""))</f>
      </c>
      <c r="E283" s="11"/>
      <c r="F283" s="16">
        <f>IF(A283="","",COUNTIF($A$5:$A283,A283))</f>
      </c>
      <c r="G283" s="15">
        <f>IF(A283="","",A283&amp;"|"&amp;F283)</f>
      </c>
      <c r="H283" s="17">
        <f>IF(OR(F283="",F283&lt;2,C283=""),"",IFERROR(C283-INDEX($C$5:$C$504,MATCH(A283&amp;"|"&amp;(F283-1),$G$5:$G$504,0)),""))</f>
      </c>
      <c r="I283" s="16">
        <f>IF(OR(F283="",F283&lt;2,B283=""),"",IFERROR(B283-INDEX($B$5:$B$504,MATCH(A283&amp;"|"&amp;(F283-1),$G$5:$G$504,0)),""))</f>
      </c>
      <c r="J283" s="18">
        <f>IF(OR(H283="",I283="",I283=0),"",H283/I283)</f>
      </c>
    </row>
    <row r="284" spans="1:10" x14ac:dyDescent="0.25">
      <c r="A284" s="11"/>
      <c r="B284" s="12"/>
      <c r="C284" s="19"/>
      <c r="D284" s="15">
        <f>IF(A284="","",IFERROR(INDEX(Ejemplares!$F$5:$F$64,MATCH(A284,Ejemplares!$A$5:$A$64,0)),""))</f>
      </c>
      <c r="E284" s="11"/>
      <c r="F284" s="16">
        <f>IF(A284="","",COUNTIF($A$5:$A284,A284))</f>
      </c>
      <c r="G284" s="15">
        <f>IF(A284="","",A284&amp;"|"&amp;F284)</f>
      </c>
      <c r="H284" s="17">
        <f>IF(OR(F284="",F284&lt;2,C284=""),"",IFERROR(C284-INDEX($C$5:$C$504,MATCH(A284&amp;"|"&amp;(F284-1),$G$5:$G$504,0)),""))</f>
      </c>
      <c r="I284" s="16">
        <f>IF(OR(F284="",F284&lt;2,B284=""),"",IFERROR(B284-INDEX($B$5:$B$504,MATCH(A284&amp;"|"&amp;(F284-1),$G$5:$G$504,0)),""))</f>
      </c>
      <c r="J284" s="18">
        <f>IF(OR(H284="",I284="",I284=0),"",H284/I284)</f>
      </c>
    </row>
    <row r="285" spans="1:10" x14ac:dyDescent="0.25">
      <c r="A285" s="11"/>
      <c r="B285" s="12"/>
      <c r="C285" s="19"/>
      <c r="D285" s="15">
        <f>IF(A285="","",IFERROR(INDEX(Ejemplares!$F$5:$F$64,MATCH(A285,Ejemplares!$A$5:$A$64,0)),""))</f>
      </c>
      <c r="E285" s="11"/>
      <c r="F285" s="16">
        <f>IF(A285="","",COUNTIF($A$5:$A285,A285))</f>
      </c>
      <c r="G285" s="15">
        <f>IF(A285="","",A285&amp;"|"&amp;F285)</f>
      </c>
      <c r="H285" s="17">
        <f>IF(OR(F285="",F285&lt;2,C285=""),"",IFERROR(C285-INDEX($C$5:$C$504,MATCH(A285&amp;"|"&amp;(F285-1),$G$5:$G$504,0)),""))</f>
      </c>
      <c r="I285" s="16">
        <f>IF(OR(F285="",F285&lt;2,B285=""),"",IFERROR(B285-INDEX($B$5:$B$504,MATCH(A285&amp;"|"&amp;(F285-1),$G$5:$G$504,0)),""))</f>
      </c>
      <c r="J285" s="18">
        <f>IF(OR(H285="",I285="",I285=0),"",H285/I285)</f>
      </c>
    </row>
    <row r="286" spans="1:10" x14ac:dyDescent="0.25">
      <c r="A286" s="11"/>
      <c r="B286" s="12"/>
      <c r="C286" s="19"/>
      <c r="D286" s="15">
        <f>IF(A286="","",IFERROR(INDEX(Ejemplares!$F$5:$F$64,MATCH(A286,Ejemplares!$A$5:$A$64,0)),""))</f>
      </c>
      <c r="E286" s="11"/>
      <c r="F286" s="16">
        <f>IF(A286="","",COUNTIF($A$5:$A286,A286))</f>
      </c>
      <c r="G286" s="15">
        <f>IF(A286="","",A286&amp;"|"&amp;F286)</f>
      </c>
      <c r="H286" s="17">
        <f>IF(OR(F286="",F286&lt;2,C286=""),"",IFERROR(C286-INDEX($C$5:$C$504,MATCH(A286&amp;"|"&amp;(F286-1),$G$5:$G$504,0)),""))</f>
      </c>
      <c r="I286" s="16">
        <f>IF(OR(F286="",F286&lt;2,B286=""),"",IFERROR(B286-INDEX($B$5:$B$504,MATCH(A286&amp;"|"&amp;(F286-1),$G$5:$G$504,0)),""))</f>
      </c>
      <c r="J286" s="18">
        <f>IF(OR(H286="",I286="",I286=0),"",H286/I286)</f>
      </c>
    </row>
    <row r="287" spans="1:10" x14ac:dyDescent="0.25">
      <c r="A287" s="11"/>
      <c r="B287" s="12"/>
      <c r="C287" s="19"/>
      <c r="D287" s="15">
        <f>IF(A287="","",IFERROR(INDEX(Ejemplares!$F$5:$F$64,MATCH(A287,Ejemplares!$A$5:$A$64,0)),""))</f>
      </c>
      <c r="E287" s="11"/>
      <c r="F287" s="16">
        <f>IF(A287="","",COUNTIF($A$5:$A287,A287))</f>
      </c>
      <c r="G287" s="15">
        <f>IF(A287="","",A287&amp;"|"&amp;F287)</f>
      </c>
      <c r="H287" s="17">
        <f>IF(OR(F287="",F287&lt;2,C287=""),"",IFERROR(C287-INDEX($C$5:$C$504,MATCH(A287&amp;"|"&amp;(F287-1),$G$5:$G$504,0)),""))</f>
      </c>
      <c r="I287" s="16">
        <f>IF(OR(F287="",F287&lt;2,B287=""),"",IFERROR(B287-INDEX($B$5:$B$504,MATCH(A287&amp;"|"&amp;(F287-1),$G$5:$G$504,0)),""))</f>
      </c>
      <c r="J287" s="18">
        <f>IF(OR(H287="",I287="",I287=0),"",H287/I287)</f>
      </c>
    </row>
    <row r="288" spans="1:10" x14ac:dyDescent="0.25">
      <c r="A288" s="11"/>
      <c r="B288" s="12"/>
      <c r="C288" s="19"/>
      <c r="D288" s="15">
        <f>IF(A288="","",IFERROR(INDEX(Ejemplares!$F$5:$F$64,MATCH(A288,Ejemplares!$A$5:$A$64,0)),""))</f>
      </c>
      <c r="E288" s="11"/>
      <c r="F288" s="16">
        <f>IF(A288="","",COUNTIF($A$5:$A288,A288))</f>
      </c>
      <c r="G288" s="15">
        <f>IF(A288="","",A288&amp;"|"&amp;F288)</f>
      </c>
      <c r="H288" s="17">
        <f>IF(OR(F288="",F288&lt;2,C288=""),"",IFERROR(C288-INDEX($C$5:$C$504,MATCH(A288&amp;"|"&amp;(F288-1),$G$5:$G$504,0)),""))</f>
      </c>
      <c r="I288" s="16">
        <f>IF(OR(F288="",F288&lt;2,B288=""),"",IFERROR(B288-INDEX($B$5:$B$504,MATCH(A288&amp;"|"&amp;(F288-1),$G$5:$G$504,0)),""))</f>
      </c>
      <c r="J288" s="18">
        <f>IF(OR(H288="",I288="",I288=0),"",H288/I288)</f>
      </c>
    </row>
    <row r="289" spans="1:10" x14ac:dyDescent="0.25">
      <c r="A289" s="11"/>
      <c r="B289" s="12"/>
      <c r="C289" s="19"/>
      <c r="D289" s="15">
        <f>IF(A289="","",IFERROR(INDEX(Ejemplares!$F$5:$F$64,MATCH(A289,Ejemplares!$A$5:$A$64,0)),""))</f>
      </c>
      <c r="E289" s="11"/>
      <c r="F289" s="16">
        <f>IF(A289="","",COUNTIF($A$5:$A289,A289))</f>
      </c>
      <c r="G289" s="15">
        <f>IF(A289="","",A289&amp;"|"&amp;F289)</f>
      </c>
      <c r="H289" s="17">
        <f>IF(OR(F289="",F289&lt;2,C289=""),"",IFERROR(C289-INDEX($C$5:$C$504,MATCH(A289&amp;"|"&amp;(F289-1),$G$5:$G$504,0)),""))</f>
      </c>
      <c r="I289" s="16">
        <f>IF(OR(F289="",F289&lt;2,B289=""),"",IFERROR(B289-INDEX($B$5:$B$504,MATCH(A289&amp;"|"&amp;(F289-1),$G$5:$G$504,0)),""))</f>
      </c>
      <c r="J289" s="18">
        <f>IF(OR(H289="",I289="",I289=0),"",H289/I289)</f>
      </c>
    </row>
    <row r="290" spans="1:10" x14ac:dyDescent="0.25">
      <c r="A290" s="11"/>
      <c r="B290" s="12"/>
      <c r="C290" s="19"/>
      <c r="D290" s="15">
        <f>IF(A290="","",IFERROR(INDEX(Ejemplares!$F$5:$F$64,MATCH(A290,Ejemplares!$A$5:$A$64,0)),""))</f>
      </c>
      <c r="E290" s="11"/>
      <c r="F290" s="16">
        <f>IF(A290="","",COUNTIF($A$5:$A290,A290))</f>
      </c>
      <c r="G290" s="15">
        <f>IF(A290="","",A290&amp;"|"&amp;F290)</f>
      </c>
      <c r="H290" s="17">
        <f>IF(OR(F290="",F290&lt;2,C290=""),"",IFERROR(C290-INDEX($C$5:$C$504,MATCH(A290&amp;"|"&amp;(F290-1),$G$5:$G$504,0)),""))</f>
      </c>
      <c r="I290" s="16">
        <f>IF(OR(F290="",F290&lt;2,B290=""),"",IFERROR(B290-INDEX($B$5:$B$504,MATCH(A290&amp;"|"&amp;(F290-1),$G$5:$G$504,0)),""))</f>
      </c>
      <c r="J290" s="18">
        <f>IF(OR(H290="",I290="",I290=0),"",H290/I290)</f>
      </c>
    </row>
    <row r="291" spans="1:10" x14ac:dyDescent="0.25">
      <c r="A291" s="11"/>
      <c r="B291" s="12"/>
      <c r="C291" s="19"/>
      <c r="D291" s="15">
        <f>IF(A291="","",IFERROR(INDEX(Ejemplares!$F$5:$F$64,MATCH(A291,Ejemplares!$A$5:$A$64,0)),""))</f>
      </c>
      <c r="E291" s="11"/>
      <c r="F291" s="16">
        <f>IF(A291="","",COUNTIF($A$5:$A291,A291))</f>
      </c>
      <c r="G291" s="15">
        <f>IF(A291="","",A291&amp;"|"&amp;F291)</f>
      </c>
      <c r="H291" s="17">
        <f>IF(OR(F291="",F291&lt;2,C291=""),"",IFERROR(C291-INDEX($C$5:$C$504,MATCH(A291&amp;"|"&amp;(F291-1),$G$5:$G$504,0)),""))</f>
      </c>
      <c r="I291" s="16">
        <f>IF(OR(F291="",F291&lt;2,B291=""),"",IFERROR(B291-INDEX($B$5:$B$504,MATCH(A291&amp;"|"&amp;(F291-1),$G$5:$G$504,0)),""))</f>
      </c>
      <c r="J291" s="18">
        <f>IF(OR(H291="",I291="",I291=0),"",H291/I291)</f>
      </c>
    </row>
    <row r="292" spans="1:10" x14ac:dyDescent="0.25">
      <c r="A292" s="11"/>
      <c r="B292" s="12"/>
      <c r="C292" s="19"/>
      <c r="D292" s="15">
        <f>IF(A292="","",IFERROR(INDEX(Ejemplares!$F$5:$F$64,MATCH(A292,Ejemplares!$A$5:$A$64,0)),""))</f>
      </c>
      <c r="E292" s="11"/>
      <c r="F292" s="16">
        <f>IF(A292="","",COUNTIF($A$5:$A292,A292))</f>
      </c>
      <c r="G292" s="15">
        <f>IF(A292="","",A292&amp;"|"&amp;F292)</f>
      </c>
      <c r="H292" s="17">
        <f>IF(OR(F292="",F292&lt;2,C292=""),"",IFERROR(C292-INDEX($C$5:$C$504,MATCH(A292&amp;"|"&amp;(F292-1),$G$5:$G$504,0)),""))</f>
      </c>
      <c r="I292" s="16">
        <f>IF(OR(F292="",F292&lt;2,B292=""),"",IFERROR(B292-INDEX($B$5:$B$504,MATCH(A292&amp;"|"&amp;(F292-1),$G$5:$G$504,0)),""))</f>
      </c>
      <c r="J292" s="18">
        <f>IF(OR(H292="",I292="",I292=0),"",H292/I292)</f>
      </c>
    </row>
    <row r="293" spans="1:10" x14ac:dyDescent="0.25">
      <c r="A293" s="11"/>
      <c r="B293" s="12"/>
      <c r="C293" s="19"/>
      <c r="D293" s="15">
        <f>IF(A293="","",IFERROR(INDEX(Ejemplares!$F$5:$F$64,MATCH(A293,Ejemplares!$A$5:$A$64,0)),""))</f>
      </c>
      <c r="E293" s="11"/>
      <c r="F293" s="16">
        <f>IF(A293="","",COUNTIF($A$5:$A293,A293))</f>
      </c>
      <c r="G293" s="15">
        <f>IF(A293="","",A293&amp;"|"&amp;F293)</f>
      </c>
      <c r="H293" s="17">
        <f>IF(OR(F293="",F293&lt;2,C293=""),"",IFERROR(C293-INDEX($C$5:$C$504,MATCH(A293&amp;"|"&amp;(F293-1),$G$5:$G$504,0)),""))</f>
      </c>
      <c r="I293" s="16">
        <f>IF(OR(F293="",F293&lt;2,B293=""),"",IFERROR(B293-INDEX($B$5:$B$504,MATCH(A293&amp;"|"&amp;(F293-1),$G$5:$G$504,0)),""))</f>
      </c>
      <c r="J293" s="18">
        <f>IF(OR(H293="",I293="",I293=0),"",H293/I293)</f>
      </c>
    </row>
    <row r="294" spans="1:10" x14ac:dyDescent="0.25">
      <c r="A294" s="11"/>
      <c r="B294" s="12"/>
      <c r="C294" s="19"/>
      <c r="D294" s="15">
        <f>IF(A294="","",IFERROR(INDEX(Ejemplares!$F$5:$F$64,MATCH(A294,Ejemplares!$A$5:$A$64,0)),""))</f>
      </c>
      <c r="E294" s="11"/>
      <c r="F294" s="16">
        <f>IF(A294="","",COUNTIF($A$5:$A294,A294))</f>
      </c>
      <c r="G294" s="15">
        <f>IF(A294="","",A294&amp;"|"&amp;F294)</f>
      </c>
      <c r="H294" s="17">
        <f>IF(OR(F294="",F294&lt;2,C294=""),"",IFERROR(C294-INDEX($C$5:$C$504,MATCH(A294&amp;"|"&amp;(F294-1),$G$5:$G$504,0)),""))</f>
      </c>
      <c r="I294" s="16">
        <f>IF(OR(F294="",F294&lt;2,B294=""),"",IFERROR(B294-INDEX($B$5:$B$504,MATCH(A294&amp;"|"&amp;(F294-1),$G$5:$G$504,0)),""))</f>
      </c>
      <c r="J294" s="18">
        <f>IF(OR(H294="",I294="",I294=0),"",H294/I294)</f>
      </c>
    </row>
    <row r="295" spans="1:10" x14ac:dyDescent="0.25">
      <c r="A295" s="11"/>
      <c r="B295" s="12"/>
      <c r="C295" s="19"/>
      <c r="D295" s="15">
        <f>IF(A295="","",IFERROR(INDEX(Ejemplares!$F$5:$F$64,MATCH(A295,Ejemplares!$A$5:$A$64,0)),""))</f>
      </c>
      <c r="E295" s="11"/>
      <c r="F295" s="16">
        <f>IF(A295="","",COUNTIF($A$5:$A295,A295))</f>
      </c>
      <c r="G295" s="15">
        <f>IF(A295="","",A295&amp;"|"&amp;F295)</f>
      </c>
      <c r="H295" s="17">
        <f>IF(OR(F295="",F295&lt;2,C295=""),"",IFERROR(C295-INDEX($C$5:$C$504,MATCH(A295&amp;"|"&amp;(F295-1),$G$5:$G$504,0)),""))</f>
      </c>
      <c r="I295" s="16">
        <f>IF(OR(F295="",F295&lt;2,B295=""),"",IFERROR(B295-INDEX($B$5:$B$504,MATCH(A295&amp;"|"&amp;(F295-1),$G$5:$G$504,0)),""))</f>
      </c>
      <c r="J295" s="18">
        <f>IF(OR(H295="",I295="",I295=0),"",H295/I295)</f>
      </c>
    </row>
    <row r="296" spans="1:10" x14ac:dyDescent="0.25">
      <c r="A296" s="11"/>
      <c r="B296" s="12"/>
      <c r="C296" s="19"/>
      <c r="D296" s="15">
        <f>IF(A296="","",IFERROR(INDEX(Ejemplares!$F$5:$F$64,MATCH(A296,Ejemplares!$A$5:$A$64,0)),""))</f>
      </c>
      <c r="E296" s="11"/>
      <c r="F296" s="16">
        <f>IF(A296="","",COUNTIF($A$5:$A296,A296))</f>
      </c>
      <c r="G296" s="15">
        <f>IF(A296="","",A296&amp;"|"&amp;F296)</f>
      </c>
      <c r="H296" s="17">
        <f>IF(OR(F296="",F296&lt;2,C296=""),"",IFERROR(C296-INDEX($C$5:$C$504,MATCH(A296&amp;"|"&amp;(F296-1),$G$5:$G$504,0)),""))</f>
      </c>
      <c r="I296" s="16">
        <f>IF(OR(F296="",F296&lt;2,B296=""),"",IFERROR(B296-INDEX($B$5:$B$504,MATCH(A296&amp;"|"&amp;(F296-1),$G$5:$G$504,0)),""))</f>
      </c>
      <c r="J296" s="18">
        <f>IF(OR(H296="",I296="",I296=0),"",H296/I296)</f>
      </c>
    </row>
    <row r="297" spans="1:10" x14ac:dyDescent="0.25">
      <c r="A297" s="11"/>
      <c r="B297" s="12"/>
      <c r="C297" s="19"/>
      <c r="D297" s="15">
        <f>IF(A297="","",IFERROR(INDEX(Ejemplares!$F$5:$F$64,MATCH(A297,Ejemplares!$A$5:$A$64,0)),""))</f>
      </c>
      <c r="E297" s="11"/>
      <c r="F297" s="16">
        <f>IF(A297="","",COUNTIF($A$5:$A297,A297))</f>
      </c>
      <c r="G297" s="15">
        <f>IF(A297="","",A297&amp;"|"&amp;F297)</f>
      </c>
      <c r="H297" s="17">
        <f>IF(OR(F297="",F297&lt;2,C297=""),"",IFERROR(C297-INDEX($C$5:$C$504,MATCH(A297&amp;"|"&amp;(F297-1),$G$5:$G$504,0)),""))</f>
      </c>
      <c r="I297" s="16">
        <f>IF(OR(F297="",F297&lt;2,B297=""),"",IFERROR(B297-INDEX($B$5:$B$504,MATCH(A297&amp;"|"&amp;(F297-1),$G$5:$G$504,0)),""))</f>
      </c>
      <c r="J297" s="18">
        <f>IF(OR(H297="",I297="",I297=0),"",H297/I297)</f>
      </c>
    </row>
    <row r="298" spans="1:10" x14ac:dyDescent="0.25">
      <c r="A298" s="11"/>
      <c r="B298" s="12"/>
      <c r="C298" s="19"/>
      <c r="D298" s="15">
        <f>IF(A298="","",IFERROR(INDEX(Ejemplares!$F$5:$F$64,MATCH(A298,Ejemplares!$A$5:$A$64,0)),""))</f>
      </c>
      <c r="E298" s="11"/>
      <c r="F298" s="16">
        <f>IF(A298="","",COUNTIF($A$5:$A298,A298))</f>
      </c>
      <c r="G298" s="15">
        <f>IF(A298="","",A298&amp;"|"&amp;F298)</f>
      </c>
      <c r="H298" s="17">
        <f>IF(OR(F298="",F298&lt;2,C298=""),"",IFERROR(C298-INDEX($C$5:$C$504,MATCH(A298&amp;"|"&amp;(F298-1),$G$5:$G$504,0)),""))</f>
      </c>
      <c r="I298" s="16">
        <f>IF(OR(F298="",F298&lt;2,B298=""),"",IFERROR(B298-INDEX($B$5:$B$504,MATCH(A298&amp;"|"&amp;(F298-1),$G$5:$G$504,0)),""))</f>
      </c>
      <c r="J298" s="18">
        <f>IF(OR(H298="",I298="",I298=0),"",H298/I298)</f>
      </c>
    </row>
    <row r="299" spans="1:10" x14ac:dyDescent="0.25">
      <c r="A299" s="11"/>
      <c r="B299" s="12"/>
      <c r="C299" s="19"/>
      <c r="D299" s="15">
        <f>IF(A299="","",IFERROR(INDEX(Ejemplares!$F$5:$F$64,MATCH(A299,Ejemplares!$A$5:$A$64,0)),""))</f>
      </c>
      <c r="E299" s="11"/>
      <c r="F299" s="16">
        <f>IF(A299="","",COUNTIF($A$5:$A299,A299))</f>
      </c>
      <c r="G299" s="15">
        <f>IF(A299="","",A299&amp;"|"&amp;F299)</f>
      </c>
      <c r="H299" s="17">
        <f>IF(OR(F299="",F299&lt;2,C299=""),"",IFERROR(C299-INDEX($C$5:$C$504,MATCH(A299&amp;"|"&amp;(F299-1),$G$5:$G$504,0)),""))</f>
      </c>
      <c r="I299" s="16">
        <f>IF(OR(F299="",F299&lt;2,B299=""),"",IFERROR(B299-INDEX($B$5:$B$504,MATCH(A299&amp;"|"&amp;(F299-1),$G$5:$G$504,0)),""))</f>
      </c>
      <c r="J299" s="18">
        <f>IF(OR(H299="",I299="",I299=0),"",H299/I299)</f>
      </c>
    </row>
    <row r="300" spans="1:10" x14ac:dyDescent="0.25">
      <c r="A300" s="11"/>
      <c r="B300" s="12"/>
      <c r="C300" s="19"/>
      <c r="D300" s="15">
        <f>IF(A300="","",IFERROR(INDEX(Ejemplares!$F$5:$F$64,MATCH(A300,Ejemplares!$A$5:$A$64,0)),""))</f>
      </c>
      <c r="E300" s="11"/>
      <c r="F300" s="16">
        <f>IF(A300="","",COUNTIF($A$5:$A300,A300))</f>
      </c>
      <c r="G300" s="15">
        <f>IF(A300="","",A300&amp;"|"&amp;F300)</f>
      </c>
      <c r="H300" s="17">
        <f>IF(OR(F300="",F300&lt;2,C300=""),"",IFERROR(C300-INDEX($C$5:$C$504,MATCH(A300&amp;"|"&amp;(F300-1),$G$5:$G$504,0)),""))</f>
      </c>
      <c r="I300" s="16">
        <f>IF(OR(F300="",F300&lt;2,B300=""),"",IFERROR(B300-INDEX($B$5:$B$504,MATCH(A300&amp;"|"&amp;(F300-1),$G$5:$G$504,0)),""))</f>
      </c>
      <c r="J300" s="18">
        <f>IF(OR(H300="",I300="",I300=0),"",H300/I300)</f>
      </c>
    </row>
    <row r="301" spans="1:10" x14ac:dyDescent="0.25">
      <c r="A301" s="11"/>
      <c r="B301" s="12"/>
      <c r="C301" s="19"/>
      <c r="D301" s="15">
        <f>IF(A301="","",IFERROR(INDEX(Ejemplares!$F$5:$F$64,MATCH(A301,Ejemplares!$A$5:$A$64,0)),""))</f>
      </c>
      <c r="E301" s="11"/>
      <c r="F301" s="16">
        <f>IF(A301="","",COUNTIF($A$5:$A301,A301))</f>
      </c>
      <c r="G301" s="15">
        <f>IF(A301="","",A301&amp;"|"&amp;F301)</f>
      </c>
      <c r="H301" s="17">
        <f>IF(OR(F301="",F301&lt;2,C301=""),"",IFERROR(C301-INDEX($C$5:$C$504,MATCH(A301&amp;"|"&amp;(F301-1),$G$5:$G$504,0)),""))</f>
      </c>
      <c r="I301" s="16">
        <f>IF(OR(F301="",F301&lt;2,B301=""),"",IFERROR(B301-INDEX($B$5:$B$504,MATCH(A301&amp;"|"&amp;(F301-1),$G$5:$G$504,0)),""))</f>
      </c>
      <c r="J301" s="18">
        <f>IF(OR(H301="",I301="",I301=0),"",H301/I301)</f>
      </c>
    </row>
    <row r="302" spans="1:10" x14ac:dyDescent="0.25">
      <c r="A302" s="11"/>
      <c r="B302" s="12"/>
      <c r="C302" s="19"/>
      <c r="D302" s="15">
        <f>IF(A302="","",IFERROR(INDEX(Ejemplares!$F$5:$F$64,MATCH(A302,Ejemplares!$A$5:$A$64,0)),""))</f>
      </c>
      <c r="E302" s="11"/>
      <c r="F302" s="16">
        <f>IF(A302="","",COUNTIF($A$5:$A302,A302))</f>
      </c>
      <c r="G302" s="15">
        <f>IF(A302="","",A302&amp;"|"&amp;F302)</f>
      </c>
      <c r="H302" s="17">
        <f>IF(OR(F302="",F302&lt;2,C302=""),"",IFERROR(C302-INDEX($C$5:$C$504,MATCH(A302&amp;"|"&amp;(F302-1),$G$5:$G$504,0)),""))</f>
      </c>
      <c r="I302" s="16">
        <f>IF(OR(F302="",F302&lt;2,B302=""),"",IFERROR(B302-INDEX($B$5:$B$504,MATCH(A302&amp;"|"&amp;(F302-1),$G$5:$G$504,0)),""))</f>
      </c>
      <c r="J302" s="18">
        <f>IF(OR(H302="",I302="",I302=0),"",H302/I302)</f>
      </c>
    </row>
    <row r="303" spans="1:10" x14ac:dyDescent="0.25">
      <c r="A303" s="11"/>
      <c r="B303" s="12"/>
      <c r="C303" s="19"/>
      <c r="D303" s="15">
        <f>IF(A303="","",IFERROR(INDEX(Ejemplares!$F$5:$F$64,MATCH(A303,Ejemplares!$A$5:$A$64,0)),""))</f>
      </c>
      <c r="E303" s="11"/>
      <c r="F303" s="16">
        <f>IF(A303="","",COUNTIF($A$5:$A303,A303))</f>
      </c>
      <c r="G303" s="15">
        <f>IF(A303="","",A303&amp;"|"&amp;F303)</f>
      </c>
      <c r="H303" s="17">
        <f>IF(OR(F303="",F303&lt;2,C303=""),"",IFERROR(C303-INDEX($C$5:$C$504,MATCH(A303&amp;"|"&amp;(F303-1),$G$5:$G$504,0)),""))</f>
      </c>
      <c r="I303" s="16">
        <f>IF(OR(F303="",F303&lt;2,B303=""),"",IFERROR(B303-INDEX($B$5:$B$504,MATCH(A303&amp;"|"&amp;(F303-1),$G$5:$G$504,0)),""))</f>
      </c>
      <c r="J303" s="18">
        <f>IF(OR(H303="",I303="",I303=0),"",H303/I303)</f>
      </c>
    </row>
    <row r="304" spans="1:10" x14ac:dyDescent="0.25">
      <c r="A304" s="11"/>
      <c r="B304" s="12"/>
      <c r="C304" s="19"/>
      <c r="D304" s="15">
        <f>IF(A304="","",IFERROR(INDEX(Ejemplares!$F$5:$F$64,MATCH(A304,Ejemplares!$A$5:$A$64,0)),""))</f>
      </c>
      <c r="E304" s="11"/>
      <c r="F304" s="16">
        <f>IF(A304="","",COUNTIF($A$5:$A304,A304))</f>
      </c>
      <c r="G304" s="15">
        <f>IF(A304="","",A304&amp;"|"&amp;F304)</f>
      </c>
      <c r="H304" s="17">
        <f>IF(OR(F304="",F304&lt;2,C304=""),"",IFERROR(C304-INDEX($C$5:$C$504,MATCH(A304&amp;"|"&amp;(F304-1),$G$5:$G$504,0)),""))</f>
      </c>
      <c r="I304" s="16">
        <f>IF(OR(F304="",F304&lt;2,B304=""),"",IFERROR(B304-INDEX($B$5:$B$504,MATCH(A304&amp;"|"&amp;(F304-1),$G$5:$G$504,0)),""))</f>
      </c>
      <c r="J304" s="18">
        <f>IF(OR(H304="",I304="",I304=0),"",H304/I304)</f>
      </c>
    </row>
    <row r="305" spans="1:10" x14ac:dyDescent="0.25">
      <c r="A305" s="11"/>
      <c r="B305" s="12"/>
      <c r="C305" s="19"/>
      <c r="D305" s="15">
        <f>IF(A305="","",IFERROR(INDEX(Ejemplares!$F$5:$F$64,MATCH(A305,Ejemplares!$A$5:$A$64,0)),""))</f>
      </c>
      <c r="E305" s="11"/>
      <c r="F305" s="16">
        <f>IF(A305="","",COUNTIF($A$5:$A305,A305))</f>
      </c>
      <c r="G305" s="15">
        <f>IF(A305="","",A305&amp;"|"&amp;F305)</f>
      </c>
      <c r="H305" s="17">
        <f>IF(OR(F305="",F305&lt;2,C305=""),"",IFERROR(C305-INDEX($C$5:$C$504,MATCH(A305&amp;"|"&amp;(F305-1),$G$5:$G$504,0)),""))</f>
      </c>
      <c r="I305" s="16">
        <f>IF(OR(F305="",F305&lt;2,B305=""),"",IFERROR(B305-INDEX($B$5:$B$504,MATCH(A305&amp;"|"&amp;(F305-1),$G$5:$G$504,0)),""))</f>
      </c>
      <c r="J305" s="18">
        <f>IF(OR(H305="",I305="",I305=0),"",H305/I305)</f>
      </c>
    </row>
    <row r="306" spans="1:10" x14ac:dyDescent="0.25">
      <c r="A306" s="11"/>
      <c r="B306" s="12"/>
      <c r="C306" s="19"/>
      <c r="D306" s="15">
        <f>IF(A306="","",IFERROR(INDEX(Ejemplares!$F$5:$F$64,MATCH(A306,Ejemplares!$A$5:$A$64,0)),""))</f>
      </c>
      <c r="E306" s="11"/>
      <c r="F306" s="16">
        <f>IF(A306="","",COUNTIF($A$5:$A306,A306))</f>
      </c>
      <c r="G306" s="15">
        <f>IF(A306="","",A306&amp;"|"&amp;F306)</f>
      </c>
      <c r="H306" s="17">
        <f>IF(OR(F306="",F306&lt;2,C306=""),"",IFERROR(C306-INDEX($C$5:$C$504,MATCH(A306&amp;"|"&amp;(F306-1),$G$5:$G$504,0)),""))</f>
      </c>
      <c r="I306" s="16">
        <f>IF(OR(F306="",F306&lt;2,B306=""),"",IFERROR(B306-INDEX($B$5:$B$504,MATCH(A306&amp;"|"&amp;(F306-1),$G$5:$G$504,0)),""))</f>
      </c>
      <c r="J306" s="18">
        <f>IF(OR(H306="",I306="",I306=0),"",H306/I306)</f>
      </c>
    </row>
    <row r="307" spans="1:10" x14ac:dyDescent="0.25">
      <c r="A307" s="11"/>
      <c r="B307" s="12"/>
      <c r="C307" s="19"/>
      <c r="D307" s="15">
        <f>IF(A307="","",IFERROR(INDEX(Ejemplares!$F$5:$F$64,MATCH(A307,Ejemplares!$A$5:$A$64,0)),""))</f>
      </c>
      <c r="E307" s="11"/>
      <c r="F307" s="16">
        <f>IF(A307="","",COUNTIF($A$5:$A307,A307))</f>
      </c>
      <c r="G307" s="15">
        <f>IF(A307="","",A307&amp;"|"&amp;F307)</f>
      </c>
      <c r="H307" s="17">
        <f>IF(OR(F307="",F307&lt;2,C307=""),"",IFERROR(C307-INDEX($C$5:$C$504,MATCH(A307&amp;"|"&amp;(F307-1),$G$5:$G$504,0)),""))</f>
      </c>
      <c r="I307" s="16">
        <f>IF(OR(F307="",F307&lt;2,B307=""),"",IFERROR(B307-INDEX($B$5:$B$504,MATCH(A307&amp;"|"&amp;(F307-1),$G$5:$G$504,0)),""))</f>
      </c>
      <c r="J307" s="18">
        <f>IF(OR(H307="",I307="",I307=0),"",H307/I307)</f>
      </c>
    </row>
    <row r="308" spans="1:10" x14ac:dyDescent="0.25">
      <c r="A308" s="11"/>
      <c r="B308" s="12"/>
      <c r="C308" s="19"/>
      <c r="D308" s="15">
        <f>IF(A308="","",IFERROR(INDEX(Ejemplares!$F$5:$F$64,MATCH(A308,Ejemplares!$A$5:$A$64,0)),""))</f>
      </c>
      <c r="E308" s="11"/>
      <c r="F308" s="16">
        <f>IF(A308="","",COUNTIF($A$5:$A308,A308))</f>
      </c>
      <c r="G308" s="15">
        <f>IF(A308="","",A308&amp;"|"&amp;F308)</f>
      </c>
      <c r="H308" s="17">
        <f>IF(OR(F308="",F308&lt;2,C308=""),"",IFERROR(C308-INDEX($C$5:$C$504,MATCH(A308&amp;"|"&amp;(F308-1),$G$5:$G$504,0)),""))</f>
      </c>
      <c r="I308" s="16">
        <f>IF(OR(F308="",F308&lt;2,B308=""),"",IFERROR(B308-INDEX($B$5:$B$504,MATCH(A308&amp;"|"&amp;(F308-1),$G$5:$G$504,0)),""))</f>
      </c>
      <c r="J308" s="18">
        <f>IF(OR(H308="",I308="",I308=0),"",H308/I308)</f>
      </c>
    </row>
    <row r="309" spans="1:10" x14ac:dyDescent="0.25">
      <c r="A309" s="11"/>
      <c r="B309" s="12"/>
      <c r="C309" s="19"/>
      <c r="D309" s="15">
        <f>IF(A309="","",IFERROR(INDEX(Ejemplares!$F$5:$F$64,MATCH(A309,Ejemplares!$A$5:$A$64,0)),""))</f>
      </c>
      <c r="E309" s="11"/>
      <c r="F309" s="16">
        <f>IF(A309="","",COUNTIF($A$5:$A309,A309))</f>
      </c>
      <c r="G309" s="15">
        <f>IF(A309="","",A309&amp;"|"&amp;F309)</f>
      </c>
      <c r="H309" s="17">
        <f>IF(OR(F309="",F309&lt;2,C309=""),"",IFERROR(C309-INDEX($C$5:$C$504,MATCH(A309&amp;"|"&amp;(F309-1),$G$5:$G$504,0)),""))</f>
      </c>
      <c r="I309" s="16">
        <f>IF(OR(F309="",F309&lt;2,B309=""),"",IFERROR(B309-INDEX($B$5:$B$504,MATCH(A309&amp;"|"&amp;(F309-1),$G$5:$G$504,0)),""))</f>
      </c>
      <c r="J309" s="18">
        <f>IF(OR(H309="",I309="",I309=0),"",H309/I309)</f>
      </c>
    </row>
    <row r="310" spans="1:10" x14ac:dyDescent="0.25">
      <c r="A310" s="11"/>
      <c r="B310" s="12"/>
      <c r="C310" s="19"/>
      <c r="D310" s="15">
        <f>IF(A310="","",IFERROR(INDEX(Ejemplares!$F$5:$F$64,MATCH(A310,Ejemplares!$A$5:$A$64,0)),""))</f>
      </c>
      <c r="E310" s="11"/>
      <c r="F310" s="16">
        <f>IF(A310="","",COUNTIF($A$5:$A310,A310))</f>
      </c>
      <c r="G310" s="15">
        <f>IF(A310="","",A310&amp;"|"&amp;F310)</f>
      </c>
      <c r="H310" s="17">
        <f>IF(OR(F310="",F310&lt;2,C310=""),"",IFERROR(C310-INDEX($C$5:$C$504,MATCH(A310&amp;"|"&amp;(F310-1),$G$5:$G$504,0)),""))</f>
      </c>
      <c r="I310" s="16">
        <f>IF(OR(F310="",F310&lt;2,B310=""),"",IFERROR(B310-INDEX($B$5:$B$504,MATCH(A310&amp;"|"&amp;(F310-1),$G$5:$G$504,0)),""))</f>
      </c>
      <c r="J310" s="18">
        <f>IF(OR(H310="",I310="",I310=0),"",H310/I310)</f>
      </c>
    </row>
    <row r="311" spans="1:10" x14ac:dyDescent="0.25">
      <c r="A311" s="11"/>
      <c r="B311" s="12"/>
      <c r="C311" s="19"/>
      <c r="D311" s="15">
        <f>IF(A311="","",IFERROR(INDEX(Ejemplares!$F$5:$F$64,MATCH(A311,Ejemplares!$A$5:$A$64,0)),""))</f>
      </c>
      <c r="E311" s="11"/>
      <c r="F311" s="16">
        <f>IF(A311="","",COUNTIF($A$5:$A311,A311))</f>
      </c>
      <c r="G311" s="15">
        <f>IF(A311="","",A311&amp;"|"&amp;F311)</f>
      </c>
      <c r="H311" s="17">
        <f>IF(OR(F311="",F311&lt;2,C311=""),"",IFERROR(C311-INDEX($C$5:$C$504,MATCH(A311&amp;"|"&amp;(F311-1),$G$5:$G$504,0)),""))</f>
      </c>
      <c r="I311" s="16">
        <f>IF(OR(F311="",F311&lt;2,B311=""),"",IFERROR(B311-INDEX($B$5:$B$504,MATCH(A311&amp;"|"&amp;(F311-1),$G$5:$G$504,0)),""))</f>
      </c>
      <c r="J311" s="18">
        <f>IF(OR(H311="",I311="",I311=0),"",H311/I311)</f>
      </c>
    </row>
    <row r="312" spans="1:10" x14ac:dyDescent="0.25">
      <c r="A312" s="11"/>
      <c r="B312" s="12"/>
      <c r="C312" s="19"/>
      <c r="D312" s="15">
        <f>IF(A312="","",IFERROR(INDEX(Ejemplares!$F$5:$F$64,MATCH(A312,Ejemplares!$A$5:$A$64,0)),""))</f>
      </c>
      <c r="E312" s="11"/>
      <c r="F312" s="16">
        <f>IF(A312="","",COUNTIF($A$5:$A312,A312))</f>
      </c>
      <c r="G312" s="15">
        <f>IF(A312="","",A312&amp;"|"&amp;F312)</f>
      </c>
      <c r="H312" s="17">
        <f>IF(OR(F312="",F312&lt;2,C312=""),"",IFERROR(C312-INDEX($C$5:$C$504,MATCH(A312&amp;"|"&amp;(F312-1),$G$5:$G$504,0)),""))</f>
      </c>
      <c r="I312" s="16">
        <f>IF(OR(F312="",F312&lt;2,B312=""),"",IFERROR(B312-INDEX($B$5:$B$504,MATCH(A312&amp;"|"&amp;(F312-1),$G$5:$G$504,0)),""))</f>
      </c>
      <c r="J312" s="18">
        <f>IF(OR(H312="",I312="",I312=0),"",H312/I312)</f>
      </c>
    </row>
    <row r="313" spans="1:10" x14ac:dyDescent="0.25">
      <c r="A313" s="11"/>
      <c r="B313" s="12"/>
      <c r="C313" s="19"/>
      <c r="D313" s="15">
        <f>IF(A313="","",IFERROR(INDEX(Ejemplares!$F$5:$F$64,MATCH(A313,Ejemplares!$A$5:$A$64,0)),""))</f>
      </c>
      <c r="E313" s="11"/>
      <c r="F313" s="16">
        <f>IF(A313="","",COUNTIF($A$5:$A313,A313))</f>
      </c>
      <c r="G313" s="15">
        <f>IF(A313="","",A313&amp;"|"&amp;F313)</f>
      </c>
      <c r="H313" s="17">
        <f>IF(OR(F313="",F313&lt;2,C313=""),"",IFERROR(C313-INDEX($C$5:$C$504,MATCH(A313&amp;"|"&amp;(F313-1),$G$5:$G$504,0)),""))</f>
      </c>
      <c r="I313" s="16">
        <f>IF(OR(F313="",F313&lt;2,B313=""),"",IFERROR(B313-INDEX($B$5:$B$504,MATCH(A313&amp;"|"&amp;(F313-1),$G$5:$G$504,0)),""))</f>
      </c>
      <c r="J313" s="18">
        <f>IF(OR(H313="",I313="",I313=0),"",H313/I313)</f>
      </c>
    </row>
    <row r="314" spans="1:10" x14ac:dyDescent="0.25">
      <c r="A314" s="11"/>
      <c r="B314" s="12"/>
      <c r="C314" s="19"/>
      <c r="D314" s="15">
        <f>IF(A314="","",IFERROR(INDEX(Ejemplares!$F$5:$F$64,MATCH(A314,Ejemplares!$A$5:$A$64,0)),""))</f>
      </c>
      <c r="E314" s="11"/>
      <c r="F314" s="16">
        <f>IF(A314="","",COUNTIF($A$5:$A314,A314))</f>
      </c>
      <c r="G314" s="15">
        <f>IF(A314="","",A314&amp;"|"&amp;F314)</f>
      </c>
      <c r="H314" s="17">
        <f>IF(OR(F314="",F314&lt;2,C314=""),"",IFERROR(C314-INDEX($C$5:$C$504,MATCH(A314&amp;"|"&amp;(F314-1),$G$5:$G$504,0)),""))</f>
      </c>
      <c r="I314" s="16">
        <f>IF(OR(F314="",F314&lt;2,B314=""),"",IFERROR(B314-INDEX($B$5:$B$504,MATCH(A314&amp;"|"&amp;(F314-1),$G$5:$G$504,0)),""))</f>
      </c>
      <c r="J314" s="18">
        <f>IF(OR(H314="",I314="",I314=0),"",H314/I314)</f>
      </c>
    </row>
    <row r="315" spans="1:10" x14ac:dyDescent="0.25">
      <c r="A315" s="11"/>
      <c r="B315" s="12"/>
      <c r="C315" s="19"/>
      <c r="D315" s="15">
        <f>IF(A315="","",IFERROR(INDEX(Ejemplares!$F$5:$F$64,MATCH(A315,Ejemplares!$A$5:$A$64,0)),""))</f>
      </c>
      <c r="E315" s="11"/>
      <c r="F315" s="16">
        <f>IF(A315="","",COUNTIF($A$5:$A315,A315))</f>
      </c>
      <c r="G315" s="15">
        <f>IF(A315="","",A315&amp;"|"&amp;F315)</f>
      </c>
      <c r="H315" s="17">
        <f>IF(OR(F315="",F315&lt;2,C315=""),"",IFERROR(C315-INDEX($C$5:$C$504,MATCH(A315&amp;"|"&amp;(F315-1),$G$5:$G$504,0)),""))</f>
      </c>
      <c r="I315" s="16">
        <f>IF(OR(F315="",F315&lt;2,B315=""),"",IFERROR(B315-INDEX($B$5:$B$504,MATCH(A315&amp;"|"&amp;(F315-1),$G$5:$G$504,0)),""))</f>
      </c>
      <c r="J315" s="18">
        <f>IF(OR(H315="",I315="",I315=0),"",H315/I315)</f>
      </c>
    </row>
    <row r="316" spans="1:10" x14ac:dyDescent="0.25">
      <c r="A316" s="11"/>
      <c r="B316" s="12"/>
      <c r="C316" s="19"/>
      <c r="D316" s="15">
        <f>IF(A316="","",IFERROR(INDEX(Ejemplares!$F$5:$F$64,MATCH(A316,Ejemplares!$A$5:$A$64,0)),""))</f>
      </c>
      <c r="E316" s="11"/>
      <c r="F316" s="16">
        <f>IF(A316="","",COUNTIF($A$5:$A316,A316))</f>
      </c>
      <c r="G316" s="15">
        <f>IF(A316="","",A316&amp;"|"&amp;F316)</f>
      </c>
      <c r="H316" s="17">
        <f>IF(OR(F316="",F316&lt;2,C316=""),"",IFERROR(C316-INDEX($C$5:$C$504,MATCH(A316&amp;"|"&amp;(F316-1),$G$5:$G$504,0)),""))</f>
      </c>
      <c r="I316" s="16">
        <f>IF(OR(F316="",F316&lt;2,B316=""),"",IFERROR(B316-INDEX($B$5:$B$504,MATCH(A316&amp;"|"&amp;(F316-1),$G$5:$G$504,0)),""))</f>
      </c>
      <c r="J316" s="18">
        <f>IF(OR(H316="",I316="",I316=0),"",H316/I316)</f>
      </c>
    </row>
    <row r="317" spans="1:10" x14ac:dyDescent="0.25">
      <c r="A317" s="11"/>
      <c r="B317" s="12"/>
      <c r="C317" s="19"/>
      <c r="D317" s="15">
        <f>IF(A317="","",IFERROR(INDEX(Ejemplares!$F$5:$F$64,MATCH(A317,Ejemplares!$A$5:$A$64,0)),""))</f>
      </c>
      <c r="E317" s="11"/>
      <c r="F317" s="16">
        <f>IF(A317="","",COUNTIF($A$5:$A317,A317))</f>
      </c>
      <c r="G317" s="15">
        <f>IF(A317="","",A317&amp;"|"&amp;F317)</f>
      </c>
      <c r="H317" s="17">
        <f>IF(OR(F317="",F317&lt;2,C317=""),"",IFERROR(C317-INDEX($C$5:$C$504,MATCH(A317&amp;"|"&amp;(F317-1),$G$5:$G$504,0)),""))</f>
      </c>
      <c r="I317" s="16">
        <f>IF(OR(F317="",F317&lt;2,B317=""),"",IFERROR(B317-INDEX($B$5:$B$504,MATCH(A317&amp;"|"&amp;(F317-1),$G$5:$G$504,0)),""))</f>
      </c>
      <c r="J317" s="18">
        <f>IF(OR(H317="",I317="",I317=0),"",H317/I317)</f>
      </c>
    </row>
    <row r="318" spans="1:10" x14ac:dyDescent="0.25">
      <c r="A318" s="11"/>
      <c r="B318" s="12"/>
      <c r="C318" s="19"/>
      <c r="D318" s="15">
        <f>IF(A318="","",IFERROR(INDEX(Ejemplares!$F$5:$F$64,MATCH(A318,Ejemplares!$A$5:$A$64,0)),""))</f>
      </c>
      <c r="E318" s="11"/>
      <c r="F318" s="16">
        <f>IF(A318="","",COUNTIF($A$5:$A318,A318))</f>
      </c>
      <c r="G318" s="15">
        <f>IF(A318="","",A318&amp;"|"&amp;F318)</f>
      </c>
      <c r="H318" s="17">
        <f>IF(OR(F318="",F318&lt;2,C318=""),"",IFERROR(C318-INDEX($C$5:$C$504,MATCH(A318&amp;"|"&amp;(F318-1),$G$5:$G$504,0)),""))</f>
      </c>
      <c r="I318" s="16">
        <f>IF(OR(F318="",F318&lt;2,B318=""),"",IFERROR(B318-INDEX($B$5:$B$504,MATCH(A318&amp;"|"&amp;(F318-1),$G$5:$G$504,0)),""))</f>
      </c>
      <c r="J318" s="18">
        <f>IF(OR(H318="",I318="",I318=0),"",H318/I318)</f>
      </c>
    </row>
    <row r="319" spans="1:10" x14ac:dyDescent="0.25">
      <c r="A319" s="11"/>
      <c r="B319" s="12"/>
      <c r="C319" s="19"/>
      <c r="D319" s="15">
        <f>IF(A319="","",IFERROR(INDEX(Ejemplares!$F$5:$F$64,MATCH(A319,Ejemplares!$A$5:$A$64,0)),""))</f>
      </c>
      <c r="E319" s="11"/>
      <c r="F319" s="16">
        <f>IF(A319="","",COUNTIF($A$5:$A319,A319))</f>
      </c>
      <c r="G319" s="15">
        <f>IF(A319="","",A319&amp;"|"&amp;F319)</f>
      </c>
      <c r="H319" s="17">
        <f>IF(OR(F319="",F319&lt;2,C319=""),"",IFERROR(C319-INDEX($C$5:$C$504,MATCH(A319&amp;"|"&amp;(F319-1),$G$5:$G$504,0)),""))</f>
      </c>
      <c r="I319" s="16">
        <f>IF(OR(F319="",F319&lt;2,B319=""),"",IFERROR(B319-INDEX($B$5:$B$504,MATCH(A319&amp;"|"&amp;(F319-1),$G$5:$G$504,0)),""))</f>
      </c>
      <c r="J319" s="18">
        <f>IF(OR(H319="",I319="",I319=0),"",H319/I319)</f>
      </c>
    </row>
    <row r="320" spans="1:10" x14ac:dyDescent="0.25">
      <c r="A320" s="11"/>
      <c r="B320" s="12"/>
      <c r="C320" s="19"/>
      <c r="D320" s="15">
        <f>IF(A320="","",IFERROR(INDEX(Ejemplares!$F$5:$F$64,MATCH(A320,Ejemplares!$A$5:$A$64,0)),""))</f>
      </c>
      <c r="E320" s="11"/>
      <c r="F320" s="16">
        <f>IF(A320="","",COUNTIF($A$5:$A320,A320))</f>
      </c>
      <c r="G320" s="15">
        <f>IF(A320="","",A320&amp;"|"&amp;F320)</f>
      </c>
      <c r="H320" s="17">
        <f>IF(OR(F320="",F320&lt;2,C320=""),"",IFERROR(C320-INDEX($C$5:$C$504,MATCH(A320&amp;"|"&amp;(F320-1),$G$5:$G$504,0)),""))</f>
      </c>
      <c r="I320" s="16">
        <f>IF(OR(F320="",F320&lt;2,B320=""),"",IFERROR(B320-INDEX($B$5:$B$504,MATCH(A320&amp;"|"&amp;(F320-1),$G$5:$G$504,0)),""))</f>
      </c>
      <c r="J320" s="18">
        <f>IF(OR(H320="",I320="",I320=0),"",H320/I320)</f>
      </c>
    </row>
    <row r="321" spans="1:10" x14ac:dyDescent="0.25">
      <c r="A321" s="11"/>
      <c r="B321" s="12"/>
      <c r="C321" s="19"/>
      <c r="D321" s="15">
        <f>IF(A321="","",IFERROR(INDEX(Ejemplares!$F$5:$F$64,MATCH(A321,Ejemplares!$A$5:$A$64,0)),""))</f>
      </c>
      <c r="E321" s="11"/>
      <c r="F321" s="16">
        <f>IF(A321="","",COUNTIF($A$5:$A321,A321))</f>
      </c>
      <c r="G321" s="15">
        <f>IF(A321="","",A321&amp;"|"&amp;F321)</f>
      </c>
      <c r="H321" s="17">
        <f>IF(OR(F321="",F321&lt;2,C321=""),"",IFERROR(C321-INDEX($C$5:$C$504,MATCH(A321&amp;"|"&amp;(F321-1),$G$5:$G$504,0)),""))</f>
      </c>
      <c r="I321" s="16">
        <f>IF(OR(F321="",F321&lt;2,B321=""),"",IFERROR(B321-INDEX($B$5:$B$504,MATCH(A321&amp;"|"&amp;(F321-1),$G$5:$G$504,0)),""))</f>
      </c>
      <c r="J321" s="18">
        <f>IF(OR(H321="",I321="",I321=0),"",H321/I321)</f>
      </c>
    </row>
    <row r="322" spans="1:10" x14ac:dyDescent="0.25">
      <c r="A322" s="11"/>
      <c r="B322" s="12"/>
      <c r="C322" s="19"/>
      <c r="D322" s="15">
        <f>IF(A322="","",IFERROR(INDEX(Ejemplares!$F$5:$F$64,MATCH(A322,Ejemplares!$A$5:$A$64,0)),""))</f>
      </c>
      <c r="E322" s="11"/>
      <c r="F322" s="16">
        <f>IF(A322="","",COUNTIF($A$5:$A322,A322))</f>
      </c>
      <c r="G322" s="15">
        <f>IF(A322="","",A322&amp;"|"&amp;F322)</f>
      </c>
      <c r="H322" s="17">
        <f>IF(OR(F322="",F322&lt;2,C322=""),"",IFERROR(C322-INDEX($C$5:$C$504,MATCH(A322&amp;"|"&amp;(F322-1),$G$5:$G$504,0)),""))</f>
      </c>
      <c r="I322" s="16">
        <f>IF(OR(F322="",F322&lt;2,B322=""),"",IFERROR(B322-INDEX($B$5:$B$504,MATCH(A322&amp;"|"&amp;(F322-1),$G$5:$G$504,0)),""))</f>
      </c>
      <c r="J322" s="18">
        <f>IF(OR(H322="",I322="",I322=0),"",H322/I322)</f>
      </c>
    </row>
    <row r="323" spans="1:10" x14ac:dyDescent="0.25">
      <c r="A323" s="11"/>
      <c r="B323" s="12"/>
      <c r="C323" s="19"/>
      <c r="D323" s="15">
        <f>IF(A323="","",IFERROR(INDEX(Ejemplares!$F$5:$F$64,MATCH(A323,Ejemplares!$A$5:$A$64,0)),""))</f>
      </c>
      <c r="E323" s="11"/>
      <c r="F323" s="16">
        <f>IF(A323="","",COUNTIF($A$5:$A323,A323))</f>
      </c>
      <c r="G323" s="15">
        <f>IF(A323="","",A323&amp;"|"&amp;F323)</f>
      </c>
      <c r="H323" s="17">
        <f>IF(OR(F323="",F323&lt;2,C323=""),"",IFERROR(C323-INDEX($C$5:$C$504,MATCH(A323&amp;"|"&amp;(F323-1),$G$5:$G$504,0)),""))</f>
      </c>
      <c r="I323" s="16">
        <f>IF(OR(F323="",F323&lt;2,B323=""),"",IFERROR(B323-INDEX($B$5:$B$504,MATCH(A323&amp;"|"&amp;(F323-1),$G$5:$G$504,0)),""))</f>
      </c>
      <c r="J323" s="18">
        <f>IF(OR(H323="",I323="",I323=0),"",H323/I323)</f>
      </c>
    </row>
    <row r="324" spans="1:10" x14ac:dyDescent="0.25">
      <c r="A324" s="11"/>
      <c r="B324" s="12"/>
      <c r="C324" s="19"/>
      <c r="D324" s="15">
        <f>IF(A324="","",IFERROR(INDEX(Ejemplares!$F$5:$F$64,MATCH(A324,Ejemplares!$A$5:$A$64,0)),""))</f>
      </c>
      <c r="E324" s="11"/>
      <c r="F324" s="16">
        <f>IF(A324="","",COUNTIF($A$5:$A324,A324))</f>
      </c>
      <c r="G324" s="15">
        <f>IF(A324="","",A324&amp;"|"&amp;F324)</f>
      </c>
      <c r="H324" s="17">
        <f>IF(OR(F324="",F324&lt;2,C324=""),"",IFERROR(C324-INDEX($C$5:$C$504,MATCH(A324&amp;"|"&amp;(F324-1),$G$5:$G$504,0)),""))</f>
      </c>
      <c r="I324" s="16">
        <f>IF(OR(F324="",F324&lt;2,B324=""),"",IFERROR(B324-INDEX($B$5:$B$504,MATCH(A324&amp;"|"&amp;(F324-1),$G$5:$G$504,0)),""))</f>
      </c>
      <c r="J324" s="18">
        <f>IF(OR(H324="",I324="",I324=0),"",H324/I324)</f>
      </c>
    </row>
    <row r="325" spans="1:10" x14ac:dyDescent="0.25">
      <c r="A325" s="11"/>
      <c r="B325" s="12"/>
      <c r="C325" s="19"/>
      <c r="D325" s="15">
        <f>IF(A325="","",IFERROR(INDEX(Ejemplares!$F$5:$F$64,MATCH(A325,Ejemplares!$A$5:$A$64,0)),""))</f>
      </c>
      <c r="E325" s="11"/>
      <c r="F325" s="16">
        <f>IF(A325="","",COUNTIF($A$5:$A325,A325))</f>
      </c>
      <c r="G325" s="15">
        <f>IF(A325="","",A325&amp;"|"&amp;F325)</f>
      </c>
      <c r="H325" s="17">
        <f>IF(OR(F325="",F325&lt;2,C325=""),"",IFERROR(C325-INDEX($C$5:$C$504,MATCH(A325&amp;"|"&amp;(F325-1),$G$5:$G$504,0)),""))</f>
      </c>
      <c r="I325" s="16">
        <f>IF(OR(F325="",F325&lt;2,B325=""),"",IFERROR(B325-INDEX($B$5:$B$504,MATCH(A325&amp;"|"&amp;(F325-1),$G$5:$G$504,0)),""))</f>
      </c>
      <c r="J325" s="18">
        <f>IF(OR(H325="",I325="",I325=0),"",H325/I325)</f>
      </c>
    </row>
    <row r="326" spans="1:10" x14ac:dyDescent="0.25">
      <c r="A326" s="11"/>
      <c r="B326" s="12"/>
      <c r="C326" s="19"/>
      <c r="D326" s="15">
        <f>IF(A326="","",IFERROR(INDEX(Ejemplares!$F$5:$F$64,MATCH(A326,Ejemplares!$A$5:$A$64,0)),""))</f>
      </c>
      <c r="E326" s="11"/>
      <c r="F326" s="16">
        <f>IF(A326="","",COUNTIF($A$5:$A326,A326))</f>
      </c>
      <c r="G326" s="15">
        <f>IF(A326="","",A326&amp;"|"&amp;F326)</f>
      </c>
      <c r="H326" s="17">
        <f>IF(OR(F326="",F326&lt;2,C326=""),"",IFERROR(C326-INDEX($C$5:$C$504,MATCH(A326&amp;"|"&amp;(F326-1),$G$5:$G$504,0)),""))</f>
      </c>
      <c r="I326" s="16">
        <f>IF(OR(F326="",F326&lt;2,B326=""),"",IFERROR(B326-INDEX($B$5:$B$504,MATCH(A326&amp;"|"&amp;(F326-1),$G$5:$G$504,0)),""))</f>
      </c>
      <c r="J326" s="18">
        <f>IF(OR(H326="",I326="",I326=0),"",H326/I326)</f>
      </c>
    </row>
    <row r="327" spans="1:10" x14ac:dyDescent="0.25">
      <c r="A327" s="11"/>
      <c r="B327" s="12"/>
      <c r="C327" s="19"/>
      <c r="D327" s="15">
        <f>IF(A327="","",IFERROR(INDEX(Ejemplares!$F$5:$F$64,MATCH(A327,Ejemplares!$A$5:$A$64,0)),""))</f>
      </c>
      <c r="E327" s="11"/>
      <c r="F327" s="16">
        <f>IF(A327="","",COUNTIF($A$5:$A327,A327))</f>
      </c>
      <c r="G327" s="15">
        <f>IF(A327="","",A327&amp;"|"&amp;F327)</f>
      </c>
      <c r="H327" s="17">
        <f>IF(OR(F327="",F327&lt;2,C327=""),"",IFERROR(C327-INDEX($C$5:$C$504,MATCH(A327&amp;"|"&amp;(F327-1),$G$5:$G$504,0)),""))</f>
      </c>
      <c r="I327" s="16">
        <f>IF(OR(F327="",F327&lt;2,B327=""),"",IFERROR(B327-INDEX($B$5:$B$504,MATCH(A327&amp;"|"&amp;(F327-1),$G$5:$G$504,0)),""))</f>
      </c>
      <c r="J327" s="18">
        <f>IF(OR(H327="",I327="",I327=0),"",H327/I327)</f>
      </c>
    </row>
    <row r="328" spans="1:10" x14ac:dyDescent="0.25">
      <c r="A328" s="11"/>
      <c r="B328" s="12"/>
      <c r="C328" s="19"/>
      <c r="D328" s="15">
        <f>IF(A328="","",IFERROR(INDEX(Ejemplares!$F$5:$F$64,MATCH(A328,Ejemplares!$A$5:$A$64,0)),""))</f>
      </c>
      <c r="E328" s="11"/>
      <c r="F328" s="16">
        <f>IF(A328="","",COUNTIF($A$5:$A328,A328))</f>
      </c>
      <c r="G328" s="15">
        <f>IF(A328="","",A328&amp;"|"&amp;F328)</f>
      </c>
      <c r="H328" s="17">
        <f>IF(OR(F328="",F328&lt;2,C328=""),"",IFERROR(C328-INDEX($C$5:$C$504,MATCH(A328&amp;"|"&amp;(F328-1),$G$5:$G$504,0)),""))</f>
      </c>
      <c r="I328" s="16">
        <f>IF(OR(F328="",F328&lt;2,B328=""),"",IFERROR(B328-INDEX($B$5:$B$504,MATCH(A328&amp;"|"&amp;(F328-1),$G$5:$G$504,0)),""))</f>
      </c>
      <c r="J328" s="18">
        <f>IF(OR(H328="",I328="",I328=0),"",H328/I328)</f>
      </c>
    </row>
    <row r="329" spans="1:10" x14ac:dyDescent="0.25">
      <c r="A329" s="11"/>
      <c r="B329" s="12"/>
      <c r="C329" s="19"/>
      <c r="D329" s="15">
        <f>IF(A329="","",IFERROR(INDEX(Ejemplares!$F$5:$F$64,MATCH(A329,Ejemplares!$A$5:$A$64,0)),""))</f>
      </c>
      <c r="E329" s="11"/>
      <c r="F329" s="16">
        <f>IF(A329="","",COUNTIF($A$5:$A329,A329))</f>
      </c>
      <c r="G329" s="15">
        <f>IF(A329="","",A329&amp;"|"&amp;F329)</f>
      </c>
      <c r="H329" s="17">
        <f>IF(OR(F329="",F329&lt;2,C329=""),"",IFERROR(C329-INDEX($C$5:$C$504,MATCH(A329&amp;"|"&amp;(F329-1),$G$5:$G$504,0)),""))</f>
      </c>
      <c r="I329" s="16">
        <f>IF(OR(F329="",F329&lt;2,B329=""),"",IFERROR(B329-INDEX($B$5:$B$504,MATCH(A329&amp;"|"&amp;(F329-1),$G$5:$G$504,0)),""))</f>
      </c>
      <c r="J329" s="18">
        <f>IF(OR(H329="",I329="",I329=0),"",H329/I329)</f>
      </c>
    </row>
    <row r="330" spans="1:10" x14ac:dyDescent="0.25">
      <c r="A330" s="11"/>
      <c r="B330" s="12"/>
      <c r="C330" s="19"/>
      <c r="D330" s="15">
        <f>IF(A330="","",IFERROR(INDEX(Ejemplares!$F$5:$F$64,MATCH(A330,Ejemplares!$A$5:$A$64,0)),""))</f>
      </c>
      <c r="E330" s="11"/>
      <c r="F330" s="16">
        <f>IF(A330="","",COUNTIF($A$5:$A330,A330))</f>
      </c>
      <c r="G330" s="15">
        <f>IF(A330="","",A330&amp;"|"&amp;F330)</f>
      </c>
      <c r="H330" s="17">
        <f>IF(OR(F330="",F330&lt;2,C330=""),"",IFERROR(C330-INDEX($C$5:$C$504,MATCH(A330&amp;"|"&amp;(F330-1),$G$5:$G$504,0)),""))</f>
      </c>
      <c r="I330" s="16">
        <f>IF(OR(F330="",F330&lt;2,B330=""),"",IFERROR(B330-INDEX($B$5:$B$504,MATCH(A330&amp;"|"&amp;(F330-1),$G$5:$G$504,0)),""))</f>
      </c>
      <c r="J330" s="18">
        <f>IF(OR(H330="",I330="",I330=0),"",H330/I330)</f>
      </c>
    </row>
    <row r="331" spans="1:10" x14ac:dyDescent="0.25">
      <c r="A331" s="11"/>
      <c r="B331" s="12"/>
      <c r="C331" s="19"/>
      <c r="D331" s="15">
        <f>IF(A331="","",IFERROR(INDEX(Ejemplares!$F$5:$F$64,MATCH(A331,Ejemplares!$A$5:$A$64,0)),""))</f>
      </c>
      <c r="E331" s="11"/>
      <c r="F331" s="16">
        <f>IF(A331="","",COUNTIF($A$5:$A331,A331))</f>
      </c>
      <c r="G331" s="15">
        <f>IF(A331="","",A331&amp;"|"&amp;F331)</f>
      </c>
      <c r="H331" s="17">
        <f>IF(OR(F331="",F331&lt;2,C331=""),"",IFERROR(C331-INDEX($C$5:$C$504,MATCH(A331&amp;"|"&amp;(F331-1),$G$5:$G$504,0)),""))</f>
      </c>
      <c r="I331" s="16">
        <f>IF(OR(F331="",F331&lt;2,B331=""),"",IFERROR(B331-INDEX($B$5:$B$504,MATCH(A331&amp;"|"&amp;(F331-1),$G$5:$G$504,0)),""))</f>
      </c>
      <c r="J331" s="18">
        <f>IF(OR(H331="",I331="",I331=0),"",H331/I331)</f>
      </c>
    </row>
    <row r="332" spans="1:10" x14ac:dyDescent="0.25">
      <c r="A332" s="11"/>
      <c r="B332" s="12"/>
      <c r="C332" s="19"/>
      <c r="D332" s="15">
        <f>IF(A332="","",IFERROR(INDEX(Ejemplares!$F$5:$F$64,MATCH(A332,Ejemplares!$A$5:$A$64,0)),""))</f>
      </c>
      <c r="E332" s="11"/>
      <c r="F332" s="16">
        <f>IF(A332="","",COUNTIF($A$5:$A332,A332))</f>
      </c>
      <c r="G332" s="15">
        <f>IF(A332="","",A332&amp;"|"&amp;F332)</f>
      </c>
      <c r="H332" s="17">
        <f>IF(OR(F332="",F332&lt;2,C332=""),"",IFERROR(C332-INDEX($C$5:$C$504,MATCH(A332&amp;"|"&amp;(F332-1),$G$5:$G$504,0)),""))</f>
      </c>
      <c r="I332" s="16">
        <f>IF(OR(F332="",F332&lt;2,B332=""),"",IFERROR(B332-INDEX($B$5:$B$504,MATCH(A332&amp;"|"&amp;(F332-1),$G$5:$G$504,0)),""))</f>
      </c>
      <c r="J332" s="18">
        <f>IF(OR(H332="",I332="",I332=0),"",H332/I332)</f>
      </c>
    </row>
    <row r="333" spans="1:10" x14ac:dyDescent="0.25">
      <c r="A333" s="11"/>
      <c r="B333" s="12"/>
      <c r="C333" s="19"/>
      <c r="D333" s="15">
        <f>IF(A333="","",IFERROR(INDEX(Ejemplares!$F$5:$F$64,MATCH(A333,Ejemplares!$A$5:$A$64,0)),""))</f>
      </c>
      <c r="E333" s="11"/>
      <c r="F333" s="16">
        <f>IF(A333="","",COUNTIF($A$5:$A333,A333))</f>
      </c>
      <c r="G333" s="15">
        <f>IF(A333="","",A333&amp;"|"&amp;F333)</f>
      </c>
      <c r="H333" s="17">
        <f>IF(OR(F333="",F333&lt;2,C333=""),"",IFERROR(C333-INDEX($C$5:$C$504,MATCH(A333&amp;"|"&amp;(F333-1),$G$5:$G$504,0)),""))</f>
      </c>
      <c r="I333" s="16">
        <f>IF(OR(F333="",F333&lt;2,B333=""),"",IFERROR(B333-INDEX($B$5:$B$504,MATCH(A333&amp;"|"&amp;(F333-1),$G$5:$G$504,0)),""))</f>
      </c>
      <c r="J333" s="18">
        <f>IF(OR(H333="",I333="",I333=0),"",H333/I333)</f>
      </c>
    </row>
    <row r="334" spans="1:10" x14ac:dyDescent="0.25">
      <c r="A334" s="11"/>
      <c r="B334" s="12"/>
      <c r="C334" s="19"/>
      <c r="D334" s="15">
        <f>IF(A334="","",IFERROR(INDEX(Ejemplares!$F$5:$F$64,MATCH(A334,Ejemplares!$A$5:$A$64,0)),""))</f>
      </c>
      <c r="E334" s="11"/>
      <c r="F334" s="16">
        <f>IF(A334="","",COUNTIF($A$5:$A334,A334))</f>
      </c>
      <c r="G334" s="15">
        <f>IF(A334="","",A334&amp;"|"&amp;F334)</f>
      </c>
      <c r="H334" s="17">
        <f>IF(OR(F334="",F334&lt;2,C334=""),"",IFERROR(C334-INDEX($C$5:$C$504,MATCH(A334&amp;"|"&amp;(F334-1),$G$5:$G$504,0)),""))</f>
      </c>
      <c r="I334" s="16">
        <f>IF(OR(F334="",F334&lt;2,B334=""),"",IFERROR(B334-INDEX($B$5:$B$504,MATCH(A334&amp;"|"&amp;(F334-1),$G$5:$G$504,0)),""))</f>
      </c>
      <c r="J334" s="18">
        <f>IF(OR(H334="",I334="",I334=0),"",H334/I334)</f>
      </c>
    </row>
    <row r="335" spans="1:10" x14ac:dyDescent="0.25">
      <c r="A335" s="11"/>
      <c r="B335" s="12"/>
      <c r="C335" s="19"/>
      <c r="D335" s="15">
        <f>IF(A335="","",IFERROR(INDEX(Ejemplares!$F$5:$F$64,MATCH(A335,Ejemplares!$A$5:$A$64,0)),""))</f>
      </c>
      <c r="E335" s="11"/>
      <c r="F335" s="16">
        <f>IF(A335="","",COUNTIF($A$5:$A335,A335))</f>
      </c>
      <c r="G335" s="15">
        <f>IF(A335="","",A335&amp;"|"&amp;F335)</f>
      </c>
      <c r="H335" s="17">
        <f>IF(OR(F335="",F335&lt;2,C335=""),"",IFERROR(C335-INDEX($C$5:$C$504,MATCH(A335&amp;"|"&amp;(F335-1),$G$5:$G$504,0)),""))</f>
      </c>
      <c r="I335" s="16">
        <f>IF(OR(F335="",F335&lt;2,B335=""),"",IFERROR(B335-INDEX($B$5:$B$504,MATCH(A335&amp;"|"&amp;(F335-1),$G$5:$G$504,0)),""))</f>
      </c>
      <c r="J335" s="18">
        <f>IF(OR(H335="",I335="",I335=0),"",H335/I335)</f>
      </c>
    </row>
    <row r="336" spans="1:10" x14ac:dyDescent="0.25">
      <c r="A336" s="11"/>
      <c r="B336" s="12"/>
      <c r="C336" s="19"/>
      <c r="D336" s="15">
        <f>IF(A336="","",IFERROR(INDEX(Ejemplares!$F$5:$F$64,MATCH(A336,Ejemplares!$A$5:$A$64,0)),""))</f>
      </c>
      <c r="E336" s="11"/>
      <c r="F336" s="16">
        <f>IF(A336="","",COUNTIF($A$5:$A336,A336))</f>
      </c>
      <c r="G336" s="15">
        <f>IF(A336="","",A336&amp;"|"&amp;F336)</f>
      </c>
      <c r="H336" s="17">
        <f>IF(OR(F336="",F336&lt;2,C336=""),"",IFERROR(C336-INDEX($C$5:$C$504,MATCH(A336&amp;"|"&amp;(F336-1),$G$5:$G$504,0)),""))</f>
      </c>
      <c r="I336" s="16">
        <f>IF(OR(F336="",F336&lt;2,B336=""),"",IFERROR(B336-INDEX($B$5:$B$504,MATCH(A336&amp;"|"&amp;(F336-1),$G$5:$G$504,0)),""))</f>
      </c>
      <c r="J336" s="18">
        <f>IF(OR(H336="",I336="",I336=0),"",H336/I336)</f>
      </c>
    </row>
    <row r="337" spans="1:10" x14ac:dyDescent="0.25">
      <c r="A337" s="11"/>
      <c r="B337" s="12"/>
      <c r="C337" s="19"/>
      <c r="D337" s="15">
        <f>IF(A337="","",IFERROR(INDEX(Ejemplares!$F$5:$F$64,MATCH(A337,Ejemplares!$A$5:$A$64,0)),""))</f>
      </c>
      <c r="E337" s="11"/>
      <c r="F337" s="16">
        <f>IF(A337="","",COUNTIF($A$5:$A337,A337))</f>
      </c>
      <c r="G337" s="15">
        <f>IF(A337="","",A337&amp;"|"&amp;F337)</f>
      </c>
      <c r="H337" s="17">
        <f>IF(OR(F337="",F337&lt;2,C337=""),"",IFERROR(C337-INDEX($C$5:$C$504,MATCH(A337&amp;"|"&amp;(F337-1),$G$5:$G$504,0)),""))</f>
      </c>
      <c r="I337" s="16">
        <f>IF(OR(F337="",F337&lt;2,B337=""),"",IFERROR(B337-INDEX($B$5:$B$504,MATCH(A337&amp;"|"&amp;(F337-1),$G$5:$G$504,0)),""))</f>
      </c>
      <c r="J337" s="18">
        <f>IF(OR(H337="",I337="",I337=0),"",H337/I337)</f>
      </c>
    </row>
    <row r="338" spans="1:10" x14ac:dyDescent="0.25">
      <c r="A338" s="11"/>
      <c r="B338" s="12"/>
      <c r="C338" s="19"/>
      <c r="D338" s="15">
        <f>IF(A338="","",IFERROR(INDEX(Ejemplares!$F$5:$F$64,MATCH(A338,Ejemplares!$A$5:$A$64,0)),""))</f>
      </c>
      <c r="E338" s="11"/>
      <c r="F338" s="16">
        <f>IF(A338="","",COUNTIF($A$5:$A338,A338))</f>
      </c>
      <c r="G338" s="15">
        <f>IF(A338="","",A338&amp;"|"&amp;F338)</f>
      </c>
      <c r="H338" s="17">
        <f>IF(OR(F338="",F338&lt;2,C338=""),"",IFERROR(C338-INDEX($C$5:$C$504,MATCH(A338&amp;"|"&amp;(F338-1),$G$5:$G$504,0)),""))</f>
      </c>
      <c r="I338" s="16">
        <f>IF(OR(F338="",F338&lt;2,B338=""),"",IFERROR(B338-INDEX($B$5:$B$504,MATCH(A338&amp;"|"&amp;(F338-1),$G$5:$G$504,0)),""))</f>
      </c>
      <c r="J338" s="18">
        <f>IF(OR(H338="",I338="",I338=0),"",H338/I338)</f>
      </c>
    </row>
    <row r="339" spans="1:10" x14ac:dyDescent="0.25">
      <c r="A339" s="11"/>
      <c r="B339" s="12"/>
      <c r="C339" s="19"/>
      <c r="D339" s="15">
        <f>IF(A339="","",IFERROR(INDEX(Ejemplares!$F$5:$F$64,MATCH(A339,Ejemplares!$A$5:$A$64,0)),""))</f>
      </c>
      <c r="E339" s="11"/>
      <c r="F339" s="16">
        <f>IF(A339="","",COUNTIF($A$5:$A339,A339))</f>
      </c>
      <c r="G339" s="15">
        <f>IF(A339="","",A339&amp;"|"&amp;F339)</f>
      </c>
      <c r="H339" s="17">
        <f>IF(OR(F339="",F339&lt;2,C339=""),"",IFERROR(C339-INDEX($C$5:$C$504,MATCH(A339&amp;"|"&amp;(F339-1),$G$5:$G$504,0)),""))</f>
      </c>
      <c r="I339" s="16">
        <f>IF(OR(F339="",F339&lt;2,B339=""),"",IFERROR(B339-INDEX($B$5:$B$504,MATCH(A339&amp;"|"&amp;(F339-1),$G$5:$G$504,0)),""))</f>
      </c>
      <c r="J339" s="18">
        <f>IF(OR(H339="",I339="",I339=0),"",H339/I339)</f>
      </c>
    </row>
    <row r="340" spans="1:10" x14ac:dyDescent="0.25">
      <c r="A340" s="11"/>
      <c r="B340" s="12"/>
      <c r="C340" s="19"/>
      <c r="D340" s="15">
        <f>IF(A340="","",IFERROR(INDEX(Ejemplares!$F$5:$F$64,MATCH(A340,Ejemplares!$A$5:$A$64,0)),""))</f>
      </c>
      <c r="E340" s="11"/>
      <c r="F340" s="16">
        <f>IF(A340="","",COUNTIF($A$5:$A340,A340))</f>
      </c>
      <c r="G340" s="15">
        <f>IF(A340="","",A340&amp;"|"&amp;F340)</f>
      </c>
      <c r="H340" s="17">
        <f>IF(OR(F340="",F340&lt;2,C340=""),"",IFERROR(C340-INDEX($C$5:$C$504,MATCH(A340&amp;"|"&amp;(F340-1),$G$5:$G$504,0)),""))</f>
      </c>
      <c r="I340" s="16">
        <f>IF(OR(F340="",F340&lt;2,B340=""),"",IFERROR(B340-INDEX($B$5:$B$504,MATCH(A340&amp;"|"&amp;(F340-1),$G$5:$G$504,0)),""))</f>
      </c>
      <c r="J340" s="18">
        <f>IF(OR(H340="",I340="",I340=0),"",H340/I340)</f>
      </c>
    </row>
    <row r="341" spans="1:10" x14ac:dyDescent="0.25">
      <c r="A341" s="11"/>
      <c r="B341" s="12"/>
      <c r="C341" s="19"/>
      <c r="D341" s="15">
        <f>IF(A341="","",IFERROR(INDEX(Ejemplares!$F$5:$F$64,MATCH(A341,Ejemplares!$A$5:$A$64,0)),""))</f>
      </c>
      <c r="E341" s="11"/>
      <c r="F341" s="16">
        <f>IF(A341="","",COUNTIF($A$5:$A341,A341))</f>
      </c>
      <c r="G341" s="15">
        <f>IF(A341="","",A341&amp;"|"&amp;F341)</f>
      </c>
      <c r="H341" s="17">
        <f>IF(OR(F341="",F341&lt;2,C341=""),"",IFERROR(C341-INDEX($C$5:$C$504,MATCH(A341&amp;"|"&amp;(F341-1),$G$5:$G$504,0)),""))</f>
      </c>
      <c r="I341" s="16">
        <f>IF(OR(F341="",F341&lt;2,B341=""),"",IFERROR(B341-INDEX($B$5:$B$504,MATCH(A341&amp;"|"&amp;(F341-1),$G$5:$G$504,0)),""))</f>
      </c>
      <c r="J341" s="18">
        <f>IF(OR(H341="",I341="",I341=0),"",H341/I341)</f>
      </c>
    </row>
    <row r="342" spans="1:10" x14ac:dyDescent="0.25">
      <c r="A342" s="11"/>
      <c r="B342" s="12"/>
      <c r="C342" s="19"/>
      <c r="D342" s="15">
        <f>IF(A342="","",IFERROR(INDEX(Ejemplares!$F$5:$F$64,MATCH(A342,Ejemplares!$A$5:$A$64,0)),""))</f>
      </c>
      <c r="E342" s="11"/>
      <c r="F342" s="16">
        <f>IF(A342="","",COUNTIF($A$5:$A342,A342))</f>
      </c>
      <c r="G342" s="15">
        <f>IF(A342="","",A342&amp;"|"&amp;F342)</f>
      </c>
      <c r="H342" s="17">
        <f>IF(OR(F342="",F342&lt;2,C342=""),"",IFERROR(C342-INDEX($C$5:$C$504,MATCH(A342&amp;"|"&amp;(F342-1),$G$5:$G$504,0)),""))</f>
      </c>
      <c r="I342" s="16">
        <f>IF(OR(F342="",F342&lt;2,B342=""),"",IFERROR(B342-INDEX($B$5:$B$504,MATCH(A342&amp;"|"&amp;(F342-1),$G$5:$G$504,0)),""))</f>
      </c>
      <c r="J342" s="18">
        <f>IF(OR(H342="",I342="",I342=0),"",H342/I342)</f>
      </c>
    </row>
    <row r="343" spans="1:10" x14ac:dyDescent="0.25">
      <c r="A343" s="11"/>
      <c r="B343" s="12"/>
      <c r="C343" s="19"/>
      <c r="D343" s="15">
        <f>IF(A343="","",IFERROR(INDEX(Ejemplares!$F$5:$F$64,MATCH(A343,Ejemplares!$A$5:$A$64,0)),""))</f>
      </c>
      <c r="E343" s="11"/>
      <c r="F343" s="16">
        <f>IF(A343="","",COUNTIF($A$5:$A343,A343))</f>
      </c>
      <c r="G343" s="15">
        <f>IF(A343="","",A343&amp;"|"&amp;F343)</f>
      </c>
      <c r="H343" s="17">
        <f>IF(OR(F343="",F343&lt;2,C343=""),"",IFERROR(C343-INDEX($C$5:$C$504,MATCH(A343&amp;"|"&amp;(F343-1),$G$5:$G$504,0)),""))</f>
      </c>
      <c r="I343" s="16">
        <f>IF(OR(F343="",F343&lt;2,B343=""),"",IFERROR(B343-INDEX($B$5:$B$504,MATCH(A343&amp;"|"&amp;(F343-1),$G$5:$G$504,0)),""))</f>
      </c>
      <c r="J343" s="18">
        <f>IF(OR(H343="",I343="",I343=0),"",H343/I343)</f>
      </c>
    </row>
    <row r="344" spans="1:10" x14ac:dyDescent="0.25">
      <c r="A344" s="11"/>
      <c r="B344" s="12"/>
      <c r="C344" s="19"/>
      <c r="D344" s="15">
        <f>IF(A344="","",IFERROR(INDEX(Ejemplares!$F$5:$F$64,MATCH(A344,Ejemplares!$A$5:$A$64,0)),""))</f>
      </c>
      <c r="E344" s="11"/>
      <c r="F344" s="16">
        <f>IF(A344="","",COUNTIF($A$5:$A344,A344))</f>
      </c>
      <c r="G344" s="15">
        <f>IF(A344="","",A344&amp;"|"&amp;F344)</f>
      </c>
      <c r="H344" s="17">
        <f>IF(OR(F344="",F344&lt;2,C344=""),"",IFERROR(C344-INDEX($C$5:$C$504,MATCH(A344&amp;"|"&amp;(F344-1),$G$5:$G$504,0)),""))</f>
      </c>
      <c r="I344" s="16">
        <f>IF(OR(F344="",F344&lt;2,B344=""),"",IFERROR(B344-INDEX($B$5:$B$504,MATCH(A344&amp;"|"&amp;(F344-1),$G$5:$G$504,0)),""))</f>
      </c>
      <c r="J344" s="18">
        <f>IF(OR(H344="",I344="",I344=0),"",H344/I344)</f>
      </c>
    </row>
    <row r="345" spans="1:10" x14ac:dyDescent="0.25">
      <c r="A345" s="11"/>
      <c r="B345" s="12"/>
      <c r="C345" s="19"/>
      <c r="D345" s="15">
        <f>IF(A345="","",IFERROR(INDEX(Ejemplares!$F$5:$F$64,MATCH(A345,Ejemplares!$A$5:$A$64,0)),""))</f>
      </c>
      <c r="E345" s="11"/>
      <c r="F345" s="16">
        <f>IF(A345="","",COUNTIF($A$5:$A345,A345))</f>
      </c>
      <c r="G345" s="15">
        <f>IF(A345="","",A345&amp;"|"&amp;F345)</f>
      </c>
      <c r="H345" s="17">
        <f>IF(OR(F345="",F345&lt;2,C345=""),"",IFERROR(C345-INDEX($C$5:$C$504,MATCH(A345&amp;"|"&amp;(F345-1),$G$5:$G$504,0)),""))</f>
      </c>
      <c r="I345" s="16">
        <f>IF(OR(F345="",F345&lt;2,B345=""),"",IFERROR(B345-INDEX($B$5:$B$504,MATCH(A345&amp;"|"&amp;(F345-1),$G$5:$G$504,0)),""))</f>
      </c>
      <c r="J345" s="18">
        <f>IF(OR(H345="",I345="",I345=0),"",H345/I345)</f>
      </c>
    </row>
    <row r="346" spans="1:10" x14ac:dyDescent="0.25">
      <c r="A346" s="11"/>
      <c r="B346" s="12"/>
      <c r="C346" s="19"/>
      <c r="D346" s="15">
        <f>IF(A346="","",IFERROR(INDEX(Ejemplares!$F$5:$F$64,MATCH(A346,Ejemplares!$A$5:$A$64,0)),""))</f>
      </c>
      <c r="E346" s="11"/>
      <c r="F346" s="16">
        <f>IF(A346="","",COUNTIF($A$5:$A346,A346))</f>
      </c>
      <c r="G346" s="15">
        <f>IF(A346="","",A346&amp;"|"&amp;F346)</f>
      </c>
      <c r="H346" s="17">
        <f>IF(OR(F346="",F346&lt;2,C346=""),"",IFERROR(C346-INDEX($C$5:$C$504,MATCH(A346&amp;"|"&amp;(F346-1),$G$5:$G$504,0)),""))</f>
      </c>
      <c r="I346" s="16">
        <f>IF(OR(F346="",F346&lt;2,B346=""),"",IFERROR(B346-INDEX($B$5:$B$504,MATCH(A346&amp;"|"&amp;(F346-1),$G$5:$G$504,0)),""))</f>
      </c>
      <c r="J346" s="18">
        <f>IF(OR(H346="",I346="",I346=0),"",H346/I346)</f>
      </c>
    </row>
    <row r="347" spans="1:10" x14ac:dyDescent="0.25">
      <c r="A347" s="11"/>
      <c r="B347" s="12"/>
      <c r="C347" s="19"/>
      <c r="D347" s="15">
        <f>IF(A347="","",IFERROR(INDEX(Ejemplares!$F$5:$F$64,MATCH(A347,Ejemplares!$A$5:$A$64,0)),""))</f>
      </c>
      <c r="E347" s="11"/>
      <c r="F347" s="16">
        <f>IF(A347="","",COUNTIF($A$5:$A347,A347))</f>
      </c>
      <c r="G347" s="15">
        <f>IF(A347="","",A347&amp;"|"&amp;F347)</f>
      </c>
      <c r="H347" s="17">
        <f>IF(OR(F347="",F347&lt;2,C347=""),"",IFERROR(C347-INDEX($C$5:$C$504,MATCH(A347&amp;"|"&amp;(F347-1),$G$5:$G$504,0)),""))</f>
      </c>
      <c r="I347" s="16">
        <f>IF(OR(F347="",F347&lt;2,B347=""),"",IFERROR(B347-INDEX($B$5:$B$504,MATCH(A347&amp;"|"&amp;(F347-1),$G$5:$G$504,0)),""))</f>
      </c>
      <c r="J347" s="18">
        <f>IF(OR(H347="",I347="",I347=0),"",H347/I347)</f>
      </c>
    </row>
    <row r="348" spans="1:10" x14ac:dyDescent="0.25">
      <c r="A348" s="11"/>
      <c r="B348" s="12"/>
      <c r="C348" s="19"/>
      <c r="D348" s="15">
        <f>IF(A348="","",IFERROR(INDEX(Ejemplares!$F$5:$F$64,MATCH(A348,Ejemplares!$A$5:$A$64,0)),""))</f>
      </c>
      <c r="E348" s="11"/>
      <c r="F348" s="16">
        <f>IF(A348="","",COUNTIF($A$5:$A348,A348))</f>
      </c>
      <c r="G348" s="15">
        <f>IF(A348="","",A348&amp;"|"&amp;F348)</f>
      </c>
      <c r="H348" s="17">
        <f>IF(OR(F348="",F348&lt;2,C348=""),"",IFERROR(C348-INDEX($C$5:$C$504,MATCH(A348&amp;"|"&amp;(F348-1),$G$5:$G$504,0)),""))</f>
      </c>
      <c r="I348" s="16">
        <f>IF(OR(F348="",F348&lt;2,B348=""),"",IFERROR(B348-INDEX($B$5:$B$504,MATCH(A348&amp;"|"&amp;(F348-1),$G$5:$G$504,0)),""))</f>
      </c>
      <c r="J348" s="18">
        <f>IF(OR(H348="",I348="",I348=0),"",H348/I348)</f>
      </c>
    </row>
    <row r="349" spans="1:10" x14ac:dyDescent="0.25">
      <c r="A349" s="11"/>
      <c r="B349" s="12"/>
      <c r="C349" s="19"/>
      <c r="D349" s="15">
        <f>IF(A349="","",IFERROR(INDEX(Ejemplares!$F$5:$F$64,MATCH(A349,Ejemplares!$A$5:$A$64,0)),""))</f>
      </c>
      <c r="E349" s="11"/>
      <c r="F349" s="16">
        <f>IF(A349="","",COUNTIF($A$5:$A349,A349))</f>
      </c>
      <c r="G349" s="15">
        <f>IF(A349="","",A349&amp;"|"&amp;F349)</f>
      </c>
      <c r="H349" s="17">
        <f>IF(OR(F349="",F349&lt;2,C349=""),"",IFERROR(C349-INDEX($C$5:$C$504,MATCH(A349&amp;"|"&amp;(F349-1),$G$5:$G$504,0)),""))</f>
      </c>
      <c r="I349" s="16">
        <f>IF(OR(F349="",F349&lt;2,B349=""),"",IFERROR(B349-INDEX($B$5:$B$504,MATCH(A349&amp;"|"&amp;(F349-1),$G$5:$G$504,0)),""))</f>
      </c>
      <c r="J349" s="18">
        <f>IF(OR(H349="",I349="",I349=0),"",H349/I349)</f>
      </c>
    </row>
    <row r="350" spans="1:10" x14ac:dyDescent="0.25">
      <c r="A350" s="11"/>
      <c r="B350" s="12"/>
      <c r="C350" s="19"/>
      <c r="D350" s="15">
        <f>IF(A350="","",IFERROR(INDEX(Ejemplares!$F$5:$F$64,MATCH(A350,Ejemplares!$A$5:$A$64,0)),""))</f>
      </c>
      <c r="E350" s="11"/>
      <c r="F350" s="16">
        <f>IF(A350="","",COUNTIF($A$5:$A350,A350))</f>
      </c>
      <c r="G350" s="15">
        <f>IF(A350="","",A350&amp;"|"&amp;F350)</f>
      </c>
      <c r="H350" s="17">
        <f>IF(OR(F350="",F350&lt;2,C350=""),"",IFERROR(C350-INDEX($C$5:$C$504,MATCH(A350&amp;"|"&amp;(F350-1),$G$5:$G$504,0)),""))</f>
      </c>
      <c r="I350" s="16">
        <f>IF(OR(F350="",F350&lt;2,B350=""),"",IFERROR(B350-INDEX($B$5:$B$504,MATCH(A350&amp;"|"&amp;(F350-1),$G$5:$G$504,0)),""))</f>
      </c>
      <c r="J350" s="18">
        <f>IF(OR(H350="",I350="",I350=0),"",H350/I350)</f>
      </c>
    </row>
    <row r="351" spans="1:10" x14ac:dyDescent="0.25">
      <c r="A351" s="11"/>
      <c r="B351" s="12"/>
      <c r="C351" s="19"/>
      <c r="D351" s="15">
        <f>IF(A351="","",IFERROR(INDEX(Ejemplares!$F$5:$F$64,MATCH(A351,Ejemplares!$A$5:$A$64,0)),""))</f>
      </c>
      <c r="E351" s="11"/>
      <c r="F351" s="16">
        <f>IF(A351="","",COUNTIF($A$5:$A351,A351))</f>
      </c>
      <c r="G351" s="15">
        <f>IF(A351="","",A351&amp;"|"&amp;F351)</f>
      </c>
      <c r="H351" s="17">
        <f>IF(OR(F351="",F351&lt;2,C351=""),"",IFERROR(C351-INDEX($C$5:$C$504,MATCH(A351&amp;"|"&amp;(F351-1),$G$5:$G$504,0)),""))</f>
      </c>
      <c r="I351" s="16">
        <f>IF(OR(F351="",F351&lt;2,B351=""),"",IFERROR(B351-INDEX($B$5:$B$504,MATCH(A351&amp;"|"&amp;(F351-1),$G$5:$G$504,0)),""))</f>
      </c>
      <c r="J351" s="18">
        <f>IF(OR(H351="",I351="",I351=0),"",H351/I351)</f>
      </c>
    </row>
    <row r="352" spans="1:10" x14ac:dyDescent="0.25">
      <c r="A352" s="11"/>
      <c r="B352" s="12"/>
      <c r="C352" s="19"/>
      <c r="D352" s="15">
        <f>IF(A352="","",IFERROR(INDEX(Ejemplares!$F$5:$F$64,MATCH(A352,Ejemplares!$A$5:$A$64,0)),""))</f>
      </c>
      <c r="E352" s="11"/>
      <c r="F352" s="16">
        <f>IF(A352="","",COUNTIF($A$5:$A352,A352))</f>
      </c>
      <c r="G352" s="15">
        <f>IF(A352="","",A352&amp;"|"&amp;F352)</f>
      </c>
      <c r="H352" s="17">
        <f>IF(OR(F352="",F352&lt;2,C352=""),"",IFERROR(C352-INDEX($C$5:$C$504,MATCH(A352&amp;"|"&amp;(F352-1),$G$5:$G$504,0)),""))</f>
      </c>
      <c r="I352" s="16">
        <f>IF(OR(F352="",F352&lt;2,B352=""),"",IFERROR(B352-INDEX($B$5:$B$504,MATCH(A352&amp;"|"&amp;(F352-1),$G$5:$G$504,0)),""))</f>
      </c>
      <c r="J352" s="18">
        <f>IF(OR(H352="",I352="",I352=0),"",H352/I352)</f>
      </c>
    </row>
    <row r="353" spans="1:10" x14ac:dyDescent="0.25">
      <c r="A353" s="11"/>
      <c r="B353" s="12"/>
      <c r="C353" s="19"/>
      <c r="D353" s="15">
        <f>IF(A353="","",IFERROR(INDEX(Ejemplares!$F$5:$F$64,MATCH(A353,Ejemplares!$A$5:$A$64,0)),""))</f>
      </c>
      <c r="E353" s="11"/>
      <c r="F353" s="16">
        <f>IF(A353="","",COUNTIF($A$5:$A353,A353))</f>
      </c>
      <c r="G353" s="15">
        <f>IF(A353="","",A353&amp;"|"&amp;F353)</f>
      </c>
      <c r="H353" s="17">
        <f>IF(OR(F353="",F353&lt;2,C353=""),"",IFERROR(C353-INDEX($C$5:$C$504,MATCH(A353&amp;"|"&amp;(F353-1),$G$5:$G$504,0)),""))</f>
      </c>
      <c r="I353" s="16">
        <f>IF(OR(F353="",F353&lt;2,B353=""),"",IFERROR(B353-INDEX($B$5:$B$504,MATCH(A353&amp;"|"&amp;(F353-1),$G$5:$G$504,0)),""))</f>
      </c>
      <c r="J353" s="18">
        <f>IF(OR(H353="",I353="",I353=0),"",H353/I353)</f>
      </c>
    </row>
    <row r="354" spans="1:10" x14ac:dyDescent="0.25">
      <c r="A354" s="11"/>
      <c r="B354" s="12"/>
      <c r="C354" s="19"/>
      <c r="D354" s="15">
        <f>IF(A354="","",IFERROR(INDEX(Ejemplares!$F$5:$F$64,MATCH(A354,Ejemplares!$A$5:$A$64,0)),""))</f>
      </c>
      <c r="E354" s="11"/>
      <c r="F354" s="16">
        <f>IF(A354="","",COUNTIF($A$5:$A354,A354))</f>
      </c>
      <c r="G354" s="15">
        <f>IF(A354="","",A354&amp;"|"&amp;F354)</f>
      </c>
      <c r="H354" s="17">
        <f>IF(OR(F354="",F354&lt;2,C354=""),"",IFERROR(C354-INDEX($C$5:$C$504,MATCH(A354&amp;"|"&amp;(F354-1),$G$5:$G$504,0)),""))</f>
      </c>
      <c r="I354" s="16">
        <f>IF(OR(F354="",F354&lt;2,B354=""),"",IFERROR(B354-INDEX($B$5:$B$504,MATCH(A354&amp;"|"&amp;(F354-1),$G$5:$G$504,0)),""))</f>
      </c>
      <c r="J354" s="18">
        <f>IF(OR(H354="",I354="",I354=0),"",H354/I354)</f>
      </c>
    </row>
    <row r="355" spans="1:10" x14ac:dyDescent="0.25">
      <c r="A355" s="11"/>
      <c r="B355" s="12"/>
      <c r="C355" s="19"/>
      <c r="D355" s="15">
        <f>IF(A355="","",IFERROR(INDEX(Ejemplares!$F$5:$F$64,MATCH(A355,Ejemplares!$A$5:$A$64,0)),""))</f>
      </c>
      <c r="E355" s="11"/>
      <c r="F355" s="16">
        <f>IF(A355="","",COUNTIF($A$5:$A355,A355))</f>
      </c>
      <c r="G355" s="15">
        <f>IF(A355="","",A355&amp;"|"&amp;F355)</f>
      </c>
      <c r="H355" s="17">
        <f>IF(OR(F355="",F355&lt;2,C355=""),"",IFERROR(C355-INDEX($C$5:$C$504,MATCH(A355&amp;"|"&amp;(F355-1),$G$5:$G$504,0)),""))</f>
      </c>
      <c r="I355" s="16">
        <f>IF(OR(F355="",F355&lt;2,B355=""),"",IFERROR(B355-INDEX($B$5:$B$504,MATCH(A355&amp;"|"&amp;(F355-1),$G$5:$G$504,0)),""))</f>
      </c>
      <c r="J355" s="18">
        <f>IF(OR(H355="",I355="",I355=0),"",H355/I355)</f>
      </c>
    </row>
    <row r="356" spans="1:10" x14ac:dyDescent="0.25">
      <c r="A356" s="11"/>
      <c r="B356" s="12"/>
      <c r="C356" s="19"/>
      <c r="D356" s="15">
        <f>IF(A356="","",IFERROR(INDEX(Ejemplares!$F$5:$F$64,MATCH(A356,Ejemplares!$A$5:$A$64,0)),""))</f>
      </c>
      <c r="E356" s="11"/>
      <c r="F356" s="16">
        <f>IF(A356="","",COUNTIF($A$5:$A356,A356))</f>
      </c>
      <c r="G356" s="15">
        <f>IF(A356="","",A356&amp;"|"&amp;F356)</f>
      </c>
      <c r="H356" s="17">
        <f>IF(OR(F356="",F356&lt;2,C356=""),"",IFERROR(C356-INDEX($C$5:$C$504,MATCH(A356&amp;"|"&amp;(F356-1),$G$5:$G$504,0)),""))</f>
      </c>
      <c r="I356" s="16">
        <f>IF(OR(F356="",F356&lt;2,B356=""),"",IFERROR(B356-INDEX($B$5:$B$504,MATCH(A356&amp;"|"&amp;(F356-1),$G$5:$G$504,0)),""))</f>
      </c>
      <c r="J356" s="18">
        <f>IF(OR(H356="",I356="",I356=0),"",H356/I356)</f>
      </c>
    </row>
    <row r="357" spans="1:10" x14ac:dyDescent="0.25">
      <c r="A357" s="11"/>
      <c r="B357" s="12"/>
      <c r="C357" s="19"/>
      <c r="D357" s="15">
        <f>IF(A357="","",IFERROR(INDEX(Ejemplares!$F$5:$F$64,MATCH(A357,Ejemplares!$A$5:$A$64,0)),""))</f>
      </c>
      <c r="E357" s="11"/>
      <c r="F357" s="16">
        <f>IF(A357="","",COUNTIF($A$5:$A357,A357))</f>
      </c>
      <c r="G357" s="15">
        <f>IF(A357="","",A357&amp;"|"&amp;F357)</f>
      </c>
      <c r="H357" s="17">
        <f>IF(OR(F357="",F357&lt;2,C357=""),"",IFERROR(C357-INDEX($C$5:$C$504,MATCH(A357&amp;"|"&amp;(F357-1),$G$5:$G$504,0)),""))</f>
      </c>
      <c r="I357" s="16">
        <f>IF(OR(F357="",F357&lt;2,B357=""),"",IFERROR(B357-INDEX($B$5:$B$504,MATCH(A357&amp;"|"&amp;(F357-1),$G$5:$G$504,0)),""))</f>
      </c>
      <c r="J357" s="18">
        <f>IF(OR(H357="",I357="",I357=0),"",H357/I357)</f>
      </c>
    </row>
    <row r="358" spans="1:10" x14ac:dyDescent="0.25">
      <c r="A358" s="11"/>
      <c r="B358" s="12"/>
      <c r="C358" s="19"/>
      <c r="D358" s="15">
        <f>IF(A358="","",IFERROR(INDEX(Ejemplares!$F$5:$F$64,MATCH(A358,Ejemplares!$A$5:$A$64,0)),""))</f>
      </c>
      <c r="E358" s="11"/>
      <c r="F358" s="16">
        <f>IF(A358="","",COUNTIF($A$5:$A358,A358))</f>
      </c>
      <c r="G358" s="15">
        <f>IF(A358="","",A358&amp;"|"&amp;F358)</f>
      </c>
      <c r="H358" s="17">
        <f>IF(OR(F358="",F358&lt;2,C358=""),"",IFERROR(C358-INDEX($C$5:$C$504,MATCH(A358&amp;"|"&amp;(F358-1),$G$5:$G$504,0)),""))</f>
      </c>
      <c r="I358" s="16">
        <f>IF(OR(F358="",F358&lt;2,B358=""),"",IFERROR(B358-INDEX($B$5:$B$504,MATCH(A358&amp;"|"&amp;(F358-1),$G$5:$G$504,0)),""))</f>
      </c>
      <c r="J358" s="18">
        <f>IF(OR(H358="",I358="",I358=0),"",H358/I358)</f>
      </c>
    </row>
    <row r="359" spans="1:10" x14ac:dyDescent="0.25">
      <c r="A359" s="11"/>
      <c r="B359" s="12"/>
      <c r="C359" s="19"/>
      <c r="D359" s="15">
        <f>IF(A359="","",IFERROR(INDEX(Ejemplares!$F$5:$F$64,MATCH(A359,Ejemplares!$A$5:$A$64,0)),""))</f>
      </c>
      <c r="E359" s="11"/>
      <c r="F359" s="16">
        <f>IF(A359="","",COUNTIF($A$5:$A359,A359))</f>
      </c>
      <c r="G359" s="15">
        <f>IF(A359="","",A359&amp;"|"&amp;F359)</f>
      </c>
      <c r="H359" s="17">
        <f>IF(OR(F359="",F359&lt;2,C359=""),"",IFERROR(C359-INDEX($C$5:$C$504,MATCH(A359&amp;"|"&amp;(F359-1),$G$5:$G$504,0)),""))</f>
      </c>
      <c r="I359" s="16">
        <f>IF(OR(F359="",F359&lt;2,B359=""),"",IFERROR(B359-INDEX($B$5:$B$504,MATCH(A359&amp;"|"&amp;(F359-1),$G$5:$G$504,0)),""))</f>
      </c>
      <c r="J359" s="18">
        <f>IF(OR(H359="",I359="",I359=0),"",H359/I359)</f>
      </c>
    </row>
    <row r="360" spans="1:10" x14ac:dyDescent="0.25">
      <c r="A360" s="11"/>
      <c r="B360" s="12"/>
      <c r="C360" s="19"/>
      <c r="D360" s="15">
        <f>IF(A360="","",IFERROR(INDEX(Ejemplares!$F$5:$F$64,MATCH(A360,Ejemplares!$A$5:$A$64,0)),""))</f>
      </c>
      <c r="E360" s="11"/>
      <c r="F360" s="16">
        <f>IF(A360="","",COUNTIF($A$5:$A360,A360))</f>
      </c>
      <c r="G360" s="15">
        <f>IF(A360="","",A360&amp;"|"&amp;F360)</f>
      </c>
      <c r="H360" s="17">
        <f>IF(OR(F360="",F360&lt;2,C360=""),"",IFERROR(C360-INDEX($C$5:$C$504,MATCH(A360&amp;"|"&amp;(F360-1),$G$5:$G$504,0)),""))</f>
      </c>
      <c r="I360" s="16">
        <f>IF(OR(F360="",F360&lt;2,B360=""),"",IFERROR(B360-INDEX($B$5:$B$504,MATCH(A360&amp;"|"&amp;(F360-1),$G$5:$G$504,0)),""))</f>
      </c>
      <c r="J360" s="18">
        <f>IF(OR(H360="",I360="",I360=0),"",H360/I360)</f>
      </c>
    </row>
    <row r="361" spans="1:10" x14ac:dyDescent="0.25">
      <c r="A361" s="11"/>
      <c r="B361" s="12"/>
      <c r="C361" s="19"/>
      <c r="D361" s="15">
        <f>IF(A361="","",IFERROR(INDEX(Ejemplares!$F$5:$F$64,MATCH(A361,Ejemplares!$A$5:$A$64,0)),""))</f>
      </c>
      <c r="E361" s="11"/>
      <c r="F361" s="16">
        <f>IF(A361="","",COUNTIF($A$5:$A361,A361))</f>
      </c>
      <c r="G361" s="15">
        <f>IF(A361="","",A361&amp;"|"&amp;F361)</f>
      </c>
      <c r="H361" s="17">
        <f>IF(OR(F361="",F361&lt;2,C361=""),"",IFERROR(C361-INDEX($C$5:$C$504,MATCH(A361&amp;"|"&amp;(F361-1),$G$5:$G$504,0)),""))</f>
      </c>
      <c r="I361" s="16">
        <f>IF(OR(F361="",F361&lt;2,B361=""),"",IFERROR(B361-INDEX($B$5:$B$504,MATCH(A361&amp;"|"&amp;(F361-1),$G$5:$G$504,0)),""))</f>
      </c>
      <c r="J361" s="18">
        <f>IF(OR(H361="",I361="",I361=0),"",H361/I361)</f>
      </c>
    </row>
    <row r="362" spans="1:10" x14ac:dyDescent="0.25">
      <c r="A362" s="11"/>
      <c r="B362" s="12"/>
      <c r="C362" s="19"/>
      <c r="D362" s="15">
        <f>IF(A362="","",IFERROR(INDEX(Ejemplares!$F$5:$F$64,MATCH(A362,Ejemplares!$A$5:$A$64,0)),""))</f>
      </c>
      <c r="E362" s="11"/>
      <c r="F362" s="16">
        <f>IF(A362="","",COUNTIF($A$5:$A362,A362))</f>
      </c>
      <c r="G362" s="15">
        <f>IF(A362="","",A362&amp;"|"&amp;F362)</f>
      </c>
      <c r="H362" s="17">
        <f>IF(OR(F362="",F362&lt;2,C362=""),"",IFERROR(C362-INDEX($C$5:$C$504,MATCH(A362&amp;"|"&amp;(F362-1),$G$5:$G$504,0)),""))</f>
      </c>
      <c r="I362" s="16">
        <f>IF(OR(F362="",F362&lt;2,B362=""),"",IFERROR(B362-INDEX($B$5:$B$504,MATCH(A362&amp;"|"&amp;(F362-1),$G$5:$G$504,0)),""))</f>
      </c>
      <c r="J362" s="18">
        <f>IF(OR(H362="",I362="",I362=0),"",H362/I362)</f>
      </c>
    </row>
    <row r="363" spans="1:10" x14ac:dyDescent="0.25">
      <c r="A363" s="11"/>
      <c r="B363" s="12"/>
      <c r="C363" s="19"/>
      <c r="D363" s="15">
        <f>IF(A363="","",IFERROR(INDEX(Ejemplares!$F$5:$F$64,MATCH(A363,Ejemplares!$A$5:$A$64,0)),""))</f>
      </c>
      <c r="E363" s="11"/>
      <c r="F363" s="16">
        <f>IF(A363="","",COUNTIF($A$5:$A363,A363))</f>
      </c>
      <c r="G363" s="15">
        <f>IF(A363="","",A363&amp;"|"&amp;F363)</f>
      </c>
      <c r="H363" s="17">
        <f>IF(OR(F363="",F363&lt;2,C363=""),"",IFERROR(C363-INDEX($C$5:$C$504,MATCH(A363&amp;"|"&amp;(F363-1),$G$5:$G$504,0)),""))</f>
      </c>
      <c r="I363" s="16">
        <f>IF(OR(F363="",F363&lt;2,B363=""),"",IFERROR(B363-INDEX($B$5:$B$504,MATCH(A363&amp;"|"&amp;(F363-1),$G$5:$G$504,0)),""))</f>
      </c>
      <c r="J363" s="18">
        <f>IF(OR(H363="",I363="",I363=0),"",H363/I363)</f>
      </c>
    </row>
    <row r="364" spans="1:10" x14ac:dyDescent="0.25">
      <c r="A364" s="11"/>
      <c r="B364" s="12"/>
      <c r="C364" s="19"/>
      <c r="D364" s="15">
        <f>IF(A364="","",IFERROR(INDEX(Ejemplares!$F$5:$F$64,MATCH(A364,Ejemplares!$A$5:$A$64,0)),""))</f>
      </c>
      <c r="E364" s="11"/>
      <c r="F364" s="16">
        <f>IF(A364="","",COUNTIF($A$5:$A364,A364))</f>
      </c>
      <c r="G364" s="15">
        <f>IF(A364="","",A364&amp;"|"&amp;F364)</f>
      </c>
      <c r="H364" s="17">
        <f>IF(OR(F364="",F364&lt;2,C364=""),"",IFERROR(C364-INDEX($C$5:$C$504,MATCH(A364&amp;"|"&amp;(F364-1),$G$5:$G$504,0)),""))</f>
      </c>
      <c r="I364" s="16">
        <f>IF(OR(F364="",F364&lt;2,B364=""),"",IFERROR(B364-INDEX($B$5:$B$504,MATCH(A364&amp;"|"&amp;(F364-1),$G$5:$G$504,0)),""))</f>
      </c>
      <c r="J364" s="18">
        <f>IF(OR(H364="",I364="",I364=0),"",H364/I364)</f>
      </c>
    </row>
    <row r="365" spans="1:10" x14ac:dyDescent="0.25">
      <c r="A365" s="11"/>
      <c r="B365" s="12"/>
      <c r="C365" s="19"/>
      <c r="D365" s="15">
        <f>IF(A365="","",IFERROR(INDEX(Ejemplares!$F$5:$F$64,MATCH(A365,Ejemplares!$A$5:$A$64,0)),""))</f>
      </c>
      <c r="E365" s="11"/>
      <c r="F365" s="16">
        <f>IF(A365="","",COUNTIF($A$5:$A365,A365))</f>
      </c>
      <c r="G365" s="15">
        <f>IF(A365="","",A365&amp;"|"&amp;F365)</f>
      </c>
      <c r="H365" s="17">
        <f>IF(OR(F365="",F365&lt;2,C365=""),"",IFERROR(C365-INDEX($C$5:$C$504,MATCH(A365&amp;"|"&amp;(F365-1),$G$5:$G$504,0)),""))</f>
      </c>
      <c r="I365" s="16">
        <f>IF(OR(F365="",F365&lt;2,B365=""),"",IFERROR(B365-INDEX($B$5:$B$504,MATCH(A365&amp;"|"&amp;(F365-1),$G$5:$G$504,0)),""))</f>
      </c>
      <c r="J365" s="18">
        <f>IF(OR(H365="",I365="",I365=0),"",H365/I365)</f>
      </c>
    </row>
    <row r="366" spans="1:10" x14ac:dyDescent="0.25">
      <c r="A366" s="11"/>
      <c r="B366" s="12"/>
      <c r="C366" s="19"/>
      <c r="D366" s="15">
        <f>IF(A366="","",IFERROR(INDEX(Ejemplares!$F$5:$F$64,MATCH(A366,Ejemplares!$A$5:$A$64,0)),""))</f>
      </c>
      <c r="E366" s="11"/>
      <c r="F366" s="16">
        <f>IF(A366="","",COUNTIF($A$5:$A366,A366))</f>
      </c>
      <c r="G366" s="15">
        <f>IF(A366="","",A366&amp;"|"&amp;F366)</f>
      </c>
      <c r="H366" s="17">
        <f>IF(OR(F366="",F366&lt;2,C366=""),"",IFERROR(C366-INDEX($C$5:$C$504,MATCH(A366&amp;"|"&amp;(F366-1),$G$5:$G$504,0)),""))</f>
      </c>
      <c r="I366" s="16">
        <f>IF(OR(F366="",F366&lt;2,B366=""),"",IFERROR(B366-INDEX($B$5:$B$504,MATCH(A366&amp;"|"&amp;(F366-1),$G$5:$G$504,0)),""))</f>
      </c>
      <c r="J366" s="18">
        <f>IF(OR(H366="",I366="",I366=0),"",H366/I366)</f>
      </c>
    </row>
    <row r="367" spans="1:10" x14ac:dyDescent="0.25">
      <c r="A367" s="11"/>
      <c r="B367" s="12"/>
      <c r="C367" s="19"/>
      <c r="D367" s="15">
        <f>IF(A367="","",IFERROR(INDEX(Ejemplares!$F$5:$F$64,MATCH(A367,Ejemplares!$A$5:$A$64,0)),""))</f>
      </c>
      <c r="E367" s="11"/>
      <c r="F367" s="16">
        <f>IF(A367="","",COUNTIF($A$5:$A367,A367))</f>
      </c>
      <c r="G367" s="15">
        <f>IF(A367="","",A367&amp;"|"&amp;F367)</f>
      </c>
      <c r="H367" s="17">
        <f>IF(OR(F367="",F367&lt;2,C367=""),"",IFERROR(C367-INDEX($C$5:$C$504,MATCH(A367&amp;"|"&amp;(F367-1),$G$5:$G$504,0)),""))</f>
      </c>
      <c r="I367" s="16">
        <f>IF(OR(F367="",F367&lt;2,B367=""),"",IFERROR(B367-INDEX($B$5:$B$504,MATCH(A367&amp;"|"&amp;(F367-1),$G$5:$G$504,0)),""))</f>
      </c>
      <c r="J367" s="18">
        <f>IF(OR(H367="",I367="",I367=0),"",H367/I367)</f>
      </c>
    </row>
    <row r="368" spans="1:10" x14ac:dyDescent="0.25">
      <c r="A368" s="11"/>
      <c r="B368" s="12"/>
      <c r="C368" s="19"/>
      <c r="D368" s="15">
        <f>IF(A368="","",IFERROR(INDEX(Ejemplares!$F$5:$F$64,MATCH(A368,Ejemplares!$A$5:$A$64,0)),""))</f>
      </c>
      <c r="E368" s="11"/>
      <c r="F368" s="16">
        <f>IF(A368="","",COUNTIF($A$5:$A368,A368))</f>
      </c>
      <c r="G368" s="15">
        <f>IF(A368="","",A368&amp;"|"&amp;F368)</f>
      </c>
      <c r="H368" s="17">
        <f>IF(OR(F368="",F368&lt;2,C368=""),"",IFERROR(C368-INDEX($C$5:$C$504,MATCH(A368&amp;"|"&amp;(F368-1),$G$5:$G$504,0)),""))</f>
      </c>
      <c r="I368" s="16">
        <f>IF(OR(F368="",F368&lt;2,B368=""),"",IFERROR(B368-INDEX($B$5:$B$504,MATCH(A368&amp;"|"&amp;(F368-1),$G$5:$G$504,0)),""))</f>
      </c>
      <c r="J368" s="18">
        <f>IF(OR(H368="",I368="",I368=0),"",H368/I368)</f>
      </c>
    </row>
    <row r="369" spans="1:10" x14ac:dyDescent="0.25">
      <c r="A369" s="11"/>
      <c r="B369" s="12"/>
      <c r="C369" s="19"/>
      <c r="D369" s="15">
        <f>IF(A369="","",IFERROR(INDEX(Ejemplares!$F$5:$F$64,MATCH(A369,Ejemplares!$A$5:$A$64,0)),""))</f>
      </c>
      <c r="E369" s="11"/>
      <c r="F369" s="16">
        <f>IF(A369="","",COUNTIF($A$5:$A369,A369))</f>
      </c>
      <c r="G369" s="15">
        <f>IF(A369="","",A369&amp;"|"&amp;F369)</f>
      </c>
      <c r="H369" s="17">
        <f>IF(OR(F369="",F369&lt;2,C369=""),"",IFERROR(C369-INDEX($C$5:$C$504,MATCH(A369&amp;"|"&amp;(F369-1),$G$5:$G$504,0)),""))</f>
      </c>
      <c r="I369" s="16">
        <f>IF(OR(F369="",F369&lt;2,B369=""),"",IFERROR(B369-INDEX($B$5:$B$504,MATCH(A369&amp;"|"&amp;(F369-1),$G$5:$G$504,0)),""))</f>
      </c>
      <c r="J369" s="18">
        <f>IF(OR(H369="",I369="",I369=0),"",H369/I369)</f>
      </c>
    </row>
    <row r="370" spans="1:10" x14ac:dyDescent="0.25">
      <c r="A370" s="11"/>
      <c r="B370" s="12"/>
      <c r="C370" s="19"/>
      <c r="D370" s="15">
        <f>IF(A370="","",IFERROR(INDEX(Ejemplares!$F$5:$F$64,MATCH(A370,Ejemplares!$A$5:$A$64,0)),""))</f>
      </c>
      <c r="E370" s="11"/>
      <c r="F370" s="16">
        <f>IF(A370="","",COUNTIF($A$5:$A370,A370))</f>
      </c>
      <c r="G370" s="15">
        <f>IF(A370="","",A370&amp;"|"&amp;F370)</f>
      </c>
      <c r="H370" s="17">
        <f>IF(OR(F370="",F370&lt;2,C370=""),"",IFERROR(C370-INDEX($C$5:$C$504,MATCH(A370&amp;"|"&amp;(F370-1),$G$5:$G$504,0)),""))</f>
      </c>
      <c r="I370" s="16">
        <f>IF(OR(F370="",F370&lt;2,B370=""),"",IFERROR(B370-INDEX($B$5:$B$504,MATCH(A370&amp;"|"&amp;(F370-1),$G$5:$G$504,0)),""))</f>
      </c>
      <c r="J370" s="18">
        <f>IF(OR(H370="",I370="",I370=0),"",H370/I370)</f>
      </c>
    </row>
    <row r="371" spans="1:10" x14ac:dyDescent="0.25">
      <c r="A371" s="11"/>
      <c r="B371" s="12"/>
      <c r="C371" s="19"/>
      <c r="D371" s="15">
        <f>IF(A371="","",IFERROR(INDEX(Ejemplares!$F$5:$F$64,MATCH(A371,Ejemplares!$A$5:$A$64,0)),""))</f>
      </c>
      <c r="E371" s="11"/>
      <c r="F371" s="16">
        <f>IF(A371="","",COUNTIF($A$5:$A371,A371))</f>
      </c>
      <c r="G371" s="15">
        <f>IF(A371="","",A371&amp;"|"&amp;F371)</f>
      </c>
      <c r="H371" s="17">
        <f>IF(OR(F371="",F371&lt;2,C371=""),"",IFERROR(C371-INDEX($C$5:$C$504,MATCH(A371&amp;"|"&amp;(F371-1),$G$5:$G$504,0)),""))</f>
      </c>
      <c r="I371" s="16">
        <f>IF(OR(F371="",F371&lt;2,B371=""),"",IFERROR(B371-INDEX($B$5:$B$504,MATCH(A371&amp;"|"&amp;(F371-1),$G$5:$G$504,0)),""))</f>
      </c>
      <c r="J371" s="18">
        <f>IF(OR(H371="",I371="",I371=0),"",H371/I371)</f>
      </c>
    </row>
    <row r="372" spans="1:10" x14ac:dyDescent="0.25">
      <c r="A372" s="11"/>
      <c r="B372" s="12"/>
      <c r="C372" s="19"/>
      <c r="D372" s="15">
        <f>IF(A372="","",IFERROR(INDEX(Ejemplares!$F$5:$F$64,MATCH(A372,Ejemplares!$A$5:$A$64,0)),""))</f>
      </c>
      <c r="E372" s="11"/>
      <c r="F372" s="16">
        <f>IF(A372="","",COUNTIF($A$5:$A372,A372))</f>
      </c>
      <c r="G372" s="15">
        <f>IF(A372="","",A372&amp;"|"&amp;F372)</f>
      </c>
      <c r="H372" s="17">
        <f>IF(OR(F372="",F372&lt;2,C372=""),"",IFERROR(C372-INDEX($C$5:$C$504,MATCH(A372&amp;"|"&amp;(F372-1),$G$5:$G$504,0)),""))</f>
      </c>
      <c r="I372" s="16">
        <f>IF(OR(F372="",F372&lt;2,B372=""),"",IFERROR(B372-INDEX($B$5:$B$504,MATCH(A372&amp;"|"&amp;(F372-1),$G$5:$G$504,0)),""))</f>
      </c>
      <c r="J372" s="18">
        <f>IF(OR(H372="",I372="",I372=0),"",H372/I372)</f>
      </c>
    </row>
    <row r="373" spans="1:10" x14ac:dyDescent="0.25">
      <c r="A373" s="11"/>
      <c r="B373" s="12"/>
      <c r="C373" s="19"/>
      <c r="D373" s="15">
        <f>IF(A373="","",IFERROR(INDEX(Ejemplares!$F$5:$F$64,MATCH(A373,Ejemplares!$A$5:$A$64,0)),""))</f>
      </c>
      <c r="E373" s="11"/>
      <c r="F373" s="16">
        <f>IF(A373="","",COUNTIF($A$5:$A373,A373))</f>
      </c>
      <c r="G373" s="15">
        <f>IF(A373="","",A373&amp;"|"&amp;F373)</f>
      </c>
      <c r="H373" s="17">
        <f>IF(OR(F373="",F373&lt;2,C373=""),"",IFERROR(C373-INDEX($C$5:$C$504,MATCH(A373&amp;"|"&amp;(F373-1),$G$5:$G$504,0)),""))</f>
      </c>
      <c r="I373" s="16">
        <f>IF(OR(F373="",F373&lt;2,B373=""),"",IFERROR(B373-INDEX($B$5:$B$504,MATCH(A373&amp;"|"&amp;(F373-1),$G$5:$G$504,0)),""))</f>
      </c>
      <c r="J373" s="18">
        <f>IF(OR(H373="",I373="",I373=0),"",H373/I373)</f>
      </c>
    </row>
    <row r="374" spans="1:10" x14ac:dyDescent="0.25">
      <c r="A374" s="11"/>
      <c r="B374" s="12"/>
      <c r="C374" s="19"/>
      <c r="D374" s="15">
        <f>IF(A374="","",IFERROR(INDEX(Ejemplares!$F$5:$F$64,MATCH(A374,Ejemplares!$A$5:$A$64,0)),""))</f>
      </c>
      <c r="E374" s="11"/>
      <c r="F374" s="16">
        <f>IF(A374="","",COUNTIF($A$5:$A374,A374))</f>
      </c>
      <c r="G374" s="15">
        <f>IF(A374="","",A374&amp;"|"&amp;F374)</f>
      </c>
      <c r="H374" s="17">
        <f>IF(OR(F374="",F374&lt;2,C374=""),"",IFERROR(C374-INDEX($C$5:$C$504,MATCH(A374&amp;"|"&amp;(F374-1),$G$5:$G$504,0)),""))</f>
      </c>
      <c r="I374" s="16">
        <f>IF(OR(F374="",F374&lt;2,B374=""),"",IFERROR(B374-INDEX($B$5:$B$504,MATCH(A374&amp;"|"&amp;(F374-1),$G$5:$G$504,0)),""))</f>
      </c>
      <c r="J374" s="18">
        <f>IF(OR(H374="",I374="",I374=0),"",H374/I374)</f>
      </c>
    </row>
    <row r="375" spans="1:10" x14ac:dyDescent="0.25">
      <c r="A375" s="11"/>
      <c r="B375" s="12"/>
      <c r="C375" s="19"/>
      <c r="D375" s="15">
        <f>IF(A375="","",IFERROR(INDEX(Ejemplares!$F$5:$F$64,MATCH(A375,Ejemplares!$A$5:$A$64,0)),""))</f>
      </c>
      <c r="E375" s="11"/>
      <c r="F375" s="16">
        <f>IF(A375="","",COUNTIF($A$5:$A375,A375))</f>
      </c>
      <c r="G375" s="15">
        <f>IF(A375="","",A375&amp;"|"&amp;F375)</f>
      </c>
      <c r="H375" s="17">
        <f>IF(OR(F375="",F375&lt;2,C375=""),"",IFERROR(C375-INDEX($C$5:$C$504,MATCH(A375&amp;"|"&amp;(F375-1),$G$5:$G$504,0)),""))</f>
      </c>
      <c r="I375" s="16">
        <f>IF(OR(F375="",F375&lt;2,B375=""),"",IFERROR(B375-INDEX($B$5:$B$504,MATCH(A375&amp;"|"&amp;(F375-1),$G$5:$G$504,0)),""))</f>
      </c>
      <c r="J375" s="18">
        <f>IF(OR(H375="",I375="",I375=0),"",H375/I375)</f>
      </c>
    </row>
    <row r="376" spans="1:10" x14ac:dyDescent="0.25">
      <c r="A376" s="11"/>
      <c r="B376" s="12"/>
      <c r="C376" s="19"/>
      <c r="D376" s="15">
        <f>IF(A376="","",IFERROR(INDEX(Ejemplares!$F$5:$F$64,MATCH(A376,Ejemplares!$A$5:$A$64,0)),""))</f>
      </c>
      <c r="E376" s="11"/>
      <c r="F376" s="16">
        <f>IF(A376="","",COUNTIF($A$5:$A376,A376))</f>
      </c>
      <c r="G376" s="15">
        <f>IF(A376="","",A376&amp;"|"&amp;F376)</f>
      </c>
      <c r="H376" s="17">
        <f>IF(OR(F376="",F376&lt;2,C376=""),"",IFERROR(C376-INDEX($C$5:$C$504,MATCH(A376&amp;"|"&amp;(F376-1),$G$5:$G$504,0)),""))</f>
      </c>
      <c r="I376" s="16">
        <f>IF(OR(F376="",F376&lt;2,B376=""),"",IFERROR(B376-INDEX($B$5:$B$504,MATCH(A376&amp;"|"&amp;(F376-1),$G$5:$G$504,0)),""))</f>
      </c>
      <c r="J376" s="18">
        <f>IF(OR(H376="",I376="",I376=0),"",H376/I376)</f>
      </c>
    </row>
    <row r="377" spans="1:10" x14ac:dyDescent="0.25">
      <c r="A377" s="11"/>
      <c r="B377" s="12"/>
      <c r="C377" s="19"/>
      <c r="D377" s="15">
        <f>IF(A377="","",IFERROR(INDEX(Ejemplares!$F$5:$F$64,MATCH(A377,Ejemplares!$A$5:$A$64,0)),""))</f>
      </c>
      <c r="E377" s="11"/>
      <c r="F377" s="16">
        <f>IF(A377="","",COUNTIF($A$5:$A377,A377))</f>
      </c>
      <c r="G377" s="15">
        <f>IF(A377="","",A377&amp;"|"&amp;F377)</f>
      </c>
      <c r="H377" s="17">
        <f>IF(OR(F377="",F377&lt;2,C377=""),"",IFERROR(C377-INDEX($C$5:$C$504,MATCH(A377&amp;"|"&amp;(F377-1),$G$5:$G$504,0)),""))</f>
      </c>
      <c r="I377" s="16">
        <f>IF(OR(F377="",F377&lt;2,B377=""),"",IFERROR(B377-INDEX($B$5:$B$504,MATCH(A377&amp;"|"&amp;(F377-1),$G$5:$G$504,0)),""))</f>
      </c>
      <c r="J377" s="18">
        <f>IF(OR(H377="",I377="",I377=0),"",H377/I377)</f>
      </c>
    </row>
    <row r="378" spans="1:10" x14ac:dyDescent="0.25">
      <c r="A378" s="11"/>
      <c r="B378" s="12"/>
      <c r="C378" s="19"/>
      <c r="D378" s="15">
        <f>IF(A378="","",IFERROR(INDEX(Ejemplares!$F$5:$F$64,MATCH(A378,Ejemplares!$A$5:$A$64,0)),""))</f>
      </c>
      <c r="E378" s="11"/>
      <c r="F378" s="16">
        <f>IF(A378="","",COUNTIF($A$5:$A378,A378))</f>
      </c>
      <c r="G378" s="15">
        <f>IF(A378="","",A378&amp;"|"&amp;F378)</f>
      </c>
      <c r="H378" s="17">
        <f>IF(OR(F378="",F378&lt;2,C378=""),"",IFERROR(C378-INDEX($C$5:$C$504,MATCH(A378&amp;"|"&amp;(F378-1),$G$5:$G$504,0)),""))</f>
      </c>
      <c r="I378" s="16">
        <f>IF(OR(F378="",F378&lt;2,B378=""),"",IFERROR(B378-INDEX($B$5:$B$504,MATCH(A378&amp;"|"&amp;(F378-1),$G$5:$G$504,0)),""))</f>
      </c>
      <c r="J378" s="18">
        <f>IF(OR(H378="",I378="",I378=0),"",H378/I378)</f>
      </c>
    </row>
    <row r="379" spans="1:10" x14ac:dyDescent="0.25">
      <c r="A379" s="11"/>
      <c r="B379" s="12"/>
      <c r="C379" s="19"/>
      <c r="D379" s="15">
        <f>IF(A379="","",IFERROR(INDEX(Ejemplares!$F$5:$F$64,MATCH(A379,Ejemplares!$A$5:$A$64,0)),""))</f>
      </c>
      <c r="E379" s="11"/>
      <c r="F379" s="16">
        <f>IF(A379="","",COUNTIF($A$5:$A379,A379))</f>
      </c>
      <c r="G379" s="15">
        <f>IF(A379="","",A379&amp;"|"&amp;F379)</f>
      </c>
      <c r="H379" s="17">
        <f>IF(OR(F379="",F379&lt;2,C379=""),"",IFERROR(C379-INDEX($C$5:$C$504,MATCH(A379&amp;"|"&amp;(F379-1),$G$5:$G$504,0)),""))</f>
      </c>
      <c r="I379" s="16">
        <f>IF(OR(F379="",F379&lt;2,B379=""),"",IFERROR(B379-INDEX($B$5:$B$504,MATCH(A379&amp;"|"&amp;(F379-1),$G$5:$G$504,0)),""))</f>
      </c>
      <c r="J379" s="18">
        <f>IF(OR(H379="",I379="",I379=0),"",H379/I379)</f>
      </c>
    </row>
    <row r="380" spans="1:10" x14ac:dyDescent="0.25">
      <c r="A380" s="11"/>
      <c r="B380" s="12"/>
      <c r="C380" s="19"/>
      <c r="D380" s="15">
        <f>IF(A380="","",IFERROR(INDEX(Ejemplares!$F$5:$F$64,MATCH(A380,Ejemplares!$A$5:$A$64,0)),""))</f>
      </c>
      <c r="E380" s="11"/>
      <c r="F380" s="16">
        <f>IF(A380="","",COUNTIF($A$5:$A380,A380))</f>
      </c>
      <c r="G380" s="15">
        <f>IF(A380="","",A380&amp;"|"&amp;F380)</f>
      </c>
      <c r="H380" s="17">
        <f>IF(OR(F380="",F380&lt;2,C380=""),"",IFERROR(C380-INDEX($C$5:$C$504,MATCH(A380&amp;"|"&amp;(F380-1),$G$5:$G$504,0)),""))</f>
      </c>
      <c r="I380" s="16">
        <f>IF(OR(F380="",F380&lt;2,B380=""),"",IFERROR(B380-INDEX($B$5:$B$504,MATCH(A380&amp;"|"&amp;(F380-1),$G$5:$G$504,0)),""))</f>
      </c>
      <c r="J380" s="18">
        <f>IF(OR(H380="",I380="",I380=0),"",H380/I380)</f>
      </c>
    </row>
    <row r="381" spans="1:10" x14ac:dyDescent="0.25">
      <c r="A381" s="11"/>
      <c r="B381" s="12"/>
      <c r="C381" s="19"/>
      <c r="D381" s="15">
        <f>IF(A381="","",IFERROR(INDEX(Ejemplares!$F$5:$F$64,MATCH(A381,Ejemplares!$A$5:$A$64,0)),""))</f>
      </c>
      <c r="E381" s="11"/>
      <c r="F381" s="16">
        <f>IF(A381="","",COUNTIF($A$5:$A381,A381))</f>
      </c>
      <c r="G381" s="15">
        <f>IF(A381="","",A381&amp;"|"&amp;F381)</f>
      </c>
      <c r="H381" s="17">
        <f>IF(OR(F381="",F381&lt;2,C381=""),"",IFERROR(C381-INDEX($C$5:$C$504,MATCH(A381&amp;"|"&amp;(F381-1),$G$5:$G$504,0)),""))</f>
      </c>
      <c r="I381" s="16">
        <f>IF(OR(F381="",F381&lt;2,B381=""),"",IFERROR(B381-INDEX($B$5:$B$504,MATCH(A381&amp;"|"&amp;(F381-1),$G$5:$G$504,0)),""))</f>
      </c>
      <c r="J381" s="18">
        <f>IF(OR(H381="",I381="",I381=0),"",H381/I381)</f>
      </c>
    </row>
    <row r="382" spans="1:10" x14ac:dyDescent="0.25">
      <c r="A382" s="11"/>
      <c r="B382" s="12"/>
      <c r="C382" s="19"/>
      <c r="D382" s="15">
        <f>IF(A382="","",IFERROR(INDEX(Ejemplares!$F$5:$F$64,MATCH(A382,Ejemplares!$A$5:$A$64,0)),""))</f>
      </c>
      <c r="E382" s="11"/>
      <c r="F382" s="16">
        <f>IF(A382="","",COUNTIF($A$5:$A382,A382))</f>
      </c>
      <c r="G382" s="15">
        <f>IF(A382="","",A382&amp;"|"&amp;F382)</f>
      </c>
      <c r="H382" s="17">
        <f>IF(OR(F382="",F382&lt;2,C382=""),"",IFERROR(C382-INDEX($C$5:$C$504,MATCH(A382&amp;"|"&amp;(F382-1),$G$5:$G$504,0)),""))</f>
      </c>
      <c r="I382" s="16">
        <f>IF(OR(F382="",F382&lt;2,B382=""),"",IFERROR(B382-INDEX($B$5:$B$504,MATCH(A382&amp;"|"&amp;(F382-1),$G$5:$G$504,0)),""))</f>
      </c>
      <c r="J382" s="18">
        <f>IF(OR(H382="",I382="",I382=0),"",H382/I382)</f>
      </c>
    </row>
    <row r="383" spans="1:10" x14ac:dyDescent="0.25">
      <c r="A383" s="11"/>
      <c r="B383" s="12"/>
      <c r="C383" s="19"/>
      <c r="D383" s="15">
        <f>IF(A383="","",IFERROR(INDEX(Ejemplares!$F$5:$F$64,MATCH(A383,Ejemplares!$A$5:$A$64,0)),""))</f>
      </c>
      <c r="E383" s="11"/>
      <c r="F383" s="16">
        <f>IF(A383="","",COUNTIF($A$5:$A383,A383))</f>
      </c>
      <c r="G383" s="15">
        <f>IF(A383="","",A383&amp;"|"&amp;F383)</f>
      </c>
      <c r="H383" s="17">
        <f>IF(OR(F383="",F383&lt;2,C383=""),"",IFERROR(C383-INDEX($C$5:$C$504,MATCH(A383&amp;"|"&amp;(F383-1),$G$5:$G$504,0)),""))</f>
      </c>
      <c r="I383" s="16">
        <f>IF(OR(F383="",F383&lt;2,B383=""),"",IFERROR(B383-INDEX($B$5:$B$504,MATCH(A383&amp;"|"&amp;(F383-1),$G$5:$G$504,0)),""))</f>
      </c>
      <c r="J383" s="18">
        <f>IF(OR(H383="",I383="",I383=0),"",H383/I383)</f>
      </c>
    </row>
    <row r="384" spans="1:10" x14ac:dyDescent="0.25">
      <c r="A384" s="11"/>
      <c r="B384" s="12"/>
      <c r="C384" s="19"/>
      <c r="D384" s="15">
        <f>IF(A384="","",IFERROR(INDEX(Ejemplares!$F$5:$F$64,MATCH(A384,Ejemplares!$A$5:$A$64,0)),""))</f>
      </c>
      <c r="E384" s="11"/>
      <c r="F384" s="16">
        <f>IF(A384="","",COUNTIF($A$5:$A384,A384))</f>
      </c>
      <c r="G384" s="15">
        <f>IF(A384="","",A384&amp;"|"&amp;F384)</f>
      </c>
      <c r="H384" s="17">
        <f>IF(OR(F384="",F384&lt;2,C384=""),"",IFERROR(C384-INDEX($C$5:$C$504,MATCH(A384&amp;"|"&amp;(F384-1),$G$5:$G$504,0)),""))</f>
      </c>
      <c r="I384" s="16">
        <f>IF(OR(F384="",F384&lt;2,B384=""),"",IFERROR(B384-INDEX($B$5:$B$504,MATCH(A384&amp;"|"&amp;(F384-1),$G$5:$G$504,0)),""))</f>
      </c>
      <c r="J384" s="18">
        <f>IF(OR(H384="",I384="",I384=0),"",H384/I384)</f>
      </c>
    </row>
    <row r="385" spans="1:10" x14ac:dyDescent="0.25">
      <c r="A385" s="11"/>
      <c r="B385" s="12"/>
      <c r="C385" s="19"/>
      <c r="D385" s="15">
        <f>IF(A385="","",IFERROR(INDEX(Ejemplares!$F$5:$F$64,MATCH(A385,Ejemplares!$A$5:$A$64,0)),""))</f>
      </c>
      <c r="E385" s="11"/>
      <c r="F385" s="16">
        <f>IF(A385="","",COUNTIF($A$5:$A385,A385))</f>
      </c>
      <c r="G385" s="15">
        <f>IF(A385="","",A385&amp;"|"&amp;F385)</f>
      </c>
      <c r="H385" s="17">
        <f>IF(OR(F385="",F385&lt;2,C385=""),"",IFERROR(C385-INDEX($C$5:$C$504,MATCH(A385&amp;"|"&amp;(F385-1),$G$5:$G$504,0)),""))</f>
      </c>
      <c r="I385" s="16">
        <f>IF(OR(F385="",F385&lt;2,B385=""),"",IFERROR(B385-INDEX($B$5:$B$504,MATCH(A385&amp;"|"&amp;(F385-1),$G$5:$G$504,0)),""))</f>
      </c>
      <c r="J385" s="18">
        <f>IF(OR(H385="",I385="",I385=0),"",H385/I385)</f>
      </c>
    </row>
    <row r="386" spans="1:10" x14ac:dyDescent="0.25">
      <c r="A386" s="11"/>
      <c r="B386" s="12"/>
      <c r="C386" s="19"/>
      <c r="D386" s="15">
        <f>IF(A386="","",IFERROR(INDEX(Ejemplares!$F$5:$F$64,MATCH(A386,Ejemplares!$A$5:$A$64,0)),""))</f>
      </c>
      <c r="E386" s="11"/>
      <c r="F386" s="16">
        <f>IF(A386="","",COUNTIF($A$5:$A386,A386))</f>
      </c>
      <c r="G386" s="15">
        <f>IF(A386="","",A386&amp;"|"&amp;F386)</f>
      </c>
      <c r="H386" s="17">
        <f>IF(OR(F386="",F386&lt;2,C386=""),"",IFERROR(C386-INDEX($C$5:$C$504,MATCH(A386&amp;"|"&amp;(F386-1),$G$5:$G$504,0)),""))</f>
      </c>
      <c r="I386" s="16">
        <f>IF(OR(F386="",F386&lt;2,B386=""),"",IFERROR(B386-INDEX($B$5:$B$504,MATCH(A386&amp;"|"&amp;(F386-1),$G$5:$G$504,0)),""))</f>
      </c>
      <c r="J386" s="18">
        <f>IF(OR(H386="",I386="",I386=0),"",H386/I386)</f>
      </c>
    </row>
    <row r="387" spans="1:10" x14ac:dyDescent="0.25">
      <c r="A387" s="11"/>
      <c r="B387" s="12"/>
      <c r="C387" s="19"/>
      <c r="D387" s="15">
        <f>IF(A387="","",IFERROR(INDEX(Ejemplares!$F$5:$F$64,MATCH(A387,Ejemplares!$A$5:$A$64,0)),""))</f>
      </c>
      <c r="E387" s="11"/>
      <c r="F387" s="16">
        <f>IF(A387="","",COUNTIF($A$5:$A387,A387))</f>
      </c>
      <c r="G387" s="15">
        <f>IF(A387="","",A387&amp;"|"&amp;F387)</f>
      </c>
      <c r="H387" s="17">
        <f>IF(OR(F387="",F387&lt;2,C387=""),"",IFERROR(C387-INDEX($C$5:$C$504,MATCH(A387&amp;"|"&amp;(F387-1),$G$5:$G$504,0)),""))</f>
      </c>
      <c r="I387" s="16">
        <f>IF(OR(F387="",F387&lt;2,B387=""),"",IFERROR(B387-INDEX($B$5:$B$504,MATCH(A387&amp;"|"&amp;(F387-1),$G$5:$G$504,0)),""))</f>
      </c>
      <c r="J387" s="18">
        <f>IF(OR(H387="",I387="",I387=0),"",H387/I387)</f>
      </c>
    </row>
    <row r="388" spans="1:10" x14ac:dyDescent="0.25">
      <c r="A388" s="11"/>
      <c r="B388" s="12"/>
      <c r="C388" s="19"/>
      <c r="D388" s="15">
        <f>IF(A388="","",IFERROR(INDEX(Ejemplares!$F$5:$F$64,MATCH(A388,Ejemplares!$A$5:$A$64,0)),""))</f>
      </c>
      <c r="E388" s="11"/>
      <c r="F388" s="16">
        <f>IF(A388="","",COUNTIF($A$5:$A388,A388))</f>
      </c>
      <c r="G388" s="15">
        <f>IF(A388="","",A388&amp;"|"&amp;F388)</f>
      </c>
      <c r="H388" s="17">
        <f>IF(OR(F388="",F388&lt;2,C388=""),"",IFERROR(C388-INDEX($C$5:$C$504,MATCH(A388&amp;"|"&amp;(F388-1),$G$5:$G$504,0)),""))</f>
      </c>
      <c r="I388" s="16">
        <f>IF(OR(F388="",F388&lt;2,B388=""),"",IFERROR(B388-INDEX($B$5:$B$504,MATCH(A388&amp;"|"&amp;(F388-1),$G$5:$G$504,0)),""))</f>
      </c>
      <c r="J388" s="18">
        <f>IF(OR(H388="",I388="",I388=0),"",H388/I388)</f>
      </c>
    </row>
    <row r="389" spans="1:10" x14ac:dyDescent="0.25">
      <c r="A389" s="11"/>
      <c r="B389" s="12"/>
      <c r="C389" s="19"/>
      <c r="D389" s="15">
        <f>IF(A389="","",IFERROR(INDEX(Ejemplares!$F$5:$F$64,MATCH(A389,Ejemplares!$A$5:$A$64,0)),""))</f>
      </c>
      <c r="E389" s="11"/>
      <c r="F389" s="16">
        <f>IF(A389="","",COUNTIF($A$5:$A389,A389))</f>
      </c>
      <c r="G389" s="15">
        <f>IF(A389="","",A389&amp;"|"&amp;F389)</f>
      </c>
      <c r="H389" s="17">
        <f>IF(OR(F389="",F389&lt;2,C389=""),"",IFERROR(C389-INDEX($C$5:$C$504,MATCH(A389&amp;"|"&amp;(F389-1),$G$5:$G$504,0)),""))</f>
      </c>
      <c r="I389" s="16">
        <f>IF(OR(F389="",F389&lt;2,B389=""),"",IFERROR(B389-INDEX($B$5:$B$504,MATCH(A389&amp;"|"&amp;(F389-1),$G$5:$G$504,0)),""))</f>
      </c>
      <c r="J389" s="18">
        <f>IF(OR(H389="",I389="",I389=0),"",H389/I389)</f>
      </c>
    </row>
    <row r="390" spans="1:10" x14ac:dyDescent="0.25">
      <c r="A390" s="11"/>
      <c r="B390" s="12"/>
      <c r="C390" s="19"/>
      <c r="D390" s="15">
        <f>IF(A390="","",IFERROR(INDEX(Ejemplares!$F$5:$F$64,MATCH(A390,Ejemplares!$A$5:$A$64,0)),""))</f>
      </c>
      <c r="E390" s="11"/>
      <c r="F390" s="16">
        <f>IF(A390="","",COUNTIF($A$5:$A390,A390))</f>
      </c>
      <c r="G390" s="15">
        <f>IF(A390="","",A390&amp;"|"&amp;F390)</f>
      </c>
      <c r="H390" s="17">
        <f>IF(OR(F390="",F390&lt;2,C390=""),"",IFERROR(C390-INDEX($C$5:$C$504,MATCH(A390&amp;"|"&amp;(F390-1),$G$5:$G$504,0)),""))</f>
      </c>
      <c r="I390" s="16">
        <f>IF(OR(F390="",F390&lt;2,B390=""),"",IFERROR(B390-INDEX($B$5:$B$504,MATCH(A390&amp;"|"&amp;(F390-1),$G$5:$G$504,0)),""))</f>
      </c>
      <c r="J390" s="18">
        <f>IF(OR(H390="",I390="",I390=0),"",H390/I390)</f>
      </c>
    </row>
    <row r="391" spans="1:10" x14ac:dyDescent="0.25">
      <c r="A391" s="11"/>
      <c r="B391" s="12"/>
      <c r="C391" s="19"/>
      <c r="D391" s="15">
        <f>IF(A391="","",IFERROR(INDEX(Ejemplares!$F$5:$F$64,MATCH(A391,Ejemplares!$A$5:$A$64,0)),""))</f>
      </c>
      <c r="E391" s="11"/>
      <c r="F391" s="16">
        <f>IF(A391="","",COUNTIF($A$5:$A391,A391))</f>
      </c>
      <c r="G391" s="15">
        <f>IF(A391="","",A391&amp;"|"&amp;F391)</f>
      </c>
      <c r="H391" s="17">
        <f>IF(OR(F391="",F391&lt;2,C391=""),"",IFERROR(C391-INDEX($C$5:$C$504,MATCH(A391&amp;"|"&amp;(F391-1),$G$5:$G$504,0)),""))</f>
      </c>
      <c r="I391" s="16">
        <f>IF(OR(F391="",F391&lt;2,B391=""),"",IFERROR(B391-INDEX($B$5:$B$504,MATCH(A391&amp;"|"&amp;(F391-1),$G$5:$G$504,0)),""))</f>
      </c>
      <c r="J391" s="18">
        <f>IF(OR(H391="",I391="",I391=0),"",H391/I391)</f>
      </c>
    </row>
    <row r="392" spans="1:10" x14ac:dyDescent="0.25">
      <c r="A392" s="11"/>
      <c r="B392" s="12"/>
      <c r="C392" s="19"/>
      <c r="D392" s="15">
        <f>IF(A392="","",IFERROR(INDEX(Ejemplares!$F$5:$F$64,MATCH(A392,Ejemplares!$A$5:$A$64,0)),""))</f>
      </c>
      <c r="E392" s="11"/>
      <c r="F392" s="16">
        <f>IF(A392="","",COUNTIF($A$5:$A392,A392))</f>
      </c>
      <c r="G392" s="15">
        <f>IF(A392="","",A392&amp;"|"&amp;F392)</f>
      </c>
      <c r="H392" s="17">
        <f>IF(OR(F392="",F392&lt;2,C392=""),"",IFERROR(C392-INDEX($C$5:$C$504,MATCH(A392&amp;"|"&amp;(F392-1),$G$5:$G$504,0)),""))</f>
      </c>
      <c r="I392" s="16">
        <f>IF(OR(F392="",F392&lt;2,B392=""),"",IFERROR(B392-INDEX($B$5:$B$504,MATCH(A392&amp;"|"&amp;(F392-1),$G$5:$G$504,0)),""))</f>
      </c>
      <c r="J392" s="18">
        <f>IF(OR(H392="",I392="",I392=0),"",H392/I392)</f>
      </c>
    </row>
    <row r="393" spans="1:10" x14ac:dyDescent="0.25">
      <c r="A393" s="11"/>
      <c r="B393" s="12"/>
      <c r="C393" s="19"/>
      <c r="D393" s="15">
        <f>IF(A393="","",IFERROR(INDEX(Ejemplares!$F$5:$F$64,MATCH(A393,Ejemplares!$A$5:$A$64,0)),""))</f>
      </c>
      <c r="E393" s="11"/>
      <c r="F393" s="16">
        <f>IF(A393="","",COUNTIF($A$5:$A393,A393))</f>
      </c>
      <c r="G393" s="15">
        <f>IF(A393="","",A393&amp;"|"&amp;F393)</f>
      </c>
      <c r="H393" s="17">
        <f>IF(OR(F393="",F393&lt;2,C393=""),"",IFERROR(C393-INDEX($C$5:$C$504,MATCH(A393&amp;"|"&amp;(F393-1),$G$5:$G$504,0)),""))</f>
      </c>
      <c r="I393" s="16">
        <f>IF(OR(F393="",F393&lt;2,B393=""),"",IFERROR(B393-INDEX($B$5:$B$504,MATCH(A393&amp;"|"&amp;(F393-1),$G$5:$G$504,0)),""))</f>
      </c>
      <c r="J393" s="18">
        <f>IF(OR(H393="",I393="",I393=0),"",H393/I393)</f>
      </c>
    </row>
    <row r="394" spans="1:10" x14ac:dyDescent="0.25">
      <c r="A394" s="11"/>
      <c r="B394" s="12"/>
      <c r="C394" s="19"/>
      <c r="D394" s="15">
        <f>IF(A394="","",IFERROR(INDEX(Ejemplares!$F$5:$F$64,MATCH(A394,Ejemplares!$A$5:$A$64,0)),""))</f>
      </c>
      <c r="E394" s="11"/>
      <c r="F394" s="16">
        <f>IF(A394="","",COUNTIF($A$5:$A394,A394))</f>
      </c>
      <c r="G394" s="15">
        <f>IF(A394="","",A394&amp;"|"&amp;F394)</f>
      </c>
      <c r="H394" s="17">
        <f>IF(OR(F394="",F394&lt;2,C394=""),"",IFERROR(C394-INDEX($C$5:$C$504,MATCH(A394&amp;"|"&amp;(F394-1),$G$5:$G$504,0)),""))</f>
      </c>
      <c r="I394" s="16">
        <f>IF(OR(F394="",F394&lt;2,B394=""),"",IFERROR(B394-INDEX($B$5:$B$504,MATCH(A394&amp;"|"&amp;(F394-1),$G$5:$G$504,0)),""))</f>
      </c>
      <c r="J394" s="18">
        <f>IF(OR(H394="",I394="",I394=0),"",H394/I394)</f>
      </c>
    </row>
    <row r="395" spans="1:10" x14ac:dyDescent="0.25">
      <c r="A395" s="11"/>
      <c r="B395" s="12"/>
      <c r="C395" s="19"/>
      <c r="D395" s="15">
        <f>IF(A395="","",IFERROR(INDEX(Ejemplares!$F$5:$F$64,MATCH(A395,Ejemplares!$A$5:$A$64,0)),""))</f>
      </c>
      <c r="E395" s="11"/>
      <c r="F395" s="16">
        <f>IF(A395="","",COUNTIF($A$5:$A395,A395))</f>
      </c>
      <c r="G395" s="15">
        <f>IF(A395="","",A395&amp;"|"&amp;F395)</f>
      </c>
      <c r="H395" s="17">
        <f>IF(OR(F395="",F395&lt;2,C395=""),"",IFERROR(C395-INDEX($C$5:$C$504,MATCH(A395&amp;"|"&amp;(F395-1),$G$5:$G$504,0)),""))</f>
      </c>
      <c r="I395" s="16">
        <f>IF(OR(F395="",F395&lt;2,B395=""),"",IFERROR(B395-INDEX($B$5:$B$504,MATCH(A395&amp;"|"&amp;(F395-1),$G$5:$G$504,0)),""))</f>
      </c>
      <c r="J395" s="18">
        <f>IF(OR(H395="",I395="",I395=0),"",H395/I395)</f>
      </c>
    </row>
    <row r="396" spans="1:10" x14ac:dyDescent="0.25">
      <c r="A396" s="11"/>
      <c r="B396" s="12"/>
      <c r="C396" s="19"/>
      <c r="D396" s="15">
        <f>IF(A396="","",IFERROR(INDEX(Ejemplares!$F$5:$F$64,MATCH(A396,Ejemplares!$A$5:$A$64,0)),""))</f>
      </c>
      <c r="E396" s="11"/>
      <c r="F396" s="16">
        <f>IF(A396="","",COUNTIF($A$5:$A396,A396))</f>
      </c>
      <c r="G396" s="15">
        <f>IF(A396="","",A396&amp;"|"&amp;F396)</f>
      </c>
      <c r="H396" s="17">
        <f>IF(OR(F396="",F396&lt;2,C396=""),"",IFERROR(C396-INDEX($C$5:$C$504,MATCH(A396&amp;"|"&amp;(F396-1),$G$5:$G$504,0)),""))</f>
      </c>
      <c r="I396" s="16">
        <f>IF(OR(F396="",F396&lt;2,B396=""),"",IFERROR(B396-INDEX($B$5:$B$504,MATCH(A396&amp;"|"&amp;(F396-1),$G$5:$G$504,0)),""))</f>
      </c>
      <c r="J396" s="18">
        <f>IF(OR(H396="",I396="",I396=0),"",H396/I396)</f>
      </c>
    </row>
    <row r="397" spans="1:10" x14ac:dyDescent="0.25">
      <c r="A397" s="11"/>
      <c r="B397" s="12"/>
      <c r="C397" s="19"/>
      <c r="D397" s="15">
        <f>IF(A397="","",IFERROR(INDEX(Ejemplares!$F$5:$F$64,MATCH(A397,Ejemplares!$A$5:$A$64,0)),""))</f>
      </c>
      <c r="E397" s="11"/>
      <c r="F397" s="16">
        <f>IF(A397="","",COUNTIF($A$5:$A397,A397))</f>
      </c>
      <c r="G397" s="15">
        <f>IF(A397="","",A397&amp;"|"&amp;F397)</f>
      </c>
      <c r="H397" s="17">
        <f>IF(OR(F397="",F397&lt;2,C397=""),"",IFERROR(C397-INDEX($C$5:$C$504,MATCH(A397&amp;"|"&amp;(F397-1),$G$5:$G$504,0)),""))</f>
      </c>
      <c r="I397" s="16">
        <f>IF(OR(F397="",F397&lt;2,B397=""),"",IFERROR(B397-INDEX($B$5:$B$504,MATCH(A397&amp;"|"&amp;(F397-1),$G$5:$G$504,0)),""))</f>
      </c>
      <c r="J397" s="18">
        <f>IF(OR(H397="",I397="",I397=0),"",H397/I397)</f>
      </c>
    </row>
    <row r="398" spans="1:10" x14ac:dyDescent="0.25">
      <c r="A398" s="11"/>
      <c r="B398" s="12"/>
      <c r="C398" s="19"/>
      <c r="D398" s="15">
        <f>IF(A398="","",IFERROR(INDEX(Ejemplares!$F$5:$F$64,MATCH(A398,Ejemplares!$A$5:$A$64,0)),""))</f>
      </c>
      <c r="E398" s="11"/>
      <c r="F398" s="16">
        <f>IF(A398="","",COUNTIF($A$5:$A398,A398))</f>
      </c>
      <c r="G398" s="15">
        <f>IF(A398="","",A398&amp;"|"&amp;F398)</f>
      </c>
      <c r="H398" s="17">
        <f>IF(OR(F398="",F398&lt;2,C398=""),"",IFERROR(C398-INDEX($C$5:$C$504,MATCH(A398&amp;"|"&amp;(F398-1),$G$5:$G$504,0)),""))</f>
      </c>
      <c r="I398" s="16">
        <f>IF(OR(F398="",F398&lt;2,B398=""),"",IFERROR(B398-INDEX($B$5:$B$504,MATCH(A398&amp;"|"&amp;(F398-1),$G$5:$G$504,0)),""))</f>
      </c>
      <c r="J398" s="18">
        <f>IF(OR(H398="",I398="",I398=0),"",H398/I398)</f>
      </c>
    </row>
    <row r="399" spans="1:10" x14ac:dyDescent="0.25">
      <c r="A399" s="11"/>
      <c r="B399" s="12"/>
      <c r="C399" s="19"/>
      <c r="D399" s="15">
        <f>IF(A399="","",IFERROR(INDEX(Ejemplares!$F$5:$F$64,MATCH(A399,Ejemplares!$A$5:$A$64,0)),""))</f>
      </c>
      <c r="E399" s="11"/>
      <c r="F399" s="16">
        <f>IF(A399="","",COUNTIF($A$5:$A399,A399))</f>
      </c>
      <c r="G399" s="15">
        <f>IF(A399="","",A399&amp;"|"&amp;F399)</f>
      </c>
      <c r="H399" s="17">
        <f>IF(OR(F399="",F399&lt;2,C399=""),"",IFERROR(C399-INDEX($C$5:$C$504,MATCH(A399&amp;"|"&amp;(F399-1),$G$5:$G$504,0)),""))</f>
      </c>
      <c r="I399" s="16">
        <f>IF(OR(F399="",F399&lt;2,B399=""),"",IFERROR(B399-INDEX($B$5:$B$504,MATCH(A399&amp;"|"&amp;(F399-1),$G$5:$G$504,0)),""))</f>
      </c>
      <c r="J399" s="18">
        <f>IF(OR(H399="",I399="",I399=0),"",H399/I399)</f>
      </c>
    </row>
    <row r="400" spans="1:10" x14ac:dyDescent="0.25">
      <c r="A400" s="11"/>
      <c r="B400" s="12"/>
      <c r="C400" s="19"/>
      <c r="D400" s="15">
        <f>IF(A400="","",IFERROR(INDEX(Ejemplares!$F$5:$F$64,MATCH(A400,Ejemplares!$A$5:$A$64,0)),""))</f>
      </c>
      <c r="E400" s="11"/>
      <c r="F400" s="16">
        <f>IF(A400="","",COUNTIF($A$5:$A400,A400))</f>
      </c>
      <c r="G400" s="15">
        <f>IF(A400="","",A400&amp;"|"&amp;F400)</f>
      </c>
      <c r="H400" s="17">
        <f>IF(OR(F400="",F400&lt;2,C400=""),"",IFERROR(C400-INDEX($C$5:$C$504,MATCH(A400&amp;"|"&amp;(F400-1),$G$5:$G$504,0)),""))</f>
      </c>
      <c r="I400" s="16">
        <f>IF(OR(F400="",F400&lt;2,B400=""),"",IFERROR(B400-INDEX($B$5:$B$504,MATCH(A400&amp;"|"&amp;(F400-1),$G$5:$G$504,0)),""))</f>
      </c>
      <c r="J400" s="18">
        <f>IF(OR(H400="",I400="",I400=0),"",H400/I400)</f>
      </c>
    </row>
    <row r="401" spans="1:10" x14ac:dyDescent="0.25">
      <c r="A401" s="11"/>
      <c r="B401" s="12"/>
      <c r="C401" s="19"/>
      <c r="D401" s="15">
        <f>IF(A401="","",IFERROR(INDEX(Ejemplares!$F$5:$F$64,MATCH(A401,Ejemplares!$A$5:$A$64,0)),""))</f>
      </c>
      <c r="E401" s="11"/>
      <c r="F401" s="16">
        <f>IF(A401="","",COUNTIF($A$5:$A401,A401))</f>
      </c>
      <c r="G401" s="15">
        <f>IF(A401="","",A401&amp;"|"&amp;F401)</f>
      </c>
      <c r="H401" s="17">
        <f>IF(OR(F401="",F401&lt;2,C401=""),"",IFERROR(C401-INDEX($C$5:$C$504,MATCH(A401&amp;"|"&amp;(F401-1),$G$5:$G$504,0)),""))</f>
      </c>
      <c r="I401" s="16">
        <f>IF(OR(F401="",F401&lt;2,B401=""),"",IFERROR(B401-INDEX($B$5:$B$504,MATCH(A401&amp;"|"&amp;(F401-1),$G$5:$G$504,0)),""))</f>
      </c>
      <c r="J401" s="18">
        <f>IF(OR(H401="",I401="",I401=0),"",H401/I401)</f>
      </c>
    </row>
    <row r="402" spans="1:10" x14ac:dyDescent="0.25">
      <c r="A402" s="11"/>
      <c r="B402" s="12"/>
      <c r="C402" s="19"/>
      <c r="D402" s="15">
        <f>IF(A402="","",IFERROR(INDEX(Ejemplares!$F$5:$F$64,MATCH(A402,Ejemplares!$A$5:$A$64,0)),""))</f>
      </c>
      <c r="E402" s="11"/>
      <c r="F402" s="16">
        <f>IF(A402="","",COUNTIF($A$5:$A402,A402))</f>
      </c>
      <c r="G402" s="15">
        <f>IF(A402="","",A402&amp;"|"&amp;F402)</f>
      </c>
      <c r="H402" s="17">
        <f>IF(OR(F402="",F402&lt;2,C402=""),"",IFERROR(C402-INDEX($C$5:$C$504,MATCH(A402&amp;"|"&amp;(F402-1),$G$5:$G$504,0)),""))</f>
      </c>
      <c r="I402" s="16">
        <f>IF(OR(F402="",F402&lt;2,B402=""),"",IFERROR(B402-INDEX($B$5:$B$504,MATCH(A402&amp;"|"&amp;(F402-1),$G$5:$G$504,0)),""))</f>
      </c>
      <c r="J402" s="18">
        <f>IF(OR(H402="",I402="",I402=0),"",H402/I402)</f>
      </c>
    </row>
    <row r="403" spans="1:10" x14ac:dyDescent="0.25">
      <c r="A403" s="11"/>
      <c r="B403" s="12"/>
      <c r="C403" s="19"/>
      <c r="D403" s="15">
        <f>IF(A403="","",IFERROR(INDEX(Ejemplares!$F$5:$F$64,MATCH(A403,Ejemplares!$A$5:$A$64,0)),""))</f>
      </c>
      <c r="E403" s="11"/>
      <c r="F403" s="16">
        <f>IF(A403="","",COUNTIF($A$5:$A403,A403))</f>
      </c>
      <c r="G403" s="15">
        <f>IF(A403="","",A403&amp;"|"&amp;F403)</f>
      </c>
      <c r="H403" s="17">
        <f>IF(OR(F403="",F403&lt;2,C403=""),"",IFERROR(C403-INDEX($C$5:$C$504,MATCH(A403&amp;"|"&amp;(F403-1),$G$5:$G$504,0)),""))</f>
      </c>
      <c r="I403" s="16">
        <f>IF(OR(F403="",F403&lt;2,B403=""),"",IFERROR(B403-INDEX($B$5:$B$504,MATCH(A403&amp;"|"&amp;(F403-1),$G$5:$G$504,0)),""))</f>
      </c>
      <c r="J403" s="18">
        <f>IF(OR(H403="",I403="",I403=0),"",H403/I403)</f>
      </c>
    </row>
    <row r="404" spans="1:10" x14ac:dyDescent="0.25">
      <c r="A404" s="11"/>
      <c r="B404" s="12"/>
      <c r="C404" s="19"/>
      <c r="D404" s="15">
        <f>IF(A404="","",IFERROR(INDEX(Ejemplares!$F$5:$F$64,MATCH(A404,Ejemplares!$A$5:$A$64,0)),""))</f>
      </c>
      <c r="E404" s="11"/>
      <c r="F404" s="16">
        <f>IF(A404="","",COUNTIF($A$5:$A404,A404))</f>
      </c>
      <c r="G404" s="15">
        <f>IF(A404="","",A404&amp;"|"&amp;F404)</f>
      </c>
      <c r="H404" s="17">
        <f>IF(OR(F404="",F404&lt;2,C404=""),"",IFERROR(C404-INDEX($C$5:$C$504,MATCH(A404&amp;"|"&amp;(F404-1),$G$5:$G$504,0)),""))</f>
      </c>
      <c r="I404" s="16">
        <f>IF(OR(F404="",F404&lt;2,B404=""),"",IFERROR(B404-INDEX($B$5:$B$504,MATCH(A404&amp;"|"&amp;(F404-1),$G$5:$G$504,0)),""))</f>
      </c>
      <c r="J404" s="18">
        <f>IF(OR(H404="",I404="",I404=0),"",H404/I404)</f>
      </c>
    </row>
    <row r="405" spans="1:10" x14ac:dyDescent="0.25">
      <c r="A405" s="11"/>
      <c r="B405" s="12"/>
      <c r="C405" s="19"/>
      <c r="D405" s="15">
        <f>IF(A405="","",IFERROR(INDEX(Ejemplares!$F$5:$F$64,MATCH(A405,Ejemplares!$A$5:$A$64,0)),""))</f>
      </c>
      <c r="E405" s="11"/>
      <c r="F405" s="16">
        <f>IF(A405="","",COUNTIF($A$5:$A405,A405))</f>
      </c>
      <c r="G405" s="15">
        <f>IF(A405="","",A405&amp;"|"&amp;F405)</f>
      </c>
      <c r="H405" s="17">
        <f>IF(OR(F405="",F405&lt;2,C405=""),"",IFERROR(C405-INDEX($C$5:$C$504,MATCH(A405&amp;"|"&amp;(F405-1),$G$5:$G$504,0)),""))</f>
      </c>
      <c r="I405" s="16">
        <f>IF(OR(F405="",F405&lt;2,B405=""),"",IFERROR(B405-INDEX($B$5:$B$504,MATCH(A405&amp;"|"&amp;(F405-1),$G$5:$G$504,0)),""))</f>
      </c>
      <c r="J405" s="18">
        <f>IF(OR(H405="",I405="",I405=0),"",H405/I405)</f>
      </c>
    </row>
    <row r="406" spans="1:10" x14ac:dyDescent="0.25">
      <c r="A406" s="11"/>
      <c r="B406" s="12"/>
      <c r="C406" s="19"/>
      <c r="D406" s="15">
        <f>IF(A406="","",IFERROR(INDEX(Ejemplares!$F$5:$F$64,MATCH(A406,Ejemplares!$A$5:$A$64,0)),""))</f>
      </c>
      <c r="E406" s="11"/>
      <c r="F406" s="16">
        <f>IF(A406="","",COUNTIF($A$5:$A406,A406))</f>
      </c>
      <c r="G406" s="15">
        <f>IF(A406="","",A406&amp;"|"&amp;F406)</f>
      </c>
      <c r="H406" s="17">
        <f>IF(OR(F406="",F406&lt;2,C406=""),"",IFERROR(C406-INDEX($C$5:$C$504,MATCH(A406&amp;"|"&amp;(F406-1),$G$5:$G$504,0)),""))</f>
      </c>
      <c r="I406" s="16">
        <f>IF(OR(F406="",F406&lt;2,B406=""),"",IFERROR(B406-INDEX($B$5:$B$504,MATCH(A406&amp;"|"&amp;(F406-1),$G$5:$G$504,0)),""))</f>
      </c>
      <c r="J406" s="18">
        <f>IF(OR(H406="",I406="",I406=0),"",H406/I406)</f>
      </c>
    </row>
    <row r="407" spans="1:10" x14ac:dyDescent="0.25">
      <c r="A407" s="11"/>
      <c r="B407" s="12"/>
      <c r="C407" s="19"/>
      <c r="D407" s="15">
        <f>IF(A407="","",IFERROR(INDEX(Ejemplares!$F$5:$F$64,MATCH(A407,Ejemplares!$A$5:$A$64,0)),""))</f>
      </c>
      <c r="E407" s="11"/>
      <c r="F407" s="16">
        <f>IF(A407="","",COUNTIF($A$5:$A407,A407))</f>
      </c>
      <c r="G407" s="15">
        <f>IF(A407="","",A407&amp;"|"&amp;F407)</f>
      </c>
      <c r="H407" s="17">
        <f>IF(OR(F407="",F407&lt;2,C407=""),"",IFERROR(C407-INDEX($C$5:$C$504,MATCH(A407&amp;"|"&amp;(F407-1),$G$5:$G$504,0)),""))</f>
      </c>
      <c r="I407" s="16">
        <f>IF(OR(F407="",F407&lt;2,B407=""),"",IFERROR(B407-INDEX($B$5:$B$504,MATCH(A407&amp;"|"&amp;(F407-1),$G$5:$G$504,0)),""))</f>
      </c>
      <c r="J407" s="18">
        <f>IF(OR(H407="",I407="",I407=0),"",H407/I407)</f>
      </c>
    </row>
    <row r="408" spans="1:10" x14ac:dyDescent="0.25">
      <c r="A408" s="11"/>
      <c r="B408" s="12"/>
      <c r="C408" s="19"/>
      <c r="D408" s="15">
        <f>IF(A408="","",IFERROR(INDEX(Ejemplares!$F$5:$F$64,MATCH(A408,Ejemplares!$A$5:$A$64,0)),""))</f>
      </c>
      <c r="E408" s="11"/>
      <c r="F408" s="16">
        <f>IF(A408="","",COUNTIF($A$5:$A408,A408))</f>
      </c>
      <c r="G408" s="15">
        <f>IF(A408="","",A408&amp;"|"&amp;F408)</f>
      </c>
      <c r="H408" s="17">
        <f>IF(OR(F408="",F408&lt;2,C408=""),"",IFERROR(C408-INDEX($C$5:$C$504,MATCH(A408&amp;"|"&amp;(F408-1),$G$5:$G$504,0)),""))</f>
      </c>
      <c r="I408" s="16">
        <f>IF(OR(F408="",F408&lt;2,B408=""),"",IFERROR(B408-INDEX($B$5:$B$504,MATCH(A408&amp;"|"&amp;(F408-1),$G$5:$G$504,0)),""))</f>
      </c>
      <c r="J408" s="18">
        <f>IF(OR(H408="",I408="",I408=0),"",H408/I408)</f>
      </c>
    </row>
    <row r="409" spans="1:10" x14ac:dyDescent="0.25">
      <c r="A409" s="11"/>
      <c r="B409" s="12"/>
      <c r="C409" s="19"/>
      <c r="D409" s="15">
        <f>IF(A409="","",IFERROR(INDEX(Ejemplares!$F$5:$F$64,MATCH(A409,Ejemplares!$A$5:$A$64,0)),""))</f>
      </c>
      <c r="E409" s="11"/>
      <c r="F409" s="16">
        <f>IF(A409="","",COUNTIF($A$5:$A409,A409))</f>
      </c>
      <c r="G409" s="15">
        <f>IF(A409="","",A409&amp;"|"&amp;F409)</f>
      </c>
      <c r="H409" s="17">
        <f>IF(OR(F409="",F409&lt;2,C409=""),"",IFERROR(C409-INDEX($C$5:$C$504,MATCH(A409&amp;"|"&amp;(F409-1),$G$5:$G$504,0)),""))</f>
      </c>
      <c r="I409" s="16">
        <f>IF(OR(F409="",F409&lt;2,B409=""),"",IFERROR(B409-INDEX($B$5:$B$504,MATCH(A409&amp;"|"&amp;(F409-1),$G$5:$G$504,0)),""))</f>
      </c>
      <c r="J409" s="18">
        <f>IF(OR(H409="",I409="",I409=0),"",H409/I409)</f>
      </c>
    </row>
    <row r="410" spans="1:10" x14ac:dyDescent="0.25">
      <c r="A410" s="11"/>
      <c r="B410" s="12"/>
      <c r="C410" s="19"/>
      <c r="D410" s="15">
        <f>IF(A410="","",IFERROR(INDEX(Ejemplares!$F$5:$F$64,MATCH(A410,Ejemplares!$A$5:$A$64,0)),""))</f>
      </c>
      <c r="E410" s="11"/>
      <c r="F410" s="16">
        <f>IF(A410="","",COUNTIF($A$5:$A410,A410))</f>
      </c>
      <c r="G410" s="15">
        <f>IF(A410="","",A410&amp;"|"&amp;F410)</f>
      </c>
      <c r="H410" s="17">
        <f>IF(OR(F410="",F410&lt;2,C410=""),"",IFERROR(C410-INDEX($C$5:$C$504,MATCH(A410&amp;"|"&amp;(F410-1),$G$5:$G$504,0)),""))</f>
      </c>
      <c r="I410" s="16">
        <f>IF(OR(F410="",F410&lt;2,B410=""),"",IFERROR(B410-INDEX($B$5:$B$504,MATCH(A410&amp;"|"&amp;(F410-1),$G$5:$G$504,0)),""))</f>
      </c>
      <c r="J410" s="18">
        <f>IF(OR(H410="",I410="",I410=0),"",H410/I410)</f>
      </c>
    </row>
    <row r="411" spans="1:10" x14ac:dyDescent="0.25">
      <c r="A411" s="11"/>
      <c r="B411" s="12"/>
      <c r="C411" s="19"/>
      <c r="D411" s="15">
        <f>IF(A411="","",IFERROR(INDEX(Ejemplares!$F$5:$F$64,MATCH(A411,Ejemplares!$A$5:$A$64,0)),""))</f>
      </c>
      <c r="E411" s="11"/>
      <c r="F411" s="16">
        <f>IF(A411="","",COUNTIF($A$5:$A411,A411))</f>
      </c>
      <c r="G411" s="15">
        <f>IF(A411="","",A411&amp;"|"&amp;F411)</f>
      </c>
      <c r="H411" s="17">
        <f>IF(OR(F411="",F411&lt;2,C411=""),"",IFERROR(C411-INDEX($C$5:$C$504,MATCH(A411&amp;"|"&amp;(F411-1),$G$5:$G$504,0)),""))</f>
      </c>
      <c r="I411" s="16">
        <f>IF(OR(F411="",F411&lt;2,B411=""),"",IFERROR(B411-INDEX($B$5:$B$504,MATCH(A411&amp;"|"&amp;(F411-1),$G$5:$G$504,0)),""))</f>
      </c>
      <c r="J411" s="18">
        <f>IF(OR(H411="",I411="",I411=0),"",H411/I411)</f>
      </c>
    </row>
    <row r="412" spans="1:10" x14ac:dyDescent="0.25">
      <c r="A412" s="11"/>
      <c r="B412" s="12"/>
      <c r="C412" s="19"/>
      <c r="D412" s="15">
        <f>IF(A412="","",IFERROR(INDEX(Ejemplares!$F$5:$F$64,MATCH(A412,Ejemplares!$A$5:$A$64,0)),""))</f>
      </c>
      <c r="E412" s="11"/>
      <c r="F412" s="16">
        <f>IF(A412="","",COUNTIF($A$5:$A412,A412))</f>
      </c>
      <c r="G412" s="15">
        <f>IF(A412="","",A412&amp;"|"&amp;F412)</f>
      </c>
      <c r="H412" s="17">
        <f>IF(OR(F412="",F412&lt;2,C412=""),"",IFERROR(C412-INDEX($C$5:$C$504,MATCH(A412&amp;"|"&amp;(F412-1),$G$5:$G$504,0)),""))</f>
      </c>
      <c r="I412" s="16">
        <f>IF(OR(F412="",F412&lt;2,B412=""),"",IFERROR(B412-INDEX($B$5:$B$504,MATCH(A412&amp;"|"&amp;(F412-1),$G$5:$G$504,0)),""))</f>
      </c>
      <c r="J412" s="18">
        <f>IF(OR(H412="",I412="",I412=0),"",H412/I412)</f>
      </c>
    </row>
    <row r="413" spans="1:10" x14ac:dyDescent="0.25">
      <c r="A413" s="11"/>
      <c r="B413" s="12"/>
      <c r="C413" s="19"/>
      <c r="D413" s="15">
        <f>IF(A413="","",IFERROR(INDEX(Ejemplares!$F$5:$F$64,MATCH(A413,Ejemplares!$A$5:$A$64,0)),""))</f>
      </c>
      <c r="E413" s="11"/>
      <c r="F413" s="16">
        <f>IF(A413="","",COUNTIF($A$5:$A413,A413))</f>
      </c>
      <c r="G413" s="15">
        <f>IF(A413="","",A413&amp;"|"&amp;F413)</f>
      </c>
      <c r="H413" s="17">
        <f>IF(OR(F413="",F413&lt;2,C413=""),"",IFERROR(C413-INDEX($C$5:$C$504,MATCH(A413&amp;"|"&amp;(F413-1),$G$5:$G$504,0)),""))</f>
      </c>
      <c r="I413" s="16">
        <f>IF(OR(F413="",F413&lt;2,B413=""),"",IFERROR(B413-INDEX($B$5:$B$504,MATCH(A413&amp;"|"&amp;(F413-1),$G$5:$G$504,0)),""))</f>
      </c>
      <c r="J413" s="18">
        <f>IF(OR(H413="",I413="",I413=0),"",H413/I413)</f>
      </c>
    </row>
    <row r="414" spans="1:10" x14ac:dyDescent="0.25">
      <c r="A414" s="11"/>
      <c r="B414" s="12"/>
      <c r="C414" s="19"/>
      <c r="D414" s="15">
        <f>IF(A414="","",IFERROR(INDEX(Ejemplares!$F$5:$F$64,MATCH(A414,Ejemplares!$A$5:$A$64,0)),""))</f>
      </c>
      <c r="E414" s="11"/>
      <c r="F414" s="16">
        <f>IF(A414="","",COUNTIF($A$5:$A414,A414))</f>
      </c>
      <c r="G414" s="15">
        <f>IF(A414="","",A414&amp;"|"&amp;F414)</f>
      </c>
      <c r="H414" s="17">
        <f>IF(OR(F414="",F414&lt;2,C414=""),"",IFERROR(C414-INDEX($C$5:$C$504,MATCH(A414&amp;"|"&amp;(F414-1),$G$5:$G$504,0)),""))</f>
      </c>
      <c r="I414" s="16">
        <f>IF(OR(F414="",F414&lt;2,B414=""),"",IFERROR(B414-INDEX($B$5:$B$504,MATCH(A414&amp;"|"&amp;(F414-1),$G$5:$G$504,0)),""))</f>
      </c>
      <c r="J414" s="18">
        <f>IF(OR(H414="",I414="",I414=0),"",H414/I414)</f>
      </c>
    </row>
    <row r="415" spans="1:10" x14ac:dyDescent="0.25">
      <c r="A415" s="11"/>
      <c r="B415" s="12"/>
      <c r="C415" s="19"/>
      <c r="D415" s="15">
        <f>IF(A415="","",IFERROR(INDEX(Ejemplares!$F$5:$F$64,MATCH(A415,Ejemplares!$A$5:$A$64,0)),""))</f>
      </c>
      <c r="E415" s="11"/>
      <c r="F415" s="16">
        <f>IF(A415="","",COUNTIF($A$5:$A415,A415))</f>
      </c>
      <c r="G415" s="15">
        <f>IF(A415="","",A415&amp;"|"&amp;F415)</f>
      </c>
      <c r="H415" s="17">
        <f>IF(OR(F415="",F415&lt;2,C415=""),"",IFERROR(C415-INDEX($C$5:$C$504,MATCH(A415&amp;"|"&amp;(F415-1),$G$5:$G$504,0)),""))</f>
      </c>
      <c r="I415" s="16">
        <f>IF(OR(F415="",F415&lt;2,B415=""),"",IFERROR(B415-INDEX($B$5:$B$504,MATCH(A415&amp;"|"&amp;(F415-1),$G$5:$G$504,0)),""))</f>
      </c>
      <c r="J415" s="18">
        <f>IF(OR(H415="",I415="",I415=0),"",H415/I415)</f>
      </c>
    </row>
    <row r="416" spans="1:10" x14ac:dyDescent="0.25">
      <c r="A416" s="11"/>
      <c r="B416" s="12"/>
      <c r="C416" s="19"/>
      <c r="D416" s="15">
        <f>IF(A416="","",IFERROR(INDEX(Ejemplares!$F$5:$F$64,MATCH(A416,Ejemplares!$A$5:$A$64,0)),""))</f>
      </c>
      <c r="E416" s="11"/>
      <c r="F416" s="16">
        <f>IF(A416="","",COUNTIF($A$5:$A416,A416))</f>
      </c>
      <c r="G416" s="15">
        <f>IF(A416="","",A416&amp;"|"&amp;F416)</f>
      </c>
      <c r="H416" s="17">
        <f>IF(OR(F416="",F416&lt;2,C416=""),"",IFERROR(C416-INDEX($C$5:$C$504,MATCH(A416&amp;"|"&amp;(F416-1),$G$5:$G$504,0)),""))</f>
      </c>
      <c r="I416" s="16">
        <f>IF(OR(F416="",F416&lt;2,B416=""),"",IFERROR(B416-INDEX($B$5:$B$504,MATCH(A416&amp;"|"&amp;(F416-1),$G$5:$G$504,0)),""))</f>
      </c>
      <c r="J416" s="18">
        <f>IF(OR(H416="",I416="",I416=0),"",H416/I416)</f>
      </c>
    </row>
    <row r="417" spans="1:10" x14ac:dyDescent="0.25">
      <c r="A417" s="11"/>
      <c r="B417" s="12"/>
      <c r="C417" s="19"/>
      <c r="D417" s="15">
        <f>IF(A417="","",IFERROR(INDEX(Ejemplares!$F$5:$F$64,MATCH(A417,Ejemplares!$A$5:$A$64,0)),""))</f>
      </c>
      <c r="E417" s="11"/>
      <c r="F417" s="16">
        <f>IF(A417="","",COUNTIF($A$5:$A417,A417))</f>
      </c>
      <c r="G417" s="15">
        <f>IF(A417="","",A417&amp;"|"&amp;F417)</f>
      </c>
      <c r="H417" s="17">
        <f>IF(OR(F417="",F417&lt;2,C417=""),"",IFERROR(C417-INDEX($C$5:$C$504,MATCH(A417&amp;"|"&amp;(F417-1),$G$5:$G$504,0)),""))</f>
      </c>
      <c r="I417" s="16">
        <f>IF(OR(F417="",F417&lt;2,B417=""),"",IFERROR(B417-INDEX($B$5:$B$504,MATCH(A417&amp;"|"&amp;(F417-1),$G$5:$G$504,0)),""))</f>
      </c>
      <c r="J417" s="18">
        <f>IF(OR(H417="",I417="",I417=0),"",H417/I417)</f>
      </c>
    </row>
    <row r="418" spans="1:10" x14ac:dyDescent="0.25">
      <c r="A418" s="11"/>
      <c r="B418" s="12"/>
      <c r="C418" s="19"/>
      <c r="D418" s="15">
        <f>IF(A418="","",IFERROR(INDEX(Ejemplares!$F$5:$F$64,MATCH(A418,Ejemplares!$A$5:$A$64,0)),""))</f>
      </c>
      <c r="E418" s="11"/>
      <c r="F418" s="16">
        <f>IF(A418="","",COUNTIF($A$5:$A418,A418))</f>
      </c>
      <c r="G418" s="15">
        <f>IF(A418="","",A418&amp;"|"&amp;F418)</f>
      </c>
      <c r="H418" s="17">
        <f>IF(OR(F418="",F418&lt;2,C418=""),"",IFERROR(C418-INDEX($C$5:$C$504,MATCH(A418&amp;"|"&amp;(F418-1),$G$5:$G$504,0)),""))</f>
      </c>
      <c r="I418" s="16">
        <f>IF(OR(F418="",F418&lt;2,B418=""),"",IFERROR(B418-INDEX($B$5:$B$504,MATCH(A418&amp;"|"&amp;(F418-1),$G$5:$G$504,0)),""))</f>
      </c>
      <c r="J418" s="18">
        <f>IF(OR(H418="",I418="",I418=0),"",H418/I418)</f>
      </c>
    </row>
    <row r="419" spans="1:10" x14ac:dyDescent="0.25">
      <c r="A419" s="11"/>
      <c r="B419" s="12"/>
      <c r="C419" s="19"/>
      <c r="D419" s="15">
        <f>IF(A419="","",IFERROR(INDEX(Ejemplares!$F$5:$F$64,MATCH(A419,Ejemplares!$A$5:$A$64,0)),""))</f>
      </c>
      <c r="E419" s="11"/>
      <c r="F419" s="16">
        <f>IF(A419="","",COUNTIF($A$5:$A419,A419))</f>
      </c>
      <c r="G419" s="15">
        <f>IF(A419="","",A419&amp;"|"&amp;F419)</f>
      </c>
      <c r="H419" s="17">
        <f>IF(OR(F419="",F419&lt;2,C419=""),"",IFERROR(C419-INDEX($C$5:$C$504,MATCH(A419&amp;"|"&amp;(F419-1),$G$5:$G$504,0)),""))</f>
      </c>
      <c r="I419" s="16">
        <f>IF(OR(F419="",F419&lt;2,B419=""),"",IFERROR(B419-INDEX($B$5:$B$504,MATCH(A419&amp;"|"&amp;(F419-1),$G$5:$G$504,0)),""))</f>
      </c>
      <c r="J419" s="18">
        <f>IF(OR(H419="",I419="",I419=0),"",H419/I419)</f>
      </c>
    </row>
    <row r="420" spans="1:10" x14ac:dyDescent="0.25">
      <c r="A420" s="11"/>
      <c r="B420" s="12"/>
      <c r="C420" s="19"/>
      <c r="D420" s="15">
        <f>IF(A420="","",IFERROR(INDEX(Ejemplares!$F$5:$F$64,MATCH(A420,Ejemplares!$A$5:$A$64,0)),""))</f>
      </c>
      <c r="E420" s="11"/>
      <c r="F420" s="16">
        <f>IF(A420="","",COUNTIF($A$5:$A420,A420))</f>
      </c>
      <c r="G420" s="15">
        <f>IF(A420="","",A420&amp;"|"&amp;F420)</f>
      </c>
      <c r="H420" s="17">
        <f>IF(OR(F420="",F420&lt;2,C420=""),"",IFERROR(C420-INDEX($C$5:$C$504,MATCH(A420&amp;"|"&amp;(F420-1),$G$5:$G$504,0)),""))</f>
      </c>
      <c r="I420" s="16">
        <f>IF(OR(F420="",F420&lt;2,B420=""),"",IFERROR(B420-INDEX($B$5:$B$504,MATCH(A420&amp;"|"&amp;(F420-1),$G$5:$G$504,0)),""))</f>
      </c>
      <c r="J420" s="18">
        <f>IF(OR(H420="",I420="",I420=0),"",H420/I420)</f>
      </c>
    </row>
    <row r="421" spans="1:10" x14ac:dyDescent="0.25">
      <c r="A421" s="11"/>
      <c r="B421" s="12"/>
      <c r="C421" s="19"/>
      <c r="D421" s="15">
        <f>IF(A421="","",IFERROR(INDEX(Ejemplares!$F$5:$F$64,MATCH(A421,Ejemplares!$A$5:$A$64,0)),""))</f>
      </c>
      <c r="E421" s="11"/>
      <c r="F421" s="16">
        <f>IF(A421="","",COUNTIF($A$5:$A421,A421))</f>
      </c>
      <c r="G421" s="15">
        <f>IF(A421="","",A421&amp;"|"&amp;F421)</f>
      </c>
      <c r="H421" s="17">
        <f>IF(OR(F421="",F421&lt;2,C421=""),"",IFERROR(C421-INDEX($C$5:$C$504,MATCH(A421&amp;"|"&amp;(F421-1),$G$5:$G$504,0)),""))</f>
      </c>
      <c r="I421" s="16">
        <f>IF(OR(F421="",F421&lt;2,B421=""),"",IFERROR(B421-INDEX($B$5:$B$504,MATCH(A421&amp;"|"&amp;(F421-1),$G$5:$G$504,0)),""))</f>
      </c>
      <c r="J421" s="18">
        <f>IF(OR(H421="",I421="",I421=0),"",H421/I421)</f>
      </c>
    </row>
    <row r="422" spans="1:10" x14ac:dyDescent="0.25">
      <c r="A422" s="11"/>
      <c r="B422" s="12"/>
      <c r="C422" s="19"/>
      <c r="D422" s="15">
        <f>IF(A422="","",IFERROR(INDEX(Ejemplares!$F$5:$F$64,MATCH(A422,Ejemplares!$A$5:$A$64,0)),""))</f>
      </c>
      <c r="E422" s="11"/>
      <c r="F422" s="16">
        <f>IF(A422="","",COUNTIF($A$5:$A422,A422))</f>
      </c>
      <c r="G422" s="15">
        <f>IF(A422="","",A422&amp;"|"&amp;F422)</f>
      </c>
      <c r="H422" s="17">
        <f>IF(OR(F422="",F422&lt;2,C422=""),"",IFERROR(C422-INDEX($C$5:$C$504,MATCH(A422&amp;"|"&amp;(F422-1),$G$5:$G$504,0)),""))</f>
      </c>
      <c r="I422" s="16">
        <f>IF(OR(F422="",F422&lt;2,B422=""),"",IFERROR(B422-INDEX($B$5:$B$504,MATCH(A422&amp;"|"&amp;(F422-1),$G$5:$G$504,0)),""))</f>
      </c>
      <c r="J422" s="18">
        <f>IF(OR(H422="",I422="",I422=0),"",H422/I422)</f>
      </c>
    </row>
    <row r="423" spans="1:10" x14ac:dyDescent="0.25">
      <c r="A423" s="11"/>
      <c r="B423" s="12"/>
      <c r="C423" s="19"/>
      <c r="D423" s="15">
        <f>IF(A423="","",IFERROR(INDEX(Ejemplares!$F$5:$F$64,MATCH(A423,Ejemplares!$A$5:$A$64,0)),""))</f>
      </c>
      <c r="E423" s="11"/>
      <c r="F423" s="16">
        <f>IF(A423="","",COUNTIF($A$5:$A423,A423))</f>
      </c>
      <c r="G423" s="15">
        <f>IF(A423="","",A423&amp;"|"&amp;F423)</f>
      </c>
      <c r="H423" s="17">
        <f>IF(OR(F423="",F423&lt;2,C423=""),"",IFERROR(C423-INDEX($C$5:$C$504,MATCH(A423&amp;"|"&amp;(F423-1),$G$5:$G$504,0)),""))</f>
      </c>
      <c r="I423" s="16">
        <f>IF(OR(F423="",F423&lt;2,B423=""),"",IFERROR(B423-INDEX($B$5:$B$504,MATCH(A423&amp;"|"&amp;(F423-1),$G$5:$G$504,0)),""))</f>
      </c>
      <c r="J423" s="18">
        <f>IF(OR(H423="",I423="",I423=0),"",H423/I423)</f>
      </c>
    </row>
    <row r="424" spans="1:10" x14ac:dyDescent="0.25">
      <c r="A424" s="11"/>
      <c r="B424" s="12"/>
      <c r="C424" s="19"/>
      <c r="D424" s="15">
        <f>IF(A424="","",IFERROR(INDEX(Ejemplares!$F$5:$F$64,MATCH(A424,Ejemplares!$A$5:$A$64,0)),""))</f>
      </c>
      <c r="E424" s="11"/>
      <c r="F424" s="16">
        <f>IF(A424="","",COUNTIF($A$5:$A424,A424))</f>
      </c>
      <c r="G424" s="15">
        <f>IF(A424="","",A424&amp;"|"&amp;F424)</f>
      </c>
      <c r="H424" s="17">
        <f>IF(OR(F424="",F424&lt;2,C424=""),"",IFERROR(C424-INDEX($C$5:$C$504,MATCH(A424&amp;"|"&amp;(F424-1),$G$5:$G$504,0)),""))</f>
      </c>
      <c r="I424" s="16">
        <f>IF(OR(F424="",F424&lt;2,B424=""),"",IFERROR(B424-INDEX($B$5:$B$504,MATCH(A424&amp;"|"&amp;(F424-1),$G$5:$G$504,0)),""))</f>
      </c>
      <c r="J424" s="18">
        <f>IF(OR(H424="",I424="",I424=0),"",H424/I424)</f>
      </c>
    </row>
    <row r="425" spans="1:10" x14ac:dyDescent="0.25">
      <c r="A425" s="11"/>
      <c r="B425" s="12"/>
      <c r="C425" s="19"/>
      <c r="D425" s="15">
        <f>IF(A425="","",IFERROR(INDEX(Ejemplares!$F$5:$F$64,MATCH(A425,Ejemplares!$A$5:$A$64,0)),""))</f>
      </c>
      <c r="E425" s="11"/>
      <c r="F425" s="16">
        <f>IF(A425="","",COUNTIF($A$5:$A425,A425))</f>
      </c>
      <c r="G425" s="15">
        <f>IF(A425="","",A425&amp;"|"&amp;F425)</f>
      </c>
      <c r="H425" s="17">
        <f>IF(OR(F425="",F425&lt;2,C425=""),"",IFERROR(C425-INDEX($C$5:$C$504,MATCH(A425&amp;"|"&amp;(F425-1),$G$5:$G$504,0)),""))</f>
      </c>
      <c r="I425" s="16">
        <f>IF(OR(F425="",F425&lt;2,B425=""),"",IFERROR(B425-INDEX($B$5:$B$504,MATCH(A425&amp;"|"&amp;(F425-1),$G$5:$G$504,0)),""))</f>
      </c>
      <c r="J425" s="18">
        <f>IF(OR(H425="",I425="",I425=0),"",H425/I425)</f>
      </c>
    </row>
    <row r="426" spans="1:10" x14ac:dyDescent="0.25">
      <c r="A426" s="11"/>
      <c r="B426" s="12"/>
      <c r="C426" s="19"/>
      <c r="D426" s="15">
        <f>IF(A426="","",IFERROR(INDEX(Ejemplares!$F$5:$F$64,MATCH(A426,Ejemplares!$A$5:$A$64,0)),""))</f>
      </c>
      <c r="E426" s="11"/>
      <c r="F426" s="16">
        <f>IF(A426="","",COUNTIF($A$5:$A426,A426))</f>
      </c>
      <c r="G426" s="15">
        <f>IF(A426="","",A426&amp;"|"&amp;F426)</f>
      </c>
      <c r="H426" s="17">
        <f>IF(OR(F426="",F426&lt;2,C426=""),"",IFERROR(C426-INDEX($C$5:$C$504,MATCH(A426&amp;"|"&amp;(F426-1),$G$5:$G$504,0)),""))</f>
      </c>
      <c r="I426" s="16">
        <f>IF(OR(F426="",F426&lt;2,B426=""),"",IFERROR(B426-INDEX($B$5:$B$504,MATCH(A426&amp;"|"&amp;(F426-1),$G$5:$G$504,0)),""))</f>
      </c>
      <c r="J426" s="18">
        <f>IF(OR(H426="",I426="",I426=0),"",H426/I426)</f>
      </c>
    </row>
    <row r="427" spans="1:10" x14ac:dyDescent="0.25">
      <c r="A427" s="11"/>
      <c r="B427" s="12"/>
      <c r="C427" s="19"/>
      <c r="D427" s="15">
        <f>IF(A427="","",IFERROR(INDEX(Ejemplares!$F$5:$F$64,MATCH(A427,Ejemplares!$A$5:$A$64,0)),""))</f>
      </c>
      <c r="E427" s="11"/>
      <c r="F427" s="16">
        <f>IF(A427="","",COUNTIF($A$5:$A427,A427))</f>
      </c>
      <c r="G427" s="15">
        <f>IF(A427="","",A427&amp;"|"&amp;F427)</f>
      </c>
      <c r="H427" s="17">
        <f>IF(OR(F427="",F427&lt;2,C427=""),"",IFERROR(C427-INDEX($C$5:$C$504,MATCH(A427&amp;"|"&amp;(F427-1),$G$5:$G$504,0)),""))</f>
      </c>
      <c r="I427" s="16">
        <f>IF(OR(F427="",F427&lt;2,B427=""),"",IFERROR(B427-INDEX($B$5:$B$504,MATCH(A427&amp;"|"&amp;(F427-1),$G$5:$G$504,0)),""))</f>
      </c>
      <c r="J427" s="18">
        <f>IF(OR(H427="",I427="",I427=0),"",H427/I427)</f>
      </c>
    </row>
    <row r="428" spans="1:10" x14ac:dyDescent="0.25">
      <c r="A428" s="11"/>
      <c r="B428" s="12"/>
      <c r="C428" s="19"/>
      <c r="D428" s="15">
        <f>IF(A428="","",IFERROR(INDEX(Ejemplares!$F$5:$F$64,MATCH(A428,Ejemplares!$A$5:$A$64,0)),""))</f>
      </c>
      <c r="E428" s="11"/>
      <c r="F428" s="16">
        <f>IF(A428="","",COUNTIF($A$5:$A428,A428))</f>
      </c>
      <c r="G428" s="15">
        <f>IF(A428="","",A428&amp;"|"&amp;F428)</f>
      </c>
      <c r="H428" s="17">
        <f>IF(OR(F428="",F428&lt;2,C428=""),"",IFERROR(C428-INDEX($C$5:$C$504,MATCH(A428&amp;"|"&amp;(F428-1),$G$5:$G$504,0)),""))</f>
      </c>
      <c r="I428" s="16">
        <f>IF(OR(F428="",F428&lt;2,B428=""),"",IFERROR(B428-INDEX($B$5:$B$504,MATCH(A428&amp;"|"&amp;(F428-1),$G$5:$G$504,0)),""))</f>
      </c>
      <c r="J428" s="18">
        <f>IF(OR(H428="",I428="",I428=0),"",H428/I428)</f>
      </c>
    </row>
    <row r="429" spans="1:10" x14ac:dyDescent="0.25">
      <c r="A429" s="11"/>
      <c r="B429" s="12"/>
      <c r="C429" s="19"/>
      <c r="D429" s="15">
        <f>IF(A429="","",IFERROR(INDEX(Ejemplares!$F$5:$F$64,MATCH(A429,Ejemplares!$A$5:$A$64,0)),""))</f>
      </c>
      <c r="E429" s="11"/>
      <c r="F429" s="16">
        <f>IF(A429="","",COUNTIF($A$5:$A429,A429))</f>
      </c>
      <c r="G429" s="15">
        <f>IF(A429="","",A429&amp;"|"&amp;F429)</f>
      </c>
      <c r="H429" s="17">
        <f>IF(OR(F429="",F429&lt;2,C429=""),"",IFERROR(C429-INDEX($C$5:$C$504,MATCH(A429&amp;"|"&amp;(F429-1),$G$5:$G$504,0)),""))</f>
      </c>
      <c r="I429" s="16">
        <f>IF(OR(F429="",F429&lt;2,B429=""),"",IFERROR(B429-INDEX($B$5:$B$504,MATCH(A429&amp;"|"&amp;(F429-1),$G$5:$G$504,0)),""))</f>
      </c>
      <c r="J429" s="18">
        <f>IF(OR(H429="",I429="",I429=0),"",H429/I429)</f>
      </c>
    </row>
    <row r="430" spans="1:10" x14ac:dyDescent="0.25">
      <c r="A430" s="11"/>
      <c r="B430" s="12"/>
      <c r="C430" s="19"/>
      <c r="D430" s="15">
        <f>IF(A430="","",IFERROR(INDEX(Ejemplares!$F$5:$F$64,MATCH(A430,Ejemplares!$A$5:$A$64,0)),""))</f>
      </c>
      <c r="E430" s="11"/>
      <c r="F430" s="16">
        <f>IF(A430="","",COUNTIF($A$5:$A430,A430))</f>
      </c>
      <c r="G430" s="15">
        <f>IF(A430="","",A430&amp;"|"&amp;F430)</f>
      </c>
      <c r="H430" s="17">
        <f>IF(OR(F430="",F430&lt;2,C430=""),"",IFERROR(C430-INDEX($C$5:$C$504,MATCH(A430&amp;"|"&amp;(F430-1),$G$5:$G$504,0)),""))</f>
      </c>
      <c r="I430" s="16">
        <f>IF(OR(F430="",F430&lt;2,B430=""),"",IFERROR(B430-INDEX($B$5:$B$504,MATCH(A430&amp;"|"&amp;(F430-1),$G$5:$G$504,0)),""))</f>
      </c>
      <c r="J430" s="18">
        <f>IF(OR(H430="",I430="",I430=0),"",H430/I430)</f>
      </c>
    </row>
    <row r="431" spans="1:10" x14ac:dyDescent="0.25">
      <c r="A431" s="11"/>
      <c r="B431" s="12"/>
      <c r="C431" s="19"/>
      <c r="D431" s="15">
        <f>IF(A431="","",IFERROR(INDEX(Ejemplares!$F$5:$F$64,MATCH(A431,Ejemplares!$A$5:$A$64,0)),""))</f>
      </c>
      <c r="E431" s="11"/>
      <c r="F431" s="16">
        <f>IF(A431="","",COUNTIF($A$5:$A431,A431))</f>
      </c>
      <c r="G431" s="15">
        <f>IF(A431="","",A431&amp;"|"&amp;F431)</f>
      </c>
      <c r="H431" s="17">
        <f>IF(OR(F431="",F431&lt;2,C431=""),"",IFERROR(C431-INDEX($C$5:$C$504,MATCH(A431&amp;"|"&amp;(F431-1),$G$5:$G$504,0)),""))</f>
      </c>
      <c r="I431" s="16">
        <f>IF(OR(F431="",F431&lt;2,B431=""),"",IFERROR(B431-INDEX($B$5:$B$504,MATCH(A431&amp;"|"&amp;(F431-1),$G$5:$G$504,0)),""))</f>
      </c>
      <c r="J431" s="18">
        <f>IF(OR(H431="",I431="",I431=0),"",H431/I431)</f>
      </c>
    </row>
    <row r="432" spans="1:10" x14ac:dyDescent="0.25">
      <c r="A432" s="11"/>
      <c r="B432" s="12"/>
      <c r="C432" s="19"/>
      <c r="D432" s="15">
        <f>IF(A432="","",IFERROR(INDEX(Ejemplares!$F$5:$F$64,MATCH(A432,Ejemplares!$A$5:$A$64,0)),""))</f>
      </c>
      <c r="E432" s="11"/>
      <c r="F432" s="16">
        <f>IF(A432="","",COUNTIF($A$5:$A432,A432))</f>
      </c>
      <c r="G432" s="15">
        <f>IF(A432="","",A432&amp;"|"&amp;F432)</f>
      </c>
      <c r="H432" s="17">
        <f>IF(OR(F432="",F432&lt;2,C432=""),"",IFERROR(C432-INDEX($C$5:$C$504,MATCH(A432&amp;"|"&amp;(F432-1),$G$5:$G$504,0)),""))</f>
      </c>
      <c r="I432" s="16">
        <f>IF(OR(F432="",F432&lt;2,B432=""),"",IFERROR(B432-INDEX($B$5:$B$504,MATCH(A432&amp;"|"&amp;(F432-1),$G$5:$G$504,0)),""))</f>
      </c>
      <c r="J432" s="18">
        <f>IF(OR(H432="",I432="",I432=0),"",H432/I432)</f>
      </c>
    </row>
    <row r="433" spans="1:10" x14ac:dyDescent="0.25">
      <c r="A433" s="11"/>
      <c r="B433" s="12"/>
      <c r="C433" s="19"/>
      <c r="D433" s="15">
        <f>IF(A433="","",IFERROR(INDEX(Ejemplares!$F$5:$F$64,MATCH(A433,Ejemplares!$A$5:$A$64,0)),""))</f>
      </c>
      <c r="E433" s="11"/>
      <c r="F433" s="16">
        <f>IF(A433="","",COUNTIF($A$5:$A433,A433))</f>
      </c>
      <c r="G433" s="15">
        <f>IF(A433="","",A433&amp;"|"&amp;F433)</f>
      </c>
      <c r="H433" s="17">
        <f>IF(OR(F433="",F433&lt;2,C433=""),"",IFERROR(C433-INDEX($C$5:$C$504,MATCH(A433&amp;"|"&amp;(F433-1),$G$5:$G$504,0)),""))</f>
      </c>
      <c r="I433" s="16">
        <f>IF(OR(F433="",F433&lt;2,B433=""),"",IFERROR(B433-INDEX($B$5:$B$504,MATCH(A433&amp;"|"&amp;(F433-1),$G$5:$G$504,0)),""))</f>
      </c>
      <c r="J433" s="18">
        <f>IF(OR(H433="",I433="",I433=0),"",H433/I433)</f>
      </c>
    </row>
    <row r="434" spans="1:10" x14ac:dyDescent="0.25">
      <c r="A434" s="11"/>
      <c r="B434" s="12"/>
      <c r="C434" s="19"/>
      <c r="D434" s="15">
        <f>IF(A434="","",IFERROR(INDEX(Ejemplares!$F$5:$F$64,MATCH(A434,Ejemplares!$A$5:$A$64,0)),""))</f>
      </c>
      <c r="E434" s="11"/>
      <c r="F434" s="16">
        <f>IF(A434="","",COUNTIF($A$5:$A434,A434))</f>
      </c>
      <c r="G434" s="15">
        <f>IF(A434="","",A434&amp;"|"&amp;F434)</f>
      </c>
      <c r="H434" s="17">
        <f>IF(OR(F434="",F434&lt;2,C434=""),"",IFERROR(C434-INDEX($C$5:$C$504,MATCH(A434&amp;"|"&amp;(F434-1),$G$5:$G$504,0)),""))</f>
      </c>
      <c r="I434" s="16">
        <f>IF(OR(F434="",F434&lt;2,B434=""),"",IFERROR(B434-INDEX($B$5:$B$504,MATCH(A434&amp;"|"&amp;(F434-1),$G$5:$G$504,0)),""))</f>
      </c>
      <c r="J434" s="18">
        <f>IF(OR(H434="",I434="",I434=0),"",H434/I434)</f>
      </c>
    </row>
    <row r="435" spans="1:10" x14ac:dyDescent="0.25">
      <c r="A435" s="11"/>
      <c r="B435" s="12"/>
      <c r="C435" s="19"/>
      <c r="D435" s="15">
        <f>IF(A435="","",IFERROR(INDEX(Ejemplares!$F$5:$F$64,MATCH(A435,Ejemplares!$A$5:$A$64,0)),""))</f>
      </c>
      <c r="E435" s="11"/>
      <c r="F435" s="16">
        <f>IF(A435="","",COUNTIF($A$5:$A435,A435))</f>
      </c>
      <c r="G435" s="15">
        <f>IF(A435="","",A435&amp;"|"&amp;F435)</f>
      </c>
      <c r="H435" s="17">
        <f>IF(OR(F435="",F435&lt;2,C435=""),"",IFERROR(C435-INDEX($C$5:$C$504,MATCH(A435&amp;"|"&amp;(F435-1),$G$5:$G$504,0)),""))</f>
      </c>
      <c r="I435" s="16">
        <f>IF(OR(F435="",F435&lt;2,B435=""),"",IFERROR(B435-INDEX($B$5:$B$504,MATCH(A435&amp;"|"&amp;(F435-1),$G$5:$G$504,0)),""))</f>
      </c>
      <c r="J435" s="18">
        <f>IF(OR(H435="",I435="",I435=0),"",H435/I435)</f>
      </c>
    </row>
    <row r="436" spans="1:10" x14ac:dyDescent="0.25">
      <c r="A436" s="11"/>
      <c r="B436" s="12"/>
      <c r="C436" s="19"/>
      <c r="D436" s="15">
        <f>IF(A436="","",IFERROR(INDEX(Ejemplares!$F$5:$F$64,MATCH(A436,Ejemplares!$A$5:$A$64,0)),""))</f>
      </c>
      <c r="E436" s="11"/>
      <c r="F436" s="16">
        <f>IF(A436="","",COUNTIF($A$5:$A436,A436))</f>
      </c>
      <c r="G436" s="15">
        <f>IF(A436="","",A436&amp;"|"&amp;F436)</f>
      </c>
      <c r="H436" s="17">
        <f>IF(OR(F436="",F436&lt;2,C436=""),"",IFERROR(C436-INDEX($C$5:$C$504,MATCH(A436&amp;"|"&amp;(F436-1),$G$5:$G$504,0)),""))</f>
      </c>
      <c r="I436" s="16">
        <f>IF(OR(F436="",F436&lt;2,B436=""),"",IFERROR(B436-INDEX($B$5:$B$504,MATCH(A436&amp;"|"&amp;(F436-1),$G$5:$G$504,0)),""))</f>
      </c>
      <c r="J436" s="18">
        <f>IF(OR(H436="",I436="",I436=0),"",H436/I436)</f>
      </c>
    </row>
    <row r="437" spans="1:10" x14ac:dyDescent="0.25">
      <c r="A437" s="11"/>
      <c r="B437" s="12"/>
      <c r="C437" s="19"/>
      <c r="D437" s="15">
        <f>IF(A437="","",IFERROR(INDEX(Ejemplares!$F$5:$F$64,MATCH(A437,Ejemplares!$A$5:$A$64,0)),""))</f>
      </c>
      <c r="E437" s="11"/>
      <c r="F437" s="16">
        <f>IF(A437="","",COUNTIF($A$5:$A437,A437))</f>
      </c>
      <c r="G437" s="15">
        <f>IF(A437="","",A437&amp;"|"&amp;F437)</f>
      </c>
      <c r="H437" s="17">
        <f>IF(OR(F437="",F437&lt;2,C437=""),"",IFERROR(C437-INDEX($C$5:$C$504,MATCH(A437&amp;"|"&amp;(F437-1),$G$5:$G$504,0)),""))</f>
      </c>
      <c r="I437" s="16">
        <f>IF(OR(F437="",F437&lt;2,B437=""),"",IFERROR(B437-INDEX($B$5:$B$504,MATCH(A437&amp;"|"&amp;(F437-1),$G$5:$G$504,0)),""))</f>
      </c>
      <c r="J437" s="18">
        <f>IF(OR(H437="",I437="",I437=0),"",H437/I437)</f>
      </c>
    </row>
    <row r="438" spans="1:10" x14ac:dyDescent="0.25">
      <c r="A438" s="11"/>
      <c r="B438" s="12"/>
      <c r="C438" s="19"/>
      <c r="D438" s="15">
        <f>IF(A438="","",IFERROR(INDEX(Ejemplares!$F$5:$F$64,MATCH(A438,Ejemplares!$A$5:$A$64,0)),""))</f>
      </c>
      <c r="E438" s="11"/>
      <c r="F438" s="16">
        <f>IF(A438="","",COUNTIF($A$5:$A438,A438))</f>
      </c>
      <c r="G438" s="15">
        <f>IF(A438="","",A438&amp;"|"&amp;F438)</f>
      </c>
      <c r="H438" s="17">
        <f>IF(OR(F438="",F438&lt;2,C438=""),"",IFERROR(C438-INDEX($C$5:$C$504,MATCH(A438&amp;"|"&amp;(F438-1),$G$5:$G$504,0)),""))</f>
      </c>
      <c r="I438" s="16">
        <f>IF(OR(F438="",F438&lt;2,B438=""),"",IFERROR(B438-INDEX($B$5:$B$504,MATCH(A438&amp;"|"&amp;(F438-1),$G$5:$G$504,0)),""))</f>
      </c>
      <c r="J438" s="18">
        <f>IF(OR(H438="",I438="",I438=0),"",H438/I438)</f>
      </c>
    </row>
    <row r="439" spans="1:10" x14ac:dyDescent="0.25">
      <c r="A439" s="11"/>
      <c r="B439" s="12"/>
      <c r="C439" s="19"/>
      <c r="D439" s="15">
        <f>IF(A439="","",IFERROR(INDEX(Ejemplares!$F$5:$F$64,MATCH(A439,Ejemplares!$A$5:$A$64,0)),""))</f>
      </c>
      <c r="E439" s="11"/>
      <c r="F439" s="16">
        <f>IF(A439="","",COUNTIF($A$5:$A439,A439))</f>
      </c>
      <c r="G439" s="15">
        <f>IF(A439="","",A439&amp;"|"&amp;F439)</f>
      </c>
      <c r="H439" s="17">
        <f>IF(OR(F439="",F439&lt;2,C439=""),"",IFERROR(C439-INDEX($C$5:$C$504,MATCH(A439&amp;"|"&amp;(F439-1),$G$5:$G$504,0)),""))</f>
      </c>
      <c r="I439" s="16">
        <f>IF(OR(F439="",F439&lt;2,B439=""),"",IFERROR(B439-INDEX($B$5:$B$504,MATCH(A439&amp;"|"&amp;(F439-1),$G$5:$G$504,0)),""))</f>
      </c>
      <c r="J439" s="18">
        <f>IF(OR(H439="",I439="",I439=0),"",H439/I439)</f>
      </c>
    </row>
    <row r="440" spans="1:10" x14ac:dyDescent="0.25">
      <c r="A440" s="11"/>
      <c r="B440" s="12"/>
      <c r="C440" s="19"/>
      <c r="D440" s="15">
        <f>IF(A440="","",IFERROR(INDEX(Ejemplares!$F$5:$F$64,MATCH(A440,Ejemplares!$A$5:$A$64,0)),""))</f>
      </c>
      <c r="E440" s="11"/>
      <c r="F440" s="16">
        <f>IF(A440="","",COUNTIF($A$5:$A440,A440))</f>
      </c>
      <c r="G440" s="15">
        <f>IF(A440="","",A440&amp;"|"&amp;F440)</f>
      </c>
      <c r="H440" s="17">
        <f>IF(OR(F440="",F440&lt;2,C440=""),"",IFERROR(C440-INDEX($C$5:$C$504,MATCH(A440&amp;"|"&amp;(F440-1),$G$5:$G$504,0)),""))</f>
      </c>
      <c r="I440" s="16">
        <f>IF(OR(F440="",F440&lt;2,B440=""),"",IFERROR(B440-INDEX($B$5:$B$504,MATCH(A440&amp;"|"&amp;(F440-1),$G$5:$G$504,0)),""))</f>
      </c>
      <c r="J440" s="18">
        <f>IF(OR(H440="",I440="",I440=0),"",H440/I440)</f>
      </c>
    </row>
    <row r="441" spans="1:10" x14ac:dyDescent="0.25">
      <c r="A441" s="11"/>
      <c r="B441" s="12"/>
      <c r="C441" s="19"/>
      <c r="D441" s="15">
        <f>IF(A441="","",IFERROR(INDEX(Ejemplares!$F$5:$F$64,MATCH(A441,Ejemplares!$A$5:$A$64,0)),""))</f>
      </c>
      <c r="E441" s="11"/>
      <c r="F441" s="16">
        <f>IF(A441="","",COUNTIF($A$5:$A441,A441))</f>
      </c>
      <c r="G441" s="15">
        <f>IF(A441="","",A441&amp;"|"&amp;F441)</f>
      </c>
      <c r="H441" s="17">
        <f>IF(OR(F441="",F441&lt;2,C441=""),"",IFERROR(C441-INDEX($C$5:$C$504,MATCH(A441&amp;"|"&amp;(F441-1),$G$5:$G$504,0)),""))</f>
      </c>
      <c r="I441" s="16">
        <f>IF(OR(F441="",F441&lt;2,B441=""),"",IFERROR(B441-INDEX($B$5:$B$504,MATCH(A441&amp;"|"&amp;(F441-1),$G$5:$G$504,0)),""))</f>
      </c>
      <c r="J441" s="18">
        <f>IF(OR(H441="",I441="",I441=0),"",H441/I441)</f>
      </c>
    </row>
    <row r="442" spans="1:10" x14ac:dyDescent="0.25">
      <c r="A442" s="11"/>
      <c r="B442" s="12"/>
      <c r="C442" s="19"/>
      <c r="D442" s="15">
        <f>IF(A442="","",IFERROR(INDEX(Ejemplares!$F$5:$F$64,MATCH(A442,Ejemplares!$A$5:$A$64,0)),""))</f>
      </c>
      <c r="E442" s="11"/>
      <c r="F442" s="16">
        <f>IF(A442="","",COUNTIF($A$5:$A442,A442))</f>
      </c>
      <c r="G442" s="15">
        <f>IF(A442="","",A442&amp;"|"&amp;F442)</f>
      </c>
      <c r="H442" s="17">
        <f>IF(OR(F442="",F442&lt;2,C442=""),"",IFERROR(C442-INDEX($C$5:$C$504,MATCH(A442&amp;"|"&amp;(F442-1),$G$5:$G$504,0)),""))</f>
      </c>
      <c r="I442" s="16">
        <f>IF(OR(F442="",F442&lt;2,B442=""),"",IFERROR(B442-INDEX($B$5:$B$504,MATCH(A442&amp;"|"&amp;(F442-1),$G$5:$G$504,0)),""))</f>
      </c>
      <c r="J442" s="18">
        <f>IF(OR(H442="",I442="",I442=0),"",H442/I442)</f>
      </c>
    </row>
    <row r="443" spans="1:10" x14ac:dyDescent="0.25">
      <c r="A443" s="11"/>
      <c r="B443" s="12"/>
      <c r="C443" s="19"/>
      <c r="D443" s="15">
        <f>IF(A443="","",IFERROR(INDEX(Ejemplares!$F$5:$F$64,MATCH(A443,Ejemplares!$A$5:$A$64,0)),""))</f>
      </c>
      <c r="E443" s="11"/>
      <c r="F443" s="16">
        <f>IF(A443="","",COUNTIF($A$5:$A443,A443))</f>
      </c>
      <c r="G443" s="15">
        <f>IF(A443="","",A443&amp;"|"&amp;F443)</f>
      </c>
      <c r="H443" s="17">
        <f>IF(OR(F443="",F443&lt;2,C443=""),"",IFERROR(C443-INDEX($C$5:$C$504,MATCH(A443&amp;"|"&amp;(F443-1),$G$5:$G$504,0)),""))</f>
      </c>
      <c r="I443" s="16">
        <f>IF(OR(F443="",F443&lt;2,B443=""),"",IFERROR(B443-INDEX($B$5:$B$504,MATCH(A443&amp;"|"&amp;(F443-1),$G$5:$G$504,0)),""))</f>
      </c>
      <c r="J443" s="18">
        <f>IF(OR(H443="",I443="",I443=0),"",H443/I443)</f>
      </c>
    </row>
    <row r="444" spans="1:10" x14ac:dyDescent="0.25">
      <c r="A444" s="11"/>
      <c r="B444" s="12"/>
      <c r="C444" s="19"/>
      <c r="D444" s="15">
        <f>IF(A444="","",IFERROR(INDEX(Ejemplares!$F$5:$F$64,MATCH(A444,Ejemplares!$A$5:$A$64,0)),""))</f>
      </c>
      <c r="E444" s="11"/>
      <c r="F444" s="16">
        <f>IF(A444="","",COUNTIF($A$5:$A444,A444))</f>
      </c>
      <c r="G444" s="15">
        <f>IF(A444="","",A444&amp;"|"&amp;F444)</f>
      </c>
      <c r="H444" s="17">
        <f>IF(OR(F444="",F444&lt;2,C444=""),"",IFERROR(C444-INDEX($C$5:$C$504,MATCH(A444&amp;"|"&amp;(F444-1),$G$5:$G$504,0)),""))</f>
      </c>
      <c r="I444" s="16">
        <f>IF(OR(F444="",F444&lt;2,B444=""),"",IFERROR(B444-INDEX($B$5:$B$504,MATCH(A444&amp;"|"&amp;(F444-1),$G$5:$G$504,0)),""))</f>
      </c>
      <c r="J444" s="18">
        <f>IF(OR(H444="",I444="",I444=0),"",H444/I444)</f>
      </c>
    </row>
    <row r="445" spans="1:10" x14ac:dyDescent="0.25">
      <c r="A445" s="11"/>
      <c r="B445" s="12"/>
      <c r="C445" s="19"/>
      <c r="D445" s="15">
        <f>IF(A445="","",IFERROR(INDEX(Ejemplares!$F$5:$F$64,MATCH(A445,Ejemplares!$A$5:$A$64,0)),""))</f>
      </c>
      <c r="E445" s="11"/>
      <c r="F445" s="16">
        <f>IF(A445="","",COUNTIF($A$5:$A445,A445))</f>
      </c>
      <c r="G445" s="15">
        <f>IF(A445="","",A445&amp;"|"&amp;F445)</f>
      </c>
      <c r="H445" s="17">
        <f>IF(OR(F445="",F445&lt;2,C445=""),"",IFERROR(C445-INDEX($C$5:$C$504,MATCH(A445&amp;"|"&amp;(F445-1),$G$5:$G$504,0)),""))</f>
      </c>
      <c r="I445" s="16">
        <f>IF(OR(F445="",F445&lt;2,B445=""),"",IFERROR(B445-INDEX($B$5:$B$504,MATCH(A445&amp;"|"&amp;(F445-1),$G$5:$G$504,0)),""))</f>
      </c>
      <c r="J445" s="18">
        <f>IF(OR(H445="",I445="",I445=0),"",H445/I445)</f>
      </c>
    </row>
    <row r="446" spans="1:10" x14ac:dyDescent="0.25">
      <c r="A446" s="11"/>
      <c r="B446" s="12"/>
      <c r="C446" s="19"/>
      <c r="D446" s="15">
        <f>IF(A446="","",IFERROR(INDEX(Ejemplares!$F$5:$F$64,MATCH(A446,Ejemplares!$A$5:$A$64,0)),""))</f>
      </c>
      <c r="E446" s="11"/>
      <c r="F446" s="16">
        <f>IF(A446="","",COUNTIF($A$5:$A446,A446))</f>
      </c>
      <c r="G446" s="15">
        <f>IF(A446="","",A446&amp;"|"&amp;F446)</f>
      </c>
      <c r="H446" s="17">
        <f>IF(OR(F446="",F446&lt;2,C446=""),"",IFERROR(C446-INDEX($C$5:$C$504,MATCH(A446&amp;"|"&amp;(F446-1),$G$5:$G$504,0)),""))</f>
      </c>
      <c r="I446" s="16">
        <f>IF(OR(F446="",F446&lt;2,B446=""),"",IFERROR(B446-INDEX($B$5:$B$504,MATCH(A446&amp;"|"&amp;(F446-1),$G$5:$G$504,0)),""))</f>
      </c>
      <c r="J446" s="18">
        <f>IF(OR(H446="",I446="",I446=0),"",H446/I446)</f>
      </c>
    </row>
    <row r="447" spans="1:10" x14ac:dyDescent="0.25">
      <c r="A447" s="11"/>
      <c r="B447" s="12"/>
      <c r="C447" s="19"/>
      <c r="D447" s="15">
        <f>IF(A447="","",IFERROR(INDEX(Ejemplares!$F$5:$F$64,MATCH(A447,Ejemplares!$A$5:$A$64,0)),""))</f>
      </c>
      <c r="E447" s="11"/>
      <c r="F447" s="16">
        <f>IF(A447="","",COUNTIF($A$5:$A447,A447))</f>
      </c>
      <c r="G447" s="15">
        <f>IF(A447="","",A447&amp;"|"&amp;F447)</f>
      </c>
      <c r="H447" s="17">
        <f>IF(OR(F447="",F447&lt;2,C447=""),"",IFERROR(C447-INDEX($C$5:$C$504,MATCH(A447&amp;"|"&amp;(F447-1),$G$5:$G$504,0)),""))</f>
      </c>
      <c r="I447" s="16">
        <f>IF(OR(F447="",F447&lt;2,B447=""),"",IFERROR(B447-INDEX($B$5:$B$504,MATCH(A447&amp;"|"&amp;(F447-1),$G$5:$G$504,0)),""))</f>
      </c>
      <c r="J447" s="18">
        <f>IF(OR(H447="",I447="",I447=0),"",H447/I447)</f>
      </c>
    </row>
    <row r="448" spans="1:10" x14ac:dyDescent="0.25">
      <c r="A448" s="11"/>
      <c r="B448" s="12"/>
      <c r="C448" s="19"/>
      <c r="D448" s="15">
        <f>IF(A448="","",IFERROR(INDEX(Ejemplares!$F$5:$F$64,MATCH(A448,Ejemplares!$A$5:$A$64,0)),""))</f>
      </c>
      <c r="E448" s="11"/>
      <c r="F448" s="16">
        <f>IF(A448="","",COUNTIF($A$5:$A448,A448))</f>
      </c>
      <c r="G448" s="15">
        <f>IF(A448="","",A448&amp;"|"&amp;F448)</f>
      </c>
      <c r="H448" s="17">
        <f>IF(OR(F448="",F448&lt;2,C448=""),"",IFERROR(C448-INDEX($C$5:$C$504,MATCH(A448&amp;"|"&amp;(F448-1),$G$5:$G$504,0)),""))</f>
      </c>
      <c r="I448" s="16">
        <f>IF(OR(F448="",F448&lt;2,B448=""),"",IFERROR(B448-INDEX($B$5:$B$504,MATCH(A448&amp;"|"&amp;(F448-1),$G$5:$G$504,0)),""))</f>
      </c>
      <c r="J448" s="18">
        <f>IF(OR(H448="",I448="",I448=0),"",H448/I448)</f>
      </c>
    </row>
    <row r="449" spans="1:10" x14ac:dyDescent="0.25">
      <c r="A449" s="11"/>
      <c r="B449" s="12"/>
      <c r="C449" s="19"/>
      <c r="D449" s="15">
        <f>IF(A449="","",IFERROR(INDEX(Ejemplares!$F$5:$F$64,MATCH(A449,Ejemplares!$A$5:$A$64,0)),""))</f>
      </c>
      <c r="E449" s="11"/>
      <c r="F449" s="16">
        <f>IF(A449="","",COUNTIF($A$5:$A449,A449))</f>
      </c>
      <c r="G449" s="15">
        <f>IF(A449="","",A449&amp;"|"&amp;F449)</f>
      </c>
      <c r="H449" s="17">
        <f>IF(OR(F449="",F449&lt;2,C449=""),"",IFERROR(C449-INDEX($C$5:$C$504,MATCH(A449&amp;"|"&amp;(F449-1),$G$5:$G$504,0)),""))</f>
      </c>
      <c r="I449" s="16">
        <f>IF(OR(F449="",F449&lt;2,B449=""),"",IFERROR(B449-INDEX($B$5:$B$504,MATCH(A449&amp;"|"&amp;(F449-1),$G$5:$G$504,0)),""))</f>
      </c>
      <c r="J449" s="18">
        <f>IF(OR(H449="",I449="",I449=0),"",H449/I449)</f>
      </c>
    </row>
    <row r="450" spans="1:10" x14ac:dyDescent="0.25">
      <c r="A450" s="11"/>
      <c r="B450" s="12"/>
      <c r="C450" s="19"/>
      <c r="D450" s="15">
        <f>IF(A450="","",IFERROR(INDEX(Ejemplares!$F$5:$F$64,MATCH(A450,Ejemplares!$A$5:$A$64,0)),""))</f>
      </c>
      <c r="E450" s="11"/>
      <c r="F450" s="16">
        <f>IF(A450="","",COUNTIF($A$5:$A450,A450))</f>
      </c>
      <c r="G450" s="15">
        <f>IF(A450="","",A450&amp;"|"&amp;F450)</f>
      </c>
      <c r="H450" s="17">
        <f>IF(OR(F450="",F450&lt;2,C450=""),"",IFERROR(C450-INDEX($C$5:$C$504,MATCH(A450&amp;"|"&amp;(F450-1),$G$5:$G$504,0)),""))</f>
      </c>
      <c r="I450" s="16">
        <f>IF(OR(F450="",F450&lt;2,B450=""),"",IFERROR(B450-INDEX($B$5:$B$504,MATCH(A450&amp;"|"&amp;(F450-1),$G$5:$G$504,0)),""))</f>
      </c>
      <c r="J450" s="18">
        <f>IF(OR(H450="",I450="",I450=0),"",H450/I450)</f>
      </c>
    </row>
    <row r="451" spans="1:10" x14ac:dyDescent="0.25">
      <c r="A451" s="11"/>
      <c r="B451" s="12"/>
      <c r="C451" s="19"/>
      <c r="D451" s="15">
        <f>IF(A451="","",IFERROR(INDEX(Ejemplares!$F$5:$F$64,MATCH(A451,Ejemplares!$A$5:$A$64,0)),""))</f>
      </c>
      <c r="E451" s="11"/>
      <c r="F451" s="16">
        <f>IF(A451="","",COUNTIF($A$5:$A451,A451))</f>
      </c>
      <c r="G451" s="15">
        <f>IF(A451="","",A451&amp;"|"&amp;F451)</f>
      </c>
      <c r="H451" s="17">
        <f>IF(OR(F451="",F451&lt;2,C451=""),"",IFERROR(C451-INDEX($C$5:$C$504,MATCH(A451&amp;"|"&amp;(F451-1),$G$5:$G$504,0)),""))</f>
      </c>
      <c r="I451" s="16">
        <f>IF(OR(F451="",F451&lt;2,B451=""),"",IFERROR(B451-INDEX($B$5:$B$504,MATCH(A451&amp;"|"&amp;(F451-1),$G$5:$G$504,0)),""))</f>
      </c>
      <c r="J451" s="18">
        <f>IF(OR(H451="",I451="",I451=0),"",H451/I451)</f>
      </c>
    </row>
    <row r="452" spans="1:10" x14ac:dyDescent="0.25">
      <c r="A452" s="11"/>
      <c r="B452" s="12"/>
      <c r="C452" s="19"/>
      <c r="D452" s="15">
        <f>IF(A452="","",IFERROR(INDEX(Ejemplares!$F$5:$F$64,MATCH(A452,Ejemplares!$A$5:$A$64,0)),""))</f>
      </c>
      <c r="E452" s="11"/>
      <c r="F452" s="16">
        <f>IF(A452="","",COUNTIF($A$5:$A452,A452))</f>
      </c>
      <c r="G452" s="15">
        <f>IF(A452="","",A452&amp;"|"&amp;F452)</f>
      </c>
      <c r="H452" s="17">
        <f>IF(OR(F452="",F452&lt;2,C452=""),"",IFERROR(C452-INDEX($C$5:$C$504,MATCH(A452&amp;"|"&amp;(F452-1),$G$5:$G$504,0)),""))</f>
      </c>
      <c r="I452" s="16">
        <f>IF(OR(F452="",F452&lt;2,B452=""),"",IFERROR(B452-INDEX($B$5:$B$504,MATCH(A452&amp;"|"&amp;(F452-1),$G$5:$G$504,0)),""))</f>
      </c>
      <c r="J452" s="18">
        <f>IF(OR(H452="",I452="",I452=0),"",H452/I452)</f>
      </c>
    </row>
    <row r="453" spans="1:10" x14ac:dyDescent="0.25">
      <c r="A453" s="11"/>
      <c r="B453" s="12"/>
      <c r="C453" s="19"/>
      <c r="D453" s="15">
        <f>IF(A453="","",IFERROR(INDEX(Ejemplares!$F$5:$F$64,MATCH(A453,Ejemplares!$A$5:$A$64,0)),""))</f>
      </c>
      <c r="E453" s="11"/>
      <c r="F453" s="16">
        <f>IF(A453="","",COUNTIF($A$5:$A453,A453))</f>
      </c>
      <c r="G453" s="15">
        <f>IF(A453="","",A453&amp;"|"&amp;F453)</f>
      </c>
      <c r="H453" s="17">
        <f>IF(OR(F453="",F453&lt;2,C453=""),"",IFERROR(C453-INDEX($C$5:$C$504,MATCH(A453&amp;"|"&amp;(F453-1),$G$5:$G$504,0)),""))</f>
      </c>
      <c r="I453" s="16">
        <f>IF(OR(F453="",F453&lt;2,B453=""),"",IFERROR(B453-INDEX($B$5:$B$504,MATCH(A453&amp;"|"&amp;(F453-1),$G$5:$G$504,0)),""))</f>
      </c>
      <c r="J453" s="18">
        <f>IF(OR(H453="",I453="",I453=0),"",H453/I453)</f>
      </c>
    </row>
    <row r="454" spans="1:10" x14ac:dyDescent="0.25">
      <c r="A454" s="11"/>
      <c r="B454" s="12"/>
      <c r="C454" s="19"/>
      <c r="D454" s="15">
        <f>IF(A454="","",IFERROR(INDEX(Ejemplares!$F$5:$F$64,MATCH(A454,Ejemplares!$A$5:$A$64,0)),""))</f>
      </c>
      <c r="E454" s="11"/>
      <c r="F454" s="16">
        <f>IF(A454="","",COUNTIF($A$5:$A454,A454))</f>
      </c>
      <c r="G454" s="15">
        <f>IF(A454="","",A454&amp;"|"&amp;F454)</f>
      </c>
      <c r="H454" s="17">
        <f>IF(OR(F454="",F454&lt;2,C454=""),"",IFERROR(C454-INDEX($C$5:$C$504,MATCH(A454&amp;"|"&amp;(F454-1),$G$5:$G$504,0)),""))</f>
      </c>
      <c r="I454" s="16">
        <f>IF(OR(F454="",F454&lt;2,B454=""),"",IFERROR(B454-INDEX($B$5:$B$504,MATCH(A454&amp;"|"&amp;(F454-1),$G$5:$G$504,0)),""))</f>
      </c>
      <c r="J454" s="18">
        <f>IF(OR(H454="",I454="",I454=0),"",H454/I454)</f>
      </c>
    </row>
    <row r="455" spans="1:10" x14ac:dyDescent="0.25">
      <c r="A455" s="11"/>
      <c r="B455" s="12"/>
      <c r="C455" s="19"/>
      <c r="D455" s="15">
        <f>IF(A455="","",IFERROR(INDEX(Ejemplares!$F$5:$F$64,MATCH(A455,Ejemplares!$A$5:$A$64,0)),""))</f>
      </c>
      <c r="E455" s="11"/>
      <c r="F455" s="16">
        <f>IF(A455="","",COUNTIF($A$5:$A455,A455))</f>
      </c>
      <c r="G455" s="15">
        <f>IF(A455="","",A455&amp;"|"&amp;F455)</f>
      </c>
      <c r="H455" s="17">
        <f>IF(OR(F455="",F455&lt;2,C455=""),"",IFERROR(C455-INDEX($C$5:$C$504,MATCH(A455&amp;"|"&amp;(F455-1),$G$5:$G$504,0)),""))</f>
      </c>
      <c r="I455" s="16">
        <f>IF(OR(F455="",F455&lt;2,B455=""),"",IFERROR(B455-INDEX($B$5:$B$504,MATCH(A455&amp;"|"&amp;(F455-1),$G$5:$G$504,0)),""))</f>
      </c>
      <c r="J455" s="18">
        <f>IF(OR(H455="",I455="",I455=0),"",H455/I455)</f>
      </c>
    </row>
    <row r="456" spans="1:10" x14ac:dyDescent="0.25">
      <c r="A456" s="11"/>
      <c r="B456" s="12"/>
      <c r="C456" s="19"/>
      <c r="D456" s="15">
        <f>IF(A456="","",IFERROR(INDEX(Ejemplares!$F$5:$F$64,MATCH(A456,Ejemplares!$A$5:$A$64,0)),""))</f>
      </c>
      <c r="E456" s="11"/>
      <c r="F456" s="16">
        <f>IF(A456="","",COUNTIF($A$5:$A456,A456))</f>
      </c>
      <c r="G456" s="15">
        <f>IF(A456="","",A456&amp;"|"&amp;F456)</f>
      </c>
      <c r="H456" s="17">
        <f>IF(OR(F456="",F456&lt;2,C456=""),"",IFERROR(C456-INDEX($C$5:$C$504,MATCH(A456&amp;"|"&amp;(F456-1),$G$5:$G$504,0)),""))</f>
      </c>
      <c r="I456" s="16">
        <f>IF(OR(F456="",F456&lt;2,B456=""),"",IFERROR(B456-INDEX($B$5:$B$504,MATCH(A456&amp;"|"&amp;(F456-1),$G$5:$G$504,0)),""))</f>
      </c>
      <c r="J456" s="18">
        <f>IF(OR(H456="",I456="",I456=0),"",H456/I456)</f>
      </c>
    </row>
    <row r="457" spans="1:10" x14ac:dyDescent="0.25">
      <c r="A457" s="11"/>
      <c r="B457" s="12"/>
      <c r="C457" s="19"/>
      <c r="D457" s="15">
        <f>IF(A457="","",IFERROR(INDEX(Ejemplares!$F$5:$F$64,MATCH(A457,Ejemplares!$A$5:$A$64,0)),""))</f>
      </c>
      <c r="E457" s="11"/>
      <c r="F457" s="16">
        <f>IF(A457="","",COUNTIF($A$5:$A457,A457))</f>
      </c>
      <c r="G457" s="15">
        <f>IF(A457="","",A457&amp;"|"&amp;F457)</f>
      </c>
      <c r="H457" s="17">
        <f>IF(OR(F457="",F457&lt;2,C457=""),"",IFERROR(C457-INDEX($C$5:$C$504,MATCH(A457&amp;"|"&amp;(F457-1),$G$5:$G$504,0)),""))</f>
      </c>
      <c r="I457" s="16">
        <f>IF(OR(F457="",F457&lt;2,B457=""),"",IFERROR(B457-INDEX($B$5:$B$504,MATCH(A457&amp;"|"&amp;(F457-1),$G$5:$G$504,0)),""))</f>
      </c>
      <c r="J457" s="18">
        <f>IF(OR(H457="",I457="",I457=0),"",H457/I457)</f>
      </c>
    </row>
    <row r="458" spans="1:10" x14ac:dyDescent="0.25">
      <c r="A458" s="11"/>
      <c r="B458" s="12"/>
      <c r="C458" s="19"/>
      <c r="D458" s="15">
        <f>IF(A458="","",IFERROR(INDEX(Ejemplares!$F$5:$F$64,MATCH(A458,Ejemplares!$A$5:$A$64,0)),""))</f>
      </c>
      <c r="E458" s="11"/>
      <c r="F458" s="16">
        <f>IF(A458="","",COUNTIF($A$5:$A458,A458))</f>
      </c>
      <c r="G458" s="15">
        <f>IF(A458="","",A458&amp;"|"&amp;F458)</f>
      </c>
      <c r="H458" s="17">
        <f>IF(OR(F458="",F458&lt;2,C458=""),"",IFERROR(C458-INDEX($C$5:$C$504,MATCH(A458&amp;"|"&amp;(F458-1),$G$5:$G$504,0)),""))</f>
      </c>
      <c r="I458" s="16">
        <f>IF(OR(F458="",F458&lt;2,B458=""),"",IFERROR(B458-INDEX($B$5:$B$504,MATCH(A458&amp;"|"&amp;(F458-1),$G$5:$G$504,0)),""))</f>
      </c>
      <c r="J458" s="18">
        <f>IF(OR(H458="",I458="",I458=0),"",H458/I458)</f>
      </c>
    </row>
    <row r="459" spans="1:10" x14ac:dyDescent="0.25">
      <c r="A459" s="11"/>
      <c r="B459" s="12"/>
      <c r="C459" s="19"/>
      <c r="D459" s="15">
        <f>IF(A459="","",IFERROR(INDEX(Ejemplares!$F$5:$F$64,MATCH(A459,Ejemplares!$A$5:$A$64,0)),""))</f>
      </c>
      <c r="E459" s="11"/>
      <c r="F459" s="16">
        <f>IF(A459="","",COUNTIF($A$5:$A459,A459))</f>
      </c>
      <c r="G459" s="15">
        <f>IF(A459="","",A459&amp;"|"&amp;F459)</f>
      </c>
      <c r="H459" s="17">
        <f>IF(OR(F459="",F459&lt;2,C459=""),"",IFERROR(C459-INDEX($C$5:$C$504,MATCH(A459&amp;"|"&amp;(F459-1),$G$5:$G$504,0)),""))</f>
      </c>
      <c r="I459" s="16">
        <f>IF(OR(F459="",F459&lt;2,B459=""),"",IFERROR(B459-INDEX($B$5:$B$504,MATCH(A459&amp;"|"&amp;(F459-1),$G$5:$G$504,0)),""))</f>
      </c>
      <c r="J459" s="18">
        <f>IF(OR(H459="",I459="",I459=0),"",H459/I459)</f>
      </c>
    </row>
    <row r="460" spans="1:10" x14ac:dyDescent="0.25">
      <c r="A460" s="11"/>
      <c r="B460" s="12"/>
      <c r="C460" s="19"/>
      <c r="D460" s="15">
        <f>IF(A460="","",IFERROR(INDEX(Ejemplares!$F$5:$F$64,MATCH(A460,Ejemplares!$A$5:$A$64,0)),""))</f>
      </c>
      <c r="E460" s="11"/>
      <c r="F460" s="16">
        <f>IF(A460="","",COUNTIF($A$5:$A460,A460))</f>
      </c>
      <c r="G460" s="15">
        <f>IF(A460="","",A460&amp;"|"&amp;F460)</f>
      </c>
      <c r="H460" s="17">
        <f>IF(OR(F460="",F460&lt;2,C460=""),"",IFERROR(C460-INDEX($C$5:$C$504,MATCH(A460&amp;"|"&amp;(F460-1),$G$5:$G$504,0)),""))</f>
      </c>
      <c r="I460" s="16">
        <f>IF(OR(F460="",F460&lt;2,B460=""),"",IFERROR(B460-INDEX($B$5:$B$504,MATCH(A460&amp;"|"&amp;(F460-1),$G$5:$G$504,0)),""))</f>
      </c>
      <c r="J460" s="18">
        <f>IF(OR(H460="",I460="",I460=0),"",H460/I460)</f>
      </c>
    </row>
    <row r="461" spans="1:10" x14ac:dyDescent="0.25">
      <c r="A461" s="11"/>
      <c r="B461" s="12"/>
      <c r="C461" s="19"/>
      <c r="D461" s="15">
        <f>IF(A461="","",IFERROR(INDEX(Ejemplares!$F$5:$F$64,MATCH(A461,Ejemplares!$A$5:$A$64,0)),""))</f>
      </c>
      <c r="E461" s="11"/>
      <c r="F461" s="16">
        <f>IF(A461="","",COUNTIF($A$5:$A461,A461))</f>
      </c>
      <c r="G461" s="15">
        <f>IF(A461="","",A461&amp;"|"&amp;F461)</f>
      </c>
      <c r="H461" s="17">
        <f>IF(OR(F461="",F461&lt;2,C461=""),"",IFERROR(C461-INDEX($C$5:$C$504,MATCH(A461&amp;"|"&amp;(F461-1),$G$5:$G$504,0)),""))</f>
      </c>
      <c r="I461" s="16">
        <f>IF(OR(F461="",F461&lt;2,B461=""),"",IFERROR(B461-INDEX($B$5:$B$504,MATCH(A461&amp;"|"&amp;(F461-1),$G$5:$G$504,0)),""))</f>
      </c>
      <c r="J461" s="18">
        <f>IF(OR(H461="",I461="",I461=0),"",H461/I461)</f>
      </c>
    </row>
    <row r="462" spans="1:10" x14ac:dyDescent="0.25">
      <c r="A462" s="11"/>
      <c r="B462" s="12"/>
      <c r="C462" s="19"/>
      <c r="D462" s="15">
        <f>IF(A462="","",IFERROR(INDEX(Ejemplares!$F$5:$F$64,MATCH(A462,Ejemplares!$A$5:$A$64,0)),""))</f>
      </c>
      <c r="E462" s="11"/>
      <c r="F462" s="16">
        <f>IF(A462="","",COUNTIF($A$5:$A462,A462))</f>
      </c>
      <c r="G462" s="15">
        <f>IF(A462="","",A462&amp;"|"&amp;F462)</f>
      </c>
      <c r="H462" s="17">
        <f>IF(OR(F462="",F462&lt;2,C462=""),"",IFERROR(C462-INDEX($C$5:$C$504,MATCH(A462&amp;"|"&amp;(F462-1),$G$5:$G$504,0)),""))</f>
      </c>
      <c r="I462" s="16">
        <f>IF(OR(F462="",F462&lt;2,B462=""),"",IFERROR(B462-INDEX($B$5:$B$504,MATCH(A462&amp;"|"&amp;(F462-1),$G$5:$G$504,0)),""))</f>
      </c>
      <c r="J462" s="18">
        <f>IF(OR(H462="",I462="",I462=0),"",H462/I462)</f>
      </c>
    </row>
    <row r="463" spans="1:10" x14ac:dyDescent="0.25">
      <c r="A463" s="11"/>
      <c r="B463" s="12"/>
      <c r="C463" s="19"/>
      <c r="D463" s="15">
        <f>IF(A463="","",IFERROR(INDEX(Ejemplares!$F$5:$F$64,MATCH(A463,Ejemplares!$A$5:$A$64,0)),""))</f>
      </c>
      <c r="E463" s="11"/>
      <c r="F463" s="16">
        <f>IF(A463="","",COUNTIF($A$5:$A463,A463))</f>
      </c>
      <c r="G463" s="15">
        <f>IF(A463="","",A463&amp;"|"&amp;F463)</f>
      </c>
      <c r="H463" s="17">
        <f>IF(OR(F463="",F463&lt;2,C463=""),"",IFERROR(C463-INDEX($C$5:$C$504,MATCH(A463&amp;"|"&amp;(F463-1),$G$5:$G$504,0)),""))</f>
      </c>
      <c r="I463" s="16">
        <f>IF(OR(F463="",F463&lt;2,B463=""),"",IFERROR(B463-INDEX($B$5:$B$504,MATCH(A463&amp;"|"&amp;(F463-1),$G$5:$G$504,0)),""))</f>
      </c>
      <c r="J463" s="18">
        <f>IF(OR(H463="",I463="",I463=0),"",H463/I463)</f>
      </c>
    </row>
    <row r="464" spans="1:10" x14ac:dyDescent="0.25">
      <c r="A464" s="11"/>
      <c r="B464" s="12"/>
      <c r="C464" s="19"/>
      <c r="D464" s="15">
        <f>IF(A464="","",IFERROR(INDEX(Ejemplares!$F$5:$F$64,MATCH(A464,Ejemplares!$A$5:$A$64,0)),""))</f>
      </c>
      <c r="E464" s="11"/>
      <c r="F464" s="16">
        <f>IF(A464="","",COUNTIF($A$5:$A464,A464))</f>
      </c>
      <c r="G464" s="15">
        <f>IF(A464="","",A464&amp;"|"&amp;F464)</f>
      </c>
      <c r="H464" s="17">
        <f>IF(OR(F464="",F464&lt;2,C464=""),"",IFERROR(C464-INDEX($C$5:$C$504,MATCH(A464&amp;"|"&amp;(F464-1),$G$5:$G$504,0)),""))</f>
      </c>
      <c r="I464" s="16">
        <f>IF(OR(F464="",F464&lt;2,B464=""),"",IFERROR(B464-INDEX($B$5:$B$504,MATCH(A464&amp;"|"&amp;(F464-1),$G$5:$G$504,0)),""))</f>
      </c>
      <c r="J464" s="18">
        <f>IF(OR(H464="",I464="",I464=0),"",H464/I464)</f>
      </c>
    </row>
    <row r="465" spans="1:10" x14ac:dyDescent="0.25">
      <c r="A465" s="11"/>
      <c r="B465" s="12"/>
      <c r="C465" s="19"/>
      <c r="D465" s="15">
        <f>IF(A465="","",IFERROR(INDEX(Ejemplares!$F$5:$F$64,MATCH(A465,Ejemplares!$A$5:$A$64,0)),""))</f>
      </c>
      <c r="E465" s="11"/>
      <c r="F465" s="16">
        <f>IF(A465="","",COUNTIF($A$5:$A465,A465))</f>
      </c>
      <c r="G465" s="15">
        <f>IF(A465="","",A465&amp;"|"&amp;F465)</f>
      </c>
      <c r="H465" s="17">
        <f>IF(OR(F465="",F465&lt;2,C465=""),"",IFERROR(C465-INDEX($C$5:$C$504,MATCH(A465&amp;"|"&amp;(F465-1),$G$5:$G$504,0)),""))</f>
      </c>
      <c r="I465" s="16">
        <f>IF(OR(F465="",F465&lt;2,B465=""),"",IFERROR(B465-INDEX($B$5:$B$504,MATCH(A465&amp;"|"&amp;(F465-1),$G$5:$G$504,0)),""))</f>
      </c>
      <c r="J465" s="18">
        <f>IF(OR(H465="",I465="",I465=0),"",H465/I465)</f>
      </c>
    </row>
    <row r="466" spans="1:10" x14ac:dyDescent="0.25">
      <c r="A466" s="11"/>
      <c r="B466" s="12"/>
      <c r="C466" s="19"/>
      <c r="D466" s="15">
        <f>IF(A466="","",IFERROR(INDEX(Ejemplares!$F$5:$F$64,MATCH(A466,Ejemplares!$A$5:$A$64,0)),""))</f>
      </c>
      <c r="E466" s="11"/>
      <c r="F466" s="16">
        <f>IF(A466="","",COUNTIF($A$5:$A466,A466))</f>
      </c>
      <c r="G466" s="15">
        <f>IF(A466="","",A466&amp;"|"&amp;F466)</f>
      </c>
      <c r="H466" s="17">
        <f>IF(OR(F466="",F466&lt;2,C466=""),"",IFERROR(C466-INDEX($C$5:$C$504,MATCH(A466&amp;"|"&amp;(F466-1),$G$5:$G$504,0)),""))</f>
      </c>
      <c r="I466" s="16">
        <f>IF(OR(F466="",F466&lt;2,B466=""),"",IFERROR(B466-INDEX($B$5:$B$504,MATCH(A466&amp;"|"&amp;(F466-1),$G$5:$G$504,0)),""))</f>
      </c>
      <c r="J466" s="18">
        <f>IF(OR(H466="",I466="",I466=0),"",H466/I466)</f>
      </c>
    </row>
    <row r="467" spans="1:10" x14ac:dyDescent="0.25">
      <c r="A467" s="11"/>
      <c r="B467" s="12"/>
      <c r="C467" s="19"/>
      <c r="D467" s="15">
        <f>IF(A467="","",IFERROR(INDEX(Ejemplares!$F$5:$F$64,MATCH(A467,Ejemplares!$A$5:$A$64,0)),""))</f>
      </c>
      <c r="E467" s="11"/>
      <c r="F467" s="16">
        <f>IF(A467="","",COUNTIF($A$5:$A467,A467))</f>
      </c>
      <c r="G467" s="15">
        <f>IF(A467="","",A467&amp;"|"&amp;F467)</f>
      </c>
      <c r="H467" s="17">
        <f>IF(OR(F467="",F467&lt;2,C467=""),"",IFERROR(C467-INDEX($C$5:$C$504,MATCH(A467&amp;"|"&amp;(F467-1),$G$5:$G$504,0)),""))</f>
      </c>
      <c r="I467" s="16">
        <f>IF(OR(F467="",F467&lt;2,B467=""),"",IFERROR(B467-INDEX($B$5:$B$504,MATCH(A467&amp;"|"&amp;(F467-1),$G$5:$G$504,0)),""))</f>
      </c>
      <c r="J467" s="18">
        <f>IF(OR(H467="",I467="",I467=0),"",H467/I467)</f>
      </c>
    </row>
    <row r="468" spans="1:10" x14ac:dyDescent="0.25">
      <c r="A468" s="11"/>
      <c r="B468" s="12"/>
      <c r="C468" s="19"/>
      <c r="D468" s="15">
        <f>IF(A468="","",IFERROR(INDEX(Ejemplares!$F$5:$F$64,MATCH(A468,Ejemplares!$A$5:$A$64,0)),""))</f>
      </c>
      <c r="E468" s="11"/>
      <c r="F468" s="16">
        <f>IF(A468="","",COUNTIF($A$5:$A468,A468))</f>
      </c>
      <c r="G468" s="15">
        <f>IF(A468="","",A468&amp;"|"&amp;F468)</f>
      </c>
      <c r="H468" s="17">
        <f>IF(OR(F468="",F468&lt;2,C468=""),"",IFERROR(C468-INDEX($C$5:$C$504,MATCH(A468&amp;"|"&amp;(F468-1),$G$5:$G$504,0)),""))</f>
      </c>
      <c r="I468" s="16">
        <f>IF(OR(F468="",F468&lt;2,B468=""),"",IFERROR(B468-INDEX($B$5:$B$504,MATCH(A468&amp;"|"&amp;(F468-1),$G$5:$G$504,0)),""))</f>
      </c>
      <c r="J468" s="18">
        <f>IF(OR(H468="",I468="",I468=0),"",H468/I468)</f>
      </c>
    </row>
    <row r="469" spans="1:10" x14ac:dyDescent="0.25">
      <c r="A469" s="11"/>
      <c r="B469" s="12"/>
      <c r="C469" s="19"/>
      <c r="D469" s="15">
        <f>IF(A469="","",IFERROR(INDEX(Ejemplares!$F$5:$F$64,MATCH(A469,Ejemplares!$A$5:$A$64,0)),""))</f>
      </c>
      <c r="E469" s="11"/>
      <c r="F469" s="16">
        <f>IF(A469="","",COUNTIF($A$5:$A469,A469))</f>
      </c>
      <c r="G469" s="15">
        <f>IF(A469="","",A469&amp;"|"&amp;F469)</f>
      </c>
      <c r="H469" s="17">
        <f>IF(OR(F469="",F469&lt;2,C469=""),"",IFERROR(C469-INDEX($C$5:$C$504,MATCH(A469&amp;"|"&amp;(F469-1),$G$5:$G$504,0)),""))</f>
      </c>
      <c r="I469" s="16">
        <f>IF(OR(F469="",F469&lt;2,B469=""),"",IFERROR(B469-INDEX($B$5:$B$504,MATCH(A469&amp;"|"&amp;(F469-1),$G$5:$G$504,0)),""))</f>
      </c>
      <c r="J469" s="18">
        <f>IF(OR(H469="",I469="",I469=0),"",H469/I469)</f>
      </c>
    </row>
    <row r="470" spans="1:10" x14ac:dyDescent="0.25">
      <c r="A470" s="11"/>
      <c r="B470" s="12"/>
      <c r="C470" s="19"/>
      <c r="D470" s="15">
        <f>IF(A470="","",IFERROR(INDEX(Ejemplares!$F$5:$F$64,MATCH(A470,Ejemplares!$A$5:$A$64,0)),""))</f>
      </c>
      <c r="E470" s="11"/>
      <c r="F470" s="16">
        <f>IF(A470="","",COUNTIF($A$5:$A470,A470))</f>
      </c>
      <c r="G470" s="15">
        <f>IF(A470="","",A470&amp;"|"&amp;F470)</f>
      </c>
      <c r="H470" s="17">
        <f>IF(OR(F470="",F470&lt;2,C470=""),"",IFERROR(C470-INDEX($C$5:$C$504,MATCH(A470&amp;"|"&amp;(F470-1),$G$5:$G$504,0)),""))</f>
      </c>
      <c r="I470" s="16">
        <f>IF(OR(F470="",F470&lt;2,B470=""),"",IFERROR(B470-INDEX($B$5:$B$504,MATCH(A470&amp;"|"&amp;(F470-1),$G$5:$G$504,0)),""))</f>
      </c>
      <c r="J470" s="18">
        <f>IF(OR(H470="",I470="",I470=0),"",H470/I470)</f>
      </c>
    </row>
    <row r="471" spans="1:10" x14ac:dyDescent="0.25">
      <c r="A471" s="11"/>
      <c r="B471" s="12"/>
      <c r="C471" s="19"/>
      <c r="D471" s="15">
        <f>IF(A471="","",IFERROR(INDEX(Ejemplares!$F$5:$F$64,MATCH(A471,Ejemplares!$A$5:$A$64,0)),""))</f>
      </c>
      <c r="E471" s="11"/>
      <c r="F471" s="16">
        <f>IF(A471="","",COUNTIF($A$5:$A471,A471))</f>
      </c>
      <c r="G471" s="15">
        <f>IF(A471="","",A471&amp;"|"&amp;F471)</f>
      </c>
      <c r="H471" s="17">
        <f>IF(OR(F471="",F471&lt;2,C471=""),"",IFERROR(C471-INDEX($C$5:$C$504,MATCH(A471&amp;"|"&amp;(F471-1),$G$5:$G$504,0)),""))</f>
      </c>
      <c r="I471" s="16">
        <f>IF(OR(F471="",F471&lt;2,B471=""),"",IFERROR(B471-INDEX($B$5:$B$504,MATCH(A471&amp;"|"&amp;(F471-1),$G$5:$G$504,0)),""))</f>
      </c>
      <c r="J471" s="18">
        <f>IF(OR(H471="",I471="",I471=0),"",H471/I471)</f>
      </c>
    </row>
    <row r="472" spans="1:10" x14ac:dyDescent="0.25">
      <c r="A472" s="11"/>
      <c r="B472" s="12"/>
      <c r="C472" s="19"/>
      <c r="D472" s="15">
        <f>IF(A472="","",IFERROR(INDEX(Ejemplares!$F$5:$F$64,MATCH(A472,Ejemplares!$A$5:$A$64,0)),""))</f>
      </c>
      <c r="E472" s="11"/>
      <c r="F472" s="16">
        <f>IF(A472="","",COUNTIF($A$5:$A472,A472))</f>
      </c>
      <c r="G472" s="15">
        <f>IF(A472="","",A472&amp;"|"&amp;F472)</f>
      </c>
      <c r="H472" s="17">
        <f>IF(OR(F472="",F472&lt;2,C472=""),"",IFERROR(C472-INDEX($C$5:$C$504,MATCH(A472&amp;"|"&amp;(F472-1),$G$5:$G$504,0)),""))</f>
      </c>
      <c r="I472" s="16">
        <f>IF(OR(F472="",F472&lt;2,B472=""),"",IFERROR(B472-INDEX($B$5:$B$504,MATCH(A472&amp;"|"&amp;(F472-1),$G$5:$G$504,0)),""))</f>
      </c>
      <c r="J472" s="18">
        <f>IF(OR(H472="",I472="",I472=0),"",H472/I472)</f>
      </c>
    </row>
    <row r="473" spans="1:10" x14ac:dyDescent="0.25">
      <c r="A473" s="11"/>
      <c r="B473" s="12"/>
      <c r="C473" s="19"/>
      <c r="D473" s="15">
        <f>IF(A473="","",IFERROR(INDEX(Ejemplares!$F$5:$F$64,MATCH(A473,Ejemplares!$A$5:$A$64,0)),""))</f>
      </c>
      <c r="E473" s="11"/>
      <c r="F473" s="16">
        <f>IF(A473="","",COUNTIF($A$5:$A473,A473))</f>
      </c>
      <c r="G473" s="15">
        <f>IF(A473="","",A473&amp;"|"&amp;F473)</f>
      </c>
      <c r="H473" s="17">
        <f>IF(OR(F473="",F473&lt;2,C473=""),"",IFERROR(C473-INDEX($C$5:$C$504,MATCH(A473&amp;"|"&amp;(F473-1),$G$5:$G$504,0)),""))</f>
      </c>
      <c r="I473" s="16">
        <f>IF(OR(F473="",F473&lt;2,B473=""),"",IFERROR(B473-INDEX($B$5:$B$504,MATCH(A473&amp;"|"&amp;(F473-1),$G$5:$G$504,0)),""))</f>
      </c>
      <c r="J473" s="18">
        <f>IF(OR(H473="",I473="",I473=0),"",H473/I473)</f>
      </c>
    </row>
    <row r="474" spans="1:10" x14ac:dyDescent="0.25">
      <c r="A474" s="11"/>
      <c r="B474" s="12"/>
      <c r="C474" s="19"/>
      <c r="D474" s="15">
        <f>IF(A474="","",IFERROR(INDEX(Ejemplares!$F$5:$F$64,MATCH(A474,Ejemplares!$A$5:$A$64,0)),""))</f>
      </c>
      <c r="E474" s="11"/>
      <c r="F474" s="16">
        <f>IF(A474="","",COUNTIF($A$5:$A474,A474))</f>
      </c>
      <c r="G474" s="15">
        <f>IF(A474="","",A474&amp;"|"&amp;F474)</f>
      </c>
      <c r="H474" s="17">
        <f>IF(OR(F474="",F474&lt;2,C474=""),"",IFERROR(C474-INDEX($C$5:$C$504,MATCH(A474&amp;"|"&amp;(F474-1),$G$5:$G$504,0)),""))</f>
      </c>
      <c r="I474" s="16">
        <f>IF(OR(F474="",F474&lt;2,B474=""),"",IFERROR(B474-INDEX($B$5:$B$504,MATCH(A474&amp;"|"&amp;(F474-1),$G$5:$G$504,0)),""))</f>
      </c>
      <c r="J474" s="18">
        <f>IF(OR(H474="",I474="",I474=0),"",H474/I474)</f>
      </c>
    </row>
    <row r="475" spans="1:10" x14ac:dyDescent="0.25">
      <c r="A475" s="11"/>
      <c r="B475" s="12"/>
      <c r="C475" s="19"/>
      <c r="D475" s="15">
        <f>IF(A475="","",IFERROR(INDEX(Ejemplares!$F$5:$F$64,MATCH(A475,Ejemplares!$A$5:$A$64,0)),""))</f>
      </c>
      <c r="E475" s="11"/>
      <c r="F475" s="16">
        <f>IF(A475="","",COUNTIF($A$5:$A475,A475))</f>
      </c>
      <c r="G475" s="15">
        <f>IF(A475="","",A475&amp;"|"&amp;F475)</f>
      </c>
      <c r="H475" s="17">
        <f>IF(OR(F475="",F475&lt;2,C475=""),"",IFERROR(C475-INDEX($C$5:$C$504,MATCH(A475&amp;"|"&amp;(F475-1),$G$5:$G$504,0)),""))</f>
      </c>
      <c r="I475" s="16">
        <f>IF(OR(F475="",F475&lt;2,B475=""),"",IFERROR(B475-INDEX($B$5:$B$504,MATCH(A475&amp;"|"&amp;(F475-1),$G$5:$G$504,0)),""))</f>
      </c>
      <c r="J475" s="18">
        <f>IF(OR(H475="",I475="",I475=0),"",H475/I475)</f>
      </c>
    </row>
    <row r="476" spans="1:10" x14ac:dyDescent="0.25">
      <c r="A476" s="11"/>
      <c r="B476" s="12"/>
      <c r="C476" s="19"/>
      <c r="D476" s="15">
        <f>IF(A476="","",IFERROR(INDEX(Ejemplares!$F$5:$F$64,MATCH(A476,Ejemplares!$A$5:$A$64,0)),""))</f>
      </c>
      <c r="E476" s="11"/>
      <c r="F476" s="16">
        <f>IF(A476="","",COUNTIF($A$5:$A476,A476))</f>
      </c>
      <c r="G476" s="15">
        <f>IF(A476="","",A476&amp;"|"&amp;F476)</f>
      </c>
      <c r="H476" s="17">
        <f>IF(OR(F476="",F476&lt;2,C476=""),"",IFERROR(C476-INDEX($C$5:$C$504,MATCH(A476&amp;"|"&amp;(F476-1),$G$5:$G$504,0)),""))</f>
      </c>
      <c r="I476" s="16">
        <f>IF(OR(F476="",F476&lt;2,B476=""),"",IFERROR(B476-INDEX($B$5:$B$504,MATCH(A476&amp;"|"&amp;(F476-1),$G$5:$G$504,0)),""))</f>
      </c>
      <c r="J476" s="18">
        <f>IF(OR(H476="",I476="",I476=0),"",H476/I476)</f>
      </c>
    </row>
    <row r="477" spans="1:10" x14ac:dyDescent="0.25">
      <c r="A477" s="11"/>
      <c r="B477" s="12"/>
      <c r="C477" s="19"/>
      <c r="D477" s="15">
        <f>IF(A477="","",IFERROR(INDEX(Ejemplares!$F$5:$F$64,MATCH(A477,Ejemplares!$A$5:$A$64,0)),""))</f>
      </c>
      <c r="E477" s="11"/>
      <c r="F477" s="16">
        <f>IF(A477="","",COUNTIF($A$5:$A477,A477))</f>
      </c>
      <c r="G477" s="15">
        <f>IF(A477="","",A477&amp;"|"&amp;F477)</f>
      </c>
      <c r="H477" s="17">
        <f>IF(OR(F477="",F477&lt;2,C477=""),"",IFERROR(C477-INDEX($C$5:$C$504,MATCH(A477&amp;"|"&amp;(F477-1),$G$5:$G$504,0)),""))</f>
      </c>
      <c r="I477" s="16">
        <f>IF(OR(F477="",F477&lt;2,B477=""),"",IFERROR(B477-INDEX($B$5:$B$504,MATCH(A477&amp;"|"&amp;(F477-1),$G$5:$G$504,0)),""))</f>
      </c>
      <c r="J477" s="18">
        <f>IF(OR(H477="",I477="",I477=0),"",H477/I477)</f>
      </c>
    </row>
    <row r="478" spans="1:10" x14ac:dyDescent="0.25">
      <c r="A478" s="11"/>
      <c r="B478" s="12"/>
      <c r="C478" s="19"/>
      <c r="D478" s="15">
        <f>IF(A478="","",IFERROR(INDEX(Ejemplares!$F$5:$F$64,MATCH(A478,Ejemplares!$A$5:$A$64,0)),""))</f>
      </c>
      <c r="E478" s="11"/>
      <c r="F478" s="16">
        <f>IF(A478="","",COUNTIF($A$5:$A478,A478))</f>
      </c>
      <c r="G478" s="15">
        <f>IF(A478="","",A478&amp;"|"&amp;F478)</f>
      </c>
      <c r="H478" s="17">
        <f>IF(OR(F478="",F478&lt;2,C478=""),"",IFERROR(C478-INDEX($C$5:$C$504,MATCH(A478&amp;"|"&amp;(F478-1),$G$5:$G$504,0)),""))</f>
      </c>
      <c r="I478" s="16">
        <f>IF(OR(F478="",F478&lt;2,B478=""),"",IFERROR(B478-INDEX($B$5:$B$504,MATCH(A478&amp;"|"&amp;(F478-1),$G$5:$G$504,0)),""))</f>
      </c>
      <c r="J478" s="18">
        <f>IF(OR(H478="",I478="",I478=0),"",H478/I478)</f>
      </c>
    </row>
    <row r="479" spans="1:10" x14ac:dyDescent="0.25">
      <c r="A479" s="11"/>
      <c r="B479" s="12"/>
      <c r="C479" s="19"/>
      <c r="D479" s="15">
        <f>IF(A479="","",IFERROR(INDEX(Ejemplares!$F$5:$F$64,MATCH(A479,Ejemplares!$A$5:$A$64,0)),""))</f>
      </c>
      <c r="E479" s="11"/>
      <c r="F479" s="16">
        <f>IF(A479="","",COUNTIF($A$5:$A479,A479))</f>
      </c>
      <c r="G479" s="15">
        <f>IF(A479="","",A479&amp;"|"&amp;F479)</f>
      </c>
      <c r="H479" s="17">
        <f>IF(OR(F479="",F479&lt;2,C479=""),"",IFERROR(C479-INDEX($C$5:$C$504,MATCH(A479&amp;"|"&amp;(F479-1),$G$5:$G$504,0)),""))</f>
      </c>
      <c r="I479" s="16">
        <f>IF(OR(F479="",F479&lt;2,B479=""),"",IFERROR(B479-INDEX($B$5:$B$504,MATCH(A479&amp;"|"&amp;(F479-1),$G$5:$G$504,0)),""))</f>
      </c>
      <c r="J479" s="18">
        <f>IF(OR(H479="",I479="",I479=0),"",H479/I479)</f>
      </c>
    </row>
    <row r="480" spans="1:10" x14ac:dyDescent="0.25">
      <c r="A480" s="11"/>
      <c r="B480" s="12"/>
      <c r="C480" s="19"/>
      <c r="D480" s="15">
        <f>IF(A480="","",IFERROR(INDEX(Ejemplares!$F$5:$F$64,MATCH(A480,Ejemplares!$A$5:$A$64,0)),""))</f>
      </c>
      <c r="E480" s="11"/>
      <c r="F480" s="16">
        <f>IF(A480="","",COUNTIF($A$5:$A480,A480))</f>
      </c>
      <c r="G480" s="15">
        <f>IF(A480="","",A480&amp;"|"&amp;F480)</f>
      </c>
      <c r="H480" s="17">
        <f>IF(OR(F480="",F480&lt;2,C480=""),"",IFERROR(C480-INDEX($C$5:$C$504,MATCH(A480&amp;"|"&amp;(F480-1),$G$5:$G$504,0)),""))</f>
      </c>
      <c r="I480" s="16">
        <f>IF(OR(F480="",F480&lt;2,B480=""),"",IFERROR(B480-INDEX($B$5:$B$504,MATCH(A480&amp;"|"&amp;(F480-1),$G$5:$G$504,0)),""))</f>
      </c>
      <c r="J480" s="18">
        <f>IF(OR(H480="",I480="",I480=0),"",H480/I480)</f>
      </c>
    </row>
    <row r="481" spans="1:10" x14ac:dyDescent="0.25">
      <c r="A481" s="11"/>
      <c r="B481" s="12"/>
      <c r="C481" s="19"/>
      <c r="D481" s="15">
        <f>IF(A481="","",IFERROR(INDEX(Ejemplares!$F$5:$F$64,MATCH(A481,Ejemplares!$A$5:$A$64,0)),""))</f>
      </c>
      <c r="E481" s="11"/>
      <c r="F481" s="16">
        <f>IF(A481="","",COUNTIF($A$5:$A481,A481))</f>
      </c>
      <c r="G481" s="15">
        <f>IF(A481="","",A481&amp;"|"&amp;F481)</f>
      </c>
      <c r="H481" s="17">
        <f>IF(OR(F481="",F481&lt;2,C481=""),"",IFERROR(C481-INDEX($C$5:$C$504,MATCH(A481&amp;"|"&amp;(F481-1),$G$5:$G$504,0)),""))</f>
      </c>
      <c r="I481" s="16">
        <f>IF(OR(F481="",F481&lt;2,B481=""),"",IFERROR(B481-INDEX($B$5:$B$504,MATCH(A481&amp;"|"&amp;(F481-1),$G$5:$G$504,0)),""))</f>
      </c>
      <c r="J481" s="18">
        <f>IF(OR(H481="",I481="",I481=0),"",H481/I481)</f>
      </c>
    </row>
    <row r="482" spans="1:10" x14ac:dyDescent="0.25">
      <c r="A482" s="11"/>
      <c r="B482" s="12"/>
      <c r="C482" s="19"/>
      <c r="D482" s="15">
        <f>IF(A482="","",IFERROR(INDEX(Ejemplares!$F$5:$F$64,MATCH(A482,Ejemplares!$A$5:$A$64,0)),""))</f>
      </c>
      <c r="E482" s="11"/>
      <c r="F482" s="16">
        <f>IF(A482="","",COUNTIF($A$5:$A482,A482))</f>
      </c>
      <c r="G482" s="15">
        <f>IF(A482="","",A482&amp;"|"&amp;F482)</f>
      </c>
      <c r="H482" s="17">
        <f>IF(OR(F482="",F482&lt;2,C482=""),"",IFERROR(C482-INDEX($C$5:$C$504,MATCH(A482&amp;"|"&amp;(F482-1),$G$5:$G$504,0)),""))</f>
      </c>
      <c r="I482" s="16">
        <f>IF(OR(F482="",F482&lt;2,B482=""),"",IFERROR(B482-INDEX($B$5:$B$504,MATCH(A482&amp;"|"&amp;(F482-1),$G$5:$G$504,0)),""))</f>
      </c>
      <c r="J482" s="18">
        <f>IF(OR(H482="",I482="",I482=0),"",H482/I482)</f>
      </c>
    </row>
    <row r="483" spans="1:10" x14ac:dyDescent="0.25">
      <c r="A483" s="11"/>
      <c r="B483" s="12"/>
      <c r="C483" s="19"/>
      <c r="D483" s="15">
        <f>IF(A483="","",IFERROR(INDEX(Ejemplares!$F$5:$F$64,MATCH(A483,Ejemplares!$A$5:$A$64,0)),""))</f>
      </c>
      <c r="E483" s="11"/>
      <c r="F483" s="16">
        <f>IF(A483="","",COUNTIF($A$5:$A483,A483))</f>
      </c>
      <c r="G483" s="15">
        <f>IF(A483="","",A483&amp;"|"&amp;F483)</f>
      </c>
      <c r="H483" s="17">
        <f>IF(OR(F483="",F483&lt;2,C483=""),"",IFERROR(C483-INDEX($C$5:$C$504,MATCH(A483&amp;"|"&amp;(F483-1),$G$5:$G$504,0)),""))</f>
      </c>
      <c r="I483" s="16">
        <f>IF(OR(F483="",F483&lt;2,B483=""),"",IFERROR(B483-INDEX($B$5:$B$504,MATCH(A483&amp;"|"&amp;(F483-1),$G$5:$G$504,0)),""))</f>
      </c>
      <c r="J483" s="18">
        <f>IF(OR(H483="",I483="",I483=0),"",H483/I483)</f>
      </c>
    </row>
    <row r="484" spans="1:10" x14ac:dyDescent="0.25">
      <c r="A484" s="11"/>
      <c r="B484" s="12"/>
      <c r="C484" s="19"/>
      <c r="D484" s="15">
        <f>IF(A484="","",IFERROR(INDEX(Ejemplares!$F$5:$F$64,MATCH(A484,Ejemplares!$A$5:$A$64,0)),""))</f>
      </c>
      <c r="E484" s="11"/>
      <c r="F484" s="16">
        <f>IF(A484="","",COUNTIF($A$5:$A484,A484))</f>
      </c>
      <c r="G484" s="15">
        <f>IF(A484="","",A484&amp;"|"&amp;F484)</f>
      </c>
      <c r="H484" s="17">
        <f>IF(OR(F484="",F484&lt;2,C484=""),"",IFERROR(C484-INDEX($C$5:$C$504,MATCH(A484&amp;"|"&amp;(F484-1),$G$5:$G$504,0)),""))</f>
      </c>
      <c r="I484" s="16">
        <f>IF(OR(F484="",F484&lt;2,B484=""),"",IFERROR(B484-INDEX($B$5:$B$504,MATCH(A484&amp;"|"&amp;(F484-1),$G$5:$G$504,0)),""))</f>
      </c>
      <c r="J484" s="18">
        <f>IF(OR(H484="",I484="",I484=0),"",H484/I484)</f>
      </c>
    </row>
    <row r="485" spans="1:10" x14ac:dyDescent="0.25">
      <c r="A485" s="11"/>
      <c r="B485" s="12"/>
      <c r="C485" s="19"/>
      <c r="D485" s="15">
        <f>IF(A485="","",IFERROR(INDEX(Ejemplares!$F$5:$F$64,MATCH(A485,Ejemplares!$A$5:$A$64,0)),""))</f>
      </c>
      <c r="E485" s="11"/>
      <c r="F485" s="16">
        <f>IF(A485="","",COUNTIF($A$5:$A485,A485))</f>
      </c>
      <c r="G485" s="15">
        <f>IF(A485="","",A485&amp;"|"&amp;F485)</f>
      </c>
      <c r="H485" s="17">
        <f>IF(OR(F485="",F485&lt;2,C485=""),"",IFERROR(C485-INDEX($C$5:$C$504,MATCH(A485&amp;"|"&amp;(F485-1),$G$5:$G$504,0)),""))</f>
      </c>
      <c r="I485" s="16">
        <f>IF(OR(F485="",F485&lt;2,B485=""),"",IFERROR(B485-INDEX($B$5:$B$504,MATCH(A485&amp;"|"&amp;(F485-1),$G$5:$G$504,0)),""))</f>
      </c>
      <c r="J485" s="18">
        <f>IF(OR(H485="",I485="",I485=0),"",H485/I485)</f>
      </c>
    </row>
    <row r="486" spans="1:10" x14ac:dyDescent="0.25">
      <c r="A486" s="11"/>
      <c r="B486" s="12"/>
      <c r="C486" s="19"/>
      <c r="D486" s="15">
        <f>IF(A486="","",IFERROR(INDEX(Ejemplares!$F$5:$F$64,MATCH(A486,Ejemplares!$A$5:$A$64,0)),""))</f>
      </c>
      <c r="E486" s="11"/>
      <c r="F486" s="16">
        <f>IF(A486="","",COUNTIF($A$5:$A486,A486))</f>
      </c>
      <c r="G486" s="15">
        <f>IF(A486="","",A486&amp;"|"&amp;F486)</f>
      </c>
      <c r="H486" s="17">
        <f>IF(OR(F486="",F486&lt;2,C486=""),"",IFERROR(C486-INDEX($C$5:$C$504,MATCH(A486&amp;"|"&amp;(F486-1),$G$5:$G$504,0)),""))</f>
      </c>
      <c r="I486" s="16">
        <f>IF(OR(F486="",F486&lt;2,B486=""),"",IFERROR(B486-INDEX($B$5:$B$504,MATCH(A486&amp;"|"&amp;(F486-1),$G$5:$G$504,0)),""))</f>
      </c>
      <c r="J486" s="18">
        <f>IF(OR(H486="",I486="",I486=0),"",H486/I486)</f>
      </c>
    </row>
    <row r="487" spans="1:10" x14ac:dyDescent="0.25">
      <c r="A487" s="11"/>
      <c r="B487" s="12"/>
      <c r="C487" s="19"/>
      <c r="D487" s="15">
        <f>IF(A487="","",IFERROR(INDEX(Ejemplares!$F$5:$F$64,MATCH(A487,Ejemplares!$A$5:$A$64,0)),""))</f>
      </c>
      <c r="E487" s="11"/>
      <c r="F487" s="16">
        <f>IF(A487="","",COUNTIF($A$5:$A487,A487))</f>
      </c>
      <c r="G487" s="15">
        <f>IF(A487="","",A487&amp;"|"&amp;F487)</f>
      </c>
      <c r="H487" s="17">
        <f>IF(OR(F487="",F487&lt;2,C487=""),"",IFERROR(C487-INDEX($C$5:$C$504,MATCH(A487&amp;"|"&amp;(F487-1),$G$5:$G$504,0)),""))</f>
      </c>
      <c r="I487" s="16">
        <f>IF(OR(F487="",F487&lt;2,B487=""),"",IFERROR(B487-INDEX($B$5:$B$504,MATCH(A487&amp;"|"&amp;(F487-1),$G$5:$G$504,0)),""))</f>
      </c>
      <c r="J487" s="18">
        <f>IF(OR(H487="",I487="",I487=0),"",H487/I487)</f>
      </c>
    </row>
    <row r="488" spans="1:10" x14ac:dyDescent="0.25">
      <c r="A488" s="11"/>
      <c r="B488" s="12"/>
      <c r="C488" s="19"/>
      <c r="D488" s="15">
        <f>IF(A488="","",IFERROR(INDEX(Ejemplares!$F$5:$F$64,MATCH(A488,Ejemplares!$A$5:$A$64,0)),""))</f>
      </c>
      <c r="E488" s="11"/>
      <c r="F488" s="16">
        <f>IF(A488="","",COUNTIF($A$5:$A488,A488))</f>
      </c>
      <c r="G488" s="15">
        <f>IF(A488="","",A488&amp;"|"&amp;F488)</f>
      </c>
      <c r="H488" s="17">
        <f>IF(OR(F488="",F488&lt;2,C488=""),"",IFERROR(C488-INDEX($C$5:$C$504,MATCH(A488&amp;"|"&amp;(F488-1),$G$5:$G$504,0)),""))</f>
      </c>
      <c r="I488" s="16">
        <f>IF(OR(F488="",F488&lt;2,B488=""),"",IFERROR(B488-INDEX($B$5:$B$504,MATCH(A488&amp;"|"&amp;(F488-1),$G$5:$G$504,0)),""))</f>
      </c>
      <c r="J488" s="18">
        <f>IF(OR(H488="",I488="",I488=0),"",H488/I488)</f>
      </c>
    </row>
    <row r="489" spans="1:10" x14ac:dyDescent="0.25">
      <c r="A489" s="11"/>
      <c r="B489" s="12"/>
      <c r="C489" s="19"/>
      <c r="D489" s="15">
        <f>IF(A489="","",IFERROR(INDEX(Ejemplares!$F$5:$F$64,MATCH(A489,Ejemplares!$A$5:$A$64,0)),""))</f>
      </c>
      <c r="E489" s="11"/>
      <c r="F489" s="16">
        <f>IF(A489="","",COUNTIF($A$5:$A489,A489))</f>
      </c>
      <c r="G489" s="15">
        <f>IF(A489="","",A489&amp;"|"&amp;F489)</f>
      </c>
      <c r="H489" s="17">
        <f>IF(OR(F489="",F489&lt;2,C489=""),"",IFERROR(C489-INDEX($C$5:$C$504,MATCH(A489&amp;"|"&amp;(F489-1),$G$5:$G$504,0)),""))</f>
      </c>
      <c r="I489" s="16">
        <f>IF(OR(F489="",F489&lt;2,B489=""),"",IFERROR(B489-INDEX($B$5:$B$504,MATCH(A489&amp;"|"&amp;(F489-1),$G$5:$G$504,0)),""))</f>
      </c>
      <c r="J489" s="18">
        <f>IF(OR(H489="",I489="",I489=0),"",H489/I489)</f>
      </c>
    </row>
    <row r="490" spans="1:10" x14ac:dyDescent="0.25">
      <c r="A490" s="11"/>
      <c r="B490" s="12"/>
      <c r="C490" s="19"/>
      <c r="D490" s="15">
        <f>IF(A490="","",IFERROR(INDEX(Ejemplares!$F$5:$F$64,MATCH(A490,Ejemplares!$A$5:$A$64,0)),""))</f>
      </c>
      <c r="E490" s="11"/>
      <c r="F490" s="16">
        <f>IF(A490="","",COUNTIF($A$5:$A490,A490))</f>
      </c>
      <c r="G490" s="15">
        <f>IF(A490="","",A490&amp;"|"&amp;F490)</f>
      </c>
      <c r="H490" s="17">
        <f>IF(OR(F490="",F490&lt;2,C490=""),"",IFERROR(C490-INDEX($C$5:$C$504,MATCH(A490&amp;"|"&amp;(F490-1),$G$5:$G$504,0)),""))</f>
      </c>
      <c r="I490" s="16">
        <f>IF(OR(F490="",F490&lt;2,B490=""),"",IFERROR(B490-INDEX($B$5:$B$504,MATCH(A490&amp;"|"&amp;(F490-1),$G$5:$G$504,0)),""))</f>
      </c>
      <c r="J490" s="18">
        <f>IF(OR(H490="",I490="",I490=0),"",H490/I490)</f>
      </c>
    </row>
    <row r="491" spans="1:10" x14ac:dyDescent="0.25">
      <c r="A491" s="11"/>
      <c r="B491" s="12"/>
      <c r="C491" s="19"/>
      <c r="D491" s="15">
        <f>IF(A491="","",IFERROR(INDEX(Ejemplares!$F$5:$F$64,MATCH(A491,Ejemplares!$A$5:$A$64,0)),""))</f>
      </c>
      <c r="E491" s="11"/>
      <c r="F491" s="16">
        <f>IF(A491="","",COUNTIF($A$5:$A491,A491))</f>
      </c>
      <c r="G491" s="15">
        <f>IF(A491="","",A491&amp;"|"&amp;F491)</f>
      </c>
      <c r="H491" s="17">
        <f>IF(OR(F491="",F491&lt;2,C491=""),"",IFERROR(C491-INDEX($C$5:$C$504,MATCH(A491&amp;"|"&amp;(F491-1),$G$5:$G$504,0)),""))</f>
      </c>
      <c r="I491" s="16">
        <f>IF(OR(F491="",F491&lt;2,B491=""),"",IFERROR(B491-INDEX($B$5:$B$504,MATCH(A491&amp;"|"&amp;(F491-1),$G$5:$G$504,0)),""))</f>
      </c>
      <c r="J491" s="18">
        <f>IF(OR(H491="",I491="",I491=0),"",H491/I491)</f>
      </c>
    </row>
    <row r="492" spans="1:10" x14ac:dyDescent="0.25">
      <c r="A492" s="11"/>
      <c r="B492" s="12"/>
      <c r="C492" s="19"/>
      <c r="D492" s="15">
        <f>IF(A492="","",IFERROR(INDEX(Ejemplares!$F$5:$F$64,MATCH(A492,Ejemplares!$A$5:$A$64,0)),""))</f>
      </c>
      <c r="E492" s="11"/>
      <c r="F492" s="16">
        <f>IF(A492="","",COUNTIF($A$5:$A492,A492))</f>
      </c>
      <c r="G492" s="15">
        <f>IF(A492="","",A492&amp;"|"&amp;F492)</f>
      </c>
      <c r="H492" s="17">
        <f>IF(OR(F492="",F492&lt;2,C492=""),"",IFERROR(C492-INDEX($C$5:$C$504,MATCH(A492&amp;"|"&amp;(F492-1),$G$5:$G$504,0)),""))</f>
      </c>
      <c r="I492" s="16">
        <f>IF(OR(F492="",F492&lt;2,B492=""),"",IFERROR(B492-INDEX($B$5:$B$504,MATCH(A492&amp;"|"&amp;(F492-1),$G$5:$G$504,0)),""))</f>
      </c>
      <c r="J492" s="18">
        <f>IF(OR(H492="",I492="",I492=0),"",H492/I492)</f>
      </c>
    </row>
    <row r="493" spans="1:10" x14ac:dyDescent="0.25">
      <c r="A493" s="11"/>
      <c r="B493" s="12"/>
      <c r="C493" s="19"/>
      <c r="D493" s="15">
        <f>IF(A493="","",IFERROR(INDEX(Ejemplares!$F$5:$F$64,MATCH(A493,Ejemplares!$A$5:$A$64,0)),""))</f>
      </c>
      <c r="E493" s="11"/>
      <c r="F493" s="16">
        <f>IF(A493="","",COUNTIF($A$5:$A493,A493))</f>
      </c>
      <c r="G493" s="15">
        <f>IF(A493="","",A493&amp;"|"&amp;F493)</f>
      </c>
      <c r="H493" s="17">
        <f>IF(OR(F493="",F493&lt;2,C493=""),"",IFERROR(C493-INDEX($C$5:$C$504,MATCH(A493&amp;"|"&amp;(F493-1),$G$5:$G$504,0)),""))</f>
      </c>
      <c r="I493" s="16">
        <f>IF(OR(F493="",F493&lt;2,B493=""),"",IFERROR(B493-INDEX($B$5:$B$504,MATCH(A493&amp;"|"&amp;(F493-1),$G$5:$G$504,0)),""))</f>
      </c>
      <c r="J493" s="18">
        <f>IF(OR(H493="",I493="",I493=0),"",H493/I493)</f>
      </c>
    </row>
    <row r="494" spans="1:10" x14ac:dyDescent="0.25">
      <c r="A494" s="11"/>
      <c r="B494" s="12"/>
      <c r="C494" s="19"/>
      <c r="D494" s="15">
        <f>IF(A494="","",IFERROR(INDEX(Ejemplares!$F$5:$F$64,MATCH(A494,Ejemplares!$A$5:$A$64,0)),""))</f>
      </c>
      <c r="E494" s="11"/>
      <c r="F494" s="16">
        <f>IF(A494="","",COUNTIF($A$5:$A494,A494))</f>
      </c>
      <c r="G494" s="15">
        <f>IF(A494="","",A494&amp;"|"&amp;F494)</f>
      </c>
      <c r="H494" s="17">
        <f>IF(OR(F494="",F494&lt;2,C494=""),"",IFERROR(C494-INDEX($C$5:$C$504,MATCH(A494&amp;"|"&amp;(F494-1),$G$5:$G$504,0)),""))</f>
      </c>
      <c r="I494" s="16">
        <f>IF(OR(F494="",F494&lt;2,B494=""),"",IFERROR(B494-INDEX($B$5:$B$504,MATCH(A494&amp;"|"&amp;(F494-1),$G$5:$G$504,0)),""))</f>
      </c>
      <c r="J494" s="18">
        <f>IF(OR(H494="",I494="",I494=0),"",H494/I494)</f>
      </c>
    </row>
    <row r="495" spans="1:10" x14ac:dyDescent="0.25">
      <c r="A495" s="11"/>
      <c r="B495" s="12"/>
      <c r="C495" s="19"/>
      <c r="D495" s="15">
        <f>IF(A495="","",IFERROR(INDEX(Ejemplares!$F$5:$F$64,MATCH(A495,Ejemplares!$A$5:$A$64,0)),""))</f>
      </c>
      <c r="E495" s="11"/>
      <c r="F495" s="16">
        <f>IF(A495="","",COUNTIF($A$5:$A495,A495))</f>
      </c>
      <c r="G495" s="15">
        <f>IF(A495="","",A495&amp;"|"&amp;F495)</f>
      </c>
      <c r="H495" s="17">
        <f>IF(OR(F495="",F495&lt;2,C495=""),"",IFERROR(C495-INDEX($C$5:$C$504,MATCH(A495&amp;"|"&amp;(F495-1),$G$5:$G$504,0)),""))</f>
      </c>
      <c r="I495" s="16">
        <f>IF(OR(F495="",F495&lt;2,B495=""),"",IFERROR(B495-INDEX($B$5:$B$504,MATCH(A495&amp;"|"&amp;(F495-1),$G$5:$G$504,0)),""))</f>
      </c>
      <c r="J495" s="18">
        <f>IF(OR(H495="",I495="",I495=0),"",H495/I495)</f>
      </c>
    </row>
    <row r="496" spans="1:10" x14ac:dyDescent="0.25">
      <c r="A496" s="11"/>
      <c r="B496" s="12"/>
      <c r="C496" s="19"/>
      <c r="D496" s="15">
        <f>IF(A496="","",IFERROR(INDEX(Ejemplares!$F$5:$F$64,MATCH(A496,Ejemplares!$A$5:$A$64,0)),""))</f>
      </c>
      <c r="E496" s="11"/>
      <c r="F496" s="16">
        <f>IF(A496="","",COUNTIF($A$5:$A496,A496))</f>
      </c>
      <c r="G496" s="15">
        <f>IF(A496="","",A496&amp;"|"&amp;F496)</f>
      </c>
      <c r="H496" s="17">
        <f>IF(OR(F496="",F496&lt;2,C496=""),"",IFERROR(C496-INDEX($C$5:$C$504,MATCH(A496&amp;"|"&amp;(F496-1),$G$5:$G$504,0)),""))</f>
      </c>
      <c r="I496" s="16">
        <f>IF(OR(F496="",F496&lt;2,B496=""),"",IFERROR(B496-INDEX($B$5:$B$504,MATCH(A496&amp;"|"&amp;(F496-1),$G$5:$G$504,0)),""))</f>
      </c>
      <c r="J496" s="18">
        <f>IF(OR(H496="",I496="",I496=0),"",H496/I496)</f>
      </c>
    </row>
    <row r="497" spans="1:10" x14ac:dyDescent="0.25">
      <c r="A497" s="11"/>
      <c r="B497" s="12"/>
      <c r="C497" s="19"/>
      <c r="D497" s="15">
        <f>IF(A497="","",IFERROR(INDEX(Ejemplares!$F$5:$F$64,MATCH(A497,Ejemplares!$A$5:$A$64,0)),""))</f>
      </c>
      <c r="E497" s="11"/>
      <c r="F497" s="16">
        <f>IF(A497="","",COUNTIF($A$5:$A497,A497))</f>
      </c>
      <c r="G497" s="15">
        <f>IF(A497="","",A497&amp;"|"&amp;F497)</f>
      </c>
      <c r="H497" s="17">
        <f>IF(OR(F497="",F497&lt;2,C497=""),"",IFERROR(C497-INDEX($C$5:$C$504,MATCH(A497&amp;"|"&amp;(F497-1),$G$5:$G$504,0)),""))</f>
      </c>
      <c r="I497" s="16">
        <f>IF(OR(F497="",F497&lt;2,B497=""),"",IFERROR(B497-INDEX($B$5:$B$504,MATCH(A497&amp;"|"&amp;(F497-1),$G$5:$G$504,0)),""))</f>
      </c>
      <c r="J497" s="18">
        <f>IF(OR(H497="",I497="",I497=0),"",H497/I497)</f>
      </c>
    </row>
    <row r="498" spans="1:10" x14ac:dyDescent="0.25">
      <c r="A498" s="11"/>
      <c r="B498" s="12"/>
      <c r="C498" s="19"/>
      <c r="D498" s="15">
        <f>IF(A498="","",IFERROR(INDEX(Ejemplares!$F$5:$F$64,MATCH(A498,Ejemplares!$A$5:$A$64,0)),""))</f>
      </c>
      <c r="E498" s="11"/>
      <c r="F498" s="16">
        <f>IF(A498="","",COUNTIF($A$5:$A498,A498))</f>
      </c>
      <c r="G498" s="15">
        <f>IF(A498="","",A498&amp;"|"&amp;F498)</f>
      </c>
      <c r="H498" s="17">
        <f>IF(OR(F498="",F498&lt;2,C498=""),"",IFERROR(C498-INDEX($C$5:$C$504,MATCH(A498&amp;"|"&amp;(F498-1),$G$5:$G$504,0)),""))</f>
      </c>
      <c r="I498" s="16">
        <f>IF(OR(F498="",F498&lt;2,B498=""),"",IFERROR(B498-INDEX($B$5:$B$504,MATCH(A498&amp;"|"&amp;(F498-1),$G$5:$G$504,0)),""))</f>
      </c>
      <c r="J498" s="18">
        <f>IF(OR(H498="",I498="",I498=0),"",H498/I498)</f>
      </c>
    </row>
    <row r="499" spans="1:10" x14ac:dyDescent="0.25">
      <c r="A499" s="11"/>
      <c r="B499" s="12"/>
      <c r="C499" s="19"/>
      <c r="D499" s="15">
        <f>IF(A499="","",IFERROR(INDEX(Ejemplares!$F$5:$F$64,MATCH(A499,Ejemplares!$A$5:$A$64,0)),""))</f>
      </c>
      <c r="E499" s="11"/>
      <c r="F499" s="16">
        <f>IF(A499="","",COUNTIF($A$5:$A499,A499))</f>
      </c>
      <c r="G499" s="15">
        <f>IF(A499="","",A499&amp;"|"&amp;F499)</f>
      </c>
      <c r="H499" s="17">
        <f>IF(OR(F499="",F499&lt;2,C499=""),"",IFERROR(C499-INDEX($C$5:$C$504,MATCH(A499&amp;"|"&amp;(F499-1),$G$5:$G$504,0)),""))</f>
      </c>
      <c r="I499" s="16">
        <f>IF(OR(F499="",F499&lt;2,B499=""),"",IFERROR(B499-INDEX($B$5:$B$504,MATCH(A499&amp;"|"&amp;(F499-1),$G$5:$G$504,0)),""))</f>
      </c>
      <c r="J499" s="18">
        <f>IF(OR(H499="",I499="",I499=0),"",H499/I499)</f>
      </c>
    </row>
    <row r="500" spans="1:10" x14ac:dyDescent="0.25">
      <c r="A500" s="11"/>
      <c r="B500" s="12"/>
      <c r="C500" s="19"/>
      <c r="D500" s="15">
        <f>IF(A500="","",IFERROR(INDEX(Ejemplares!$F$5:$F$64,MATCH(A500,Ejemplares!$A$5:$A$64,0)),""))</f>
      </c>
      <c r="E500" s="11"/>
      <c r="F500" s="16">
        <f>IF(A500="","",COUNTIF($A$5:$A500,A500))</f>
      </c>
      <c r="G500" s="15">
        <f>IF(A500="","",A500&amp;"|"&amp;F500)</f>
      </c>
      <c r="H500" s="17">
        <f>IF(OR(F500="",F500&lt;2,C500=""),"",IFERROR(C500-INDEX($C$5:$C$504,MATCH(A500&amp;"|"&amp;(F500-1),$G$5:$G$504,0)),""))</f>
      </c>
      <c r="I500" s="16">
        <f>IF(OR(F500="",F500&lt;2,B500=""),"",IFERROR(B500-INDEX($B$5:$B$504,MATCH(A500&amp;"|"&amp;(F500-1),$G$5:$G$504,0)),""))</f>
      </c>
      <c r="J500" s="18">
        <f>IF(OR(H500="",I500="",I500=0),"",H500/I500)</f>
      </c>
    </row>
    <row r="501" spans="1:10" x14ac:dyDescent="0.25">
      <c r="A501" s="11"/>
      <c r="B501" s="12"/>
      <c r="C501" s="19"/>
      <c r="D501" s="15">
        <f>IF(A501="","",IFERROR(INDEX(Ejemplares!$F$5:$F$64,MATCH(A501,Ejemplares!$A$5:$A$64,0)),""))</f>
      </c>
      <c r="E501" s="11"/>
      <c r="F501" s="16">
        <f>IF(A501="","",COUNTIF($A$5:$A501,A501))</f>
      </c>
      <c r="G501" s="15">
        <f>IF(A501="","",A501&amp;"|"&amp;F501)</f>
      </c>
      <c r="H501" s="17">
        <f>IF(OR(F501="",F501&lt;2,C501=""),"",IFERROR(C501-INDEX($C$5:$C$504,MATCH(A501&amp;"|"&amp;(F501-1),$G$5:$G$504,0)),""))</f>
      </c>
      <c r="I501" s="16">
        <f>IF(OR(F501="",F501&lt;2,B501=""),"",IFERROR(B501-INDEX($B$5:$B$504,MATCH(A501&amp;"|"&amp;(F501-1),$G$5:$G$504,0)),""))</f>
      </c>
      <c r="J501" s="18">
        <f>IF(OR(H501="",I501="",I501=0),"",H501/I501)</f>
      </c>
    </row>
    <row r="502" spans="1:10" x14ac:dyDescent="0.25">
      <c r="A502" s="11"/>
      <c r="B502" s="12"/>
      <c r="C502" s="19"/>
      <c r="D502" s="15">
        <f>IF(A502="","",IFERROR(INDEX(Ejemplares!$F$5:$F$64,MATCH(A502,Ejemplares!$A$5:$A$64,0)),""))</f>
      </c>
      <c r="E502" s="11"/>
      <c r="F502" s="16">
        <f>IF(A502="","",COUNTIF($A$5:$A502,A502))</f>
      </c>
      <c r="G502" s="15">
        <f>IF(A502="","",A502&amp;"|"&amp;F502)</f>
      </c>
      <c r="H502" s="17">
        <f>IF(OR(F502="",F502&lt;2,C502=""),"",IFERROR(C502-INDEX($C$5:$C$504,MATCH(A502&amp;"|"&amp;(F502-1),$G$5:$G$504,0)),""))</f>
      </c>
      <c r="I502" s="16">
        <f>IF(OR(F502="",F502&lt;2,B502=""),"",IFERROR(B502-INDEX($B$5:$B$504,MATCH(A502&amp;"|"&amp;(F502-1),$G$5:$G$504,0)),""))</f>
      </c>
      <c r="J502" s="18">
        <f>IF(OR(H502="",I502="",I502=0),"",H502/I502)</f>
      </c>
    </row>
    <row r="503" spans="1:10" x14ac:dyDescent="0.25">
      <c r="A503" s="11"/>
      <c r="B503" s="12"/>
      <c r="C503" s="19"/>
      <c r="D503" s="15">
        <f>IF(A503="","",IFERROR(INDEX(Ejemplares!$F$5:$F$64,MATCH(A503,Ejemplares!$A$5:$A$64,0)),""))</f>
      </c>
      <c r="E503" s="11"/>
      <c r="F503" s="16">
        <f>IF(A503="","",COUNTIF($A$5:$A503,A503))</f>
      </c>
      <c r="G503" s="15">
        <f>IF(A503="","",A503&amp;"|"&amp;F503)</f>
      </c>
      <c r="H503" s="17">
        <f>IF(OR(F503="",F503&lt;2,C503=""),"",IFERROR(C503-INDEX($C$5:$C$504,MATCH(A503&amp;"|"&amp;(F503-1),$G$5:$G$504,0)),""))</f>
      </c>
      <c r="I503" s="16">
        <f>IF(OR(F503="",F503&lt;2,B503=""),"",IFERROR(B503-INDEX($B$5:$B$504,MATCH(A503&amp;"|"&amp;(F503-1),$G$5:$G$504,0)),""))</f>
      </c>
      <c r="J503" s="18">
        <f>IF(OR(H503="",I503="",I503=0),"",H503/I503)</f>
      </c>
    </row>
    <row r="504" spans="1:10" x14ac:dyDescent="0.25">
      <c r="A504" s="11"/>
      <c r="B504" s="12"/>
      <c r="C504" s="19"/>
      <c r="D504" s="15">
        <f>IF(A504="","",IFERROR(INDEX(Ejemplares!$F$5:$F$64,MATCH(A504,Ejemplares!$A$5:$A$64,0)),""))</f>
      </c>
      <c r="E504" s="11"/>
      <c r="F504" s="16">
        <f>IF(A504="","",COUNTIF($A$5:$A504,A504))</f>
      </c>
      <c r="G504" s="15">
        <f>IF(A504="","",A504&amp;"|"&amp;F504)</f>
      </c>
      <c r="H504" s="17">
        <f>IF(OR(F504="",F504&lt;2,C504=""),"",IFERROR(C504-INDEX($C$5:$C$504,MATCH(A504&amp;"|"&amp;(F504-1),$G$5:$G$504,0)),""))</f>
      </c>
      <c r="I504" s="16">
        <f>IF(OR(F504="",F504&lt;2,B504=""),"",IFERROR(B504-INDEX($B$5:$B$504,MATCH(A504&amp;"|"&amp;(F504-1),$G$5:$G$504,0)),""))</f>
      </c>
      <c r="J504" s="18">
        <f>IF(OR(H504="",I504="",I504=0),"",H504/I504)</f>
      </c>
    </row>
  </sheetData>
  <mergeCells count="2">
    <mergeCell ref="A1:J1"/>
    <mergeCell ref="A2:J2"/>
  </mergeCells>
  <conditionalFormatting sqref="H5:H504">
    <cfRule type="expression" dxfId="0" priority="14">
      <formula>AND(ISNUMBER($H5),$H5&lt;0)</formula>
    </cfRule>
  </conditionalFormatting>
  <dataValidations count="3">
    <dataValidation type="list" allowBlank="1" promptTitle="Ejemplar" showErrorMessage="1" errorStyle="warning" errorTitle="Elige de la lista" error="Elige una opción de la lista desplegable." sqref="A5:A504">
      <formula1>Ejemplares!$A$5:$A$64</formula1>
    </dataValidation>
    <dataValidation type="date" operator="greaterThan" allowBlank="1" promptTitle="Fecha" showErrorMessage="1" errorStyle="warning" errorTitle="Fecha" error="Escribe una fecha válida, por ejemplo 15/03/2026." sqref="B5:B504">
      <formula1>32874</formula1>
    </dataValidation>
    <dataValidation type="decimal" allowBlank="1" showInputMessage="1" promptTitle="Peso" prompt="En la unidad indicada en la hoja Ejemplares." showErrorMessage="1" errorStyle="warning" errorTitle="Número" error="Escribe un número entre 0 y 100000." sqref="C5:C504">
      <formula1>0</formula1>
      <formula2>100000</formula2>
    </dataValidation>
  </dataValidations>
  <pageSetup paperSize="1"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8A317"/>
    <pageSetUpPr fitToPage="1"/>
  </sheetPr>
  <dimension ref="A1:I47"/>
  <sheetViews>
    <sheetView workbookViewId="0" showGridLines="0"/>
  </sheetViews>
  <sheetFormatPr defaultRowHeight="15" outlineLevelRow="0" outlineLevelCol="0" x14ac:dyDescent="55"/>
  <cols>
    <col min="1" max="1" width="8" customWidth="1"/>
    <col min="2" max="2" width="14" customWidth="1"/>
    <col min="3" max="3" width="18" customWidth="1"/>
    <col min="4" max="4" width="12" customWidth="1"/>
    <col min="5" max="6" width="14" customWidth="1"/>
    <col min="7" max="7" width="3" customWidth="1"/>
    <col min="8" max="9" width="14" customWidth="1"/>
  </cols>
  <sheetData>
    <row r="1" ht="30" customHeight="1" spans="1:9" x14ac:dyDescent="0.25">
      <c r="A1" s="6" t="s">
        <v>65</v>
      </c>
      <c r="B1" s="6"/>
      <c r="C1" s="6"/>
      <c r="D1" s="6"/>
      <c r="E1" s="6"/>
      <c r="F1" s="6"/>
      <c r="G1" s="6"/>
      <c r="H1" s="6"/>
      <c r="I1" s="6"/>
    </row>
    <row r="2" ht="22" customHeight="1" spans="1:9" x14ac:dyDescent="0.25">
      <c r="A2" s="7" t="s">
        <v>66</v>
      </c>
      <c r="B2" s="7"/>
      <c r="C2" s="7"/>
      <c r="D2" s="7"/>
      <c r="E2" s="7"/>
      <c r="F2" s="7"/>
      <c r="G2" s="7"/>
      <c r="H2" s="7"/>
      <c r="I2" s="7"/>
    </row>
    <row r="3" spans="1:3" x14ac:dyDescent="0.25">
      <c r="A3" s="20" t="s">
        <v>67</v>
      </c>
      <c r="B3" s="21" t="s">
        <v>43</v>
      </c>
      <c r="C3" s="21"/>
    </row>
    <row r="5" ht="32" customHeight="1" spans="1:6" x14ac:dyDescent="0.25">
      <c r="A5" s="22" t="s">
        <v>68</v>
      </c>
      <c r="B5" s="22" t="s">
        <v>56</v>
      </c>
      <c r="C5" s="22" t="s">
        <v>69</v>
      </c>
      <c r="D5" s="22" t="s">
        <v>57</v>
      </c>
      <c r="E5" s="22" t="s">
        <v>70</v>
      </c>
      <c r="F5" s="22" t="s">
        <v>64</v>
      </c>
    </row>
    <row r="6" spans="1:6" x14ac:dyDescent="0.25">
      <c r="A6" s="16">
        <v>1</v>
      </c>
      <c r="B6" s="23">
        <f>IFERROR(INDEX(Registro!$B$5:$B$504,MATCH($B$3&amp;"|"&amp;$A6,Registro!$G$5:$G$504,0)),NA())</f>
      </c>
      <c r="C6" s="16">
        <f>IF(ISNA(B6),NA(),B6-$B$6)</f>
      </c>
      <c r="D6" s="24">
        <f>IFERROR(INDEX(Registro!$C$5:$C$504,MATCH($B$3&amp;"|"&amp;$A6,Registro!$G$5:$G$504,0)),NA())</f>
      </c>
      <c r="E6" s="17">
        <f>IFERROR(IF(INDEX(Registro!$H$5:$H$504,MATCH($B$3&amp;"|"&amp;$A6,Registro!$G$5:$G$504,0))="",NA(),INDEX(Registro!$H$5:$H$504,MATCH($B$3&amp;"|"&amp;$A6,Registro!$G$5:$G$504,0))),NA())</f>
      </c>
      <c r="F6" s="18">
        <f>IFERROR(IF(INDEX(Registro!$J$5:$J$504,MATCH($B$3&amp;"|"&amp;$A6,Registro!$G$5:$G$504,0))="",NA(),INDEX(Registro!$J$5:$J$504,MATCH($B$3&amp;"|"&amp;$A6,Registro!$G$5:$G$504,0))),NA())</f>
      </c>
    </row>
    <row r="7" spans="1:6" x14ac:dyDescent="0.25">
      <c r="A7" s="16">
        <v>2</v>
      </c>
      <c r="B7" s="23">
        <f>IFERROR(INDEX(Registro!$B$5:$B$504,MATCH($B$3&amp;"|"&amp;$A7,Registro!$G$5:$G$504,0)),NA())</f>
      </c>
      <c r="C7" s="16">
        <f>IF(ISNA(B7),NA(),B7-$B$6)</f>
      </c>
      <c r="D7" s="24">
        <f>IFERROR(INDEX(Registro!$C$5:$C$504,MATCH($B$3&amp;"|"&amp;$A7,Registro!$G$5:$G$504,0)),NA())</f>
      </c>
      <c r="E7" s="17">
        <f>IFERROR(IF(INDEX(Registro!$H$5:$H$504,MATCH($B$3&amp;"|"&amp;$A7,Registro!$G$5:$G$504,0))="",NA(),INDEX(Registro!$H$5:$H$504,MATCH($B$3&amp;"|"&amp;$A7,Registro!$G$5:$G$504,0))),NA())</f>
      </c>
      <c r="F7" s="18">
        <f>IFERROR(IF(INDEX(Registro!$J$5:$J$504,MATCH($B$3&amp;"|"&amp;$A7,Registro!$G$5:$G$504,0))="",NA(),INDEX(Registro!$J$5:$J$504,MATCH($B$3&amp;"|"&amp;$A7,Registro!$G$5:$G$504,0))),NA())</f>
      </c>
    </row>
    <row r="8" spans="1:6" x14ac:dyDescent="0.25">
      <c r="A8" s="16">
        <v>3</v>
      </c>
      <c r="B8" s="23">
        <f>IFERROR(INDEX(Registro!$B$5:$B$504,MATCH($B$3&amp;"|"&amp;$A8,Registro!$G$5:$G$504,0)),NA())</f>
      </c>
      <c r="C8" s="16">
        <f>IF(ISNA(B8),NA(),B8-$B$6)</f>
      </c>
      <c r="D8" s="24">
        <f>IFERROR(INDEX(Registro!$C$5:$C$504,MATCH($B$3&amp;"|"&amp;$A8,Registro!$G$5:$G$504,0)),NA())</f>
      </c>
      <c r="E8" s="17">
        <f>IFERROR(IF(INDEX(Registro!$H$5:$H$504,MATCH($B$3&amp;"|"&amp;$A8,Registro!$G$5:$G$504,0))="",NA(),INDEX(Registro!$H$5:$H$504,MATCH($B$3&amp;"|"&amp;$A8,Registro!$G$5:$G$504,0))),NA())</f>
      </c>
      <c r="F8" s="18">
        <f>IFERROR(IF(INDEX(Registro!$J$5:$J$504,MATCH($B$3&amp;"|"&amp;$A8,Registro!$G$5:$G$504,0))="",NA(),INDEX(Registro!$J$5:$J$504,MATCH($B$3&amp;"|"&amp;$A8,Registro!$G$5:$G$504,0))),NA())</f>
      </c>
    </row>
    <row r="9" spans="1:6" x14ac:dyDescent="0.25">
      <c r="A9" s="16">
        <v>4</v>
      </c>
      <c r="B9" s="23">
        <f>IFERROR(INDEX(Registro!$B$5:$B$504,MATCH($B$3&amp;"|"&amp;$A9,Registro!$G$5:$G$504,0)),NA())</f>
      </c>
      <c r="C9" s="16">
        <f>IF(ISNA(B9),NA(),B9-$B$6)</f>
      </c>
      <c r="D9" s="24">
        <f>IFERROR(INDEX(Registro!$C$5:$C$504,MATCH($B$3&amp;"|"&amp;$A9,Registro!$G$5:$G$504,0)),NA())</f>
      </c>
      <c r="E9" s="17">
        <f>IFERROR(IF(INDEX(Registro!$H$5:$H$504,MATCH($B$3&amp;"|"&amp;$A9,Registro!$G$5:$G$504,0))="",NA(),INDEX(Registro!$H$5:$H$504,MATCH($B$3&amp;"|"&amp;$A9,Registro!$G$5:$G$504,0))),NA())</f>
      </c>
      <c r="F9" s="18">
        <f>IFERROR(IF(INDEX(Registro!$J$5:$J$504,MATCH($B$3&amp;"|"&amp;$A9,Registro!$G$5:$G$504,0))="",NA(),INDEX(Registro!$J$5:$J$504,MATCH($B$3&amp;"|"&amp;$A9,Registro!$G$5:$G$504,0))),NA())</f>
      </c>
    </row>
    <row r="10" spans="1:6" x14ac:dyDescent="0.25">
      <c r="A10" s="16">
        <v>5</v>
      </c>
      <c r="B10" s="23">
        <f>IFERROR(INDEX(Registro!$B$5:$B$504,MATCH($B$3&amp;"|"&amp;$A10,Registro!$G$5:$G$504,0)),NA())</f>
      </c>
      <c r="C10" s="16">
        <f>IF(ISNA(B10),NA(),B10-$B$6)</f>
      </c>
      <c r="D10" s="24">
        <f>IFERROR(INDEX(Registro!$C$5:$C$504,MATCH($B$3&amp;"|"&amp;$A10,Registro!$G$5:$G$504,0)),NA())</f>
      </c>
      <c r="E10" s="17">
        <f>IFERROR(IF(INDEX(Registro!$H$5:$H$504,MATCH($B$3&amp;"|"&amp;$A10,Registro!$G$5:$G$504,0))="",NA(),INDEX(Registro!$H$5:$H$504,MATCH($B$3&amp;"|"&amp;$A10,Registro!$G$5:$G$504,0))),NA())</f>
      </c>
      <c r="F10" s="18">
        <f>IFERROR(IF(INDEX(Registro!$J$5:$J$504,MATCH($B$3&amp;"|"&amp;$A10,Registro!$G$5:$G$504,0))="",NA(),INDEX(Registro!$J$5:$J$504,MATCH($B$3&amp;"|"&amp;$A10,Registro!$G$5:$G$504,0))),NA())</f>
      </c>
    </row>
    <row r="11" spans="1:6" x14ac:dyDescent="0.25">
      <c r="A11" s="16">
        <v>6</v>
      </c>
      <c r="B11" s="23">
        <f>IFERROR(INDEX(Registro!$B$5:$B$504,MATCH($B$3&amp;"|"&amp;$A11,Registro!$G$5:$G$504,0)),NA())</f>
      </c>
      <c r="C11" s="16">
        <f>IF(ISNA(B11),NA(),B11-$B$6)</f>
      </c>
      <c r="D11" s="24">
        <f>IFERROR(INDEX(Registro!$C$5:$C$504,MATCH($B$3&amp;"|"&amp;$A11,Registro!$G$5:$G$504,0)),NA())</f>
      </c>
      <c r="E11" s="17">
        <f>IFERROR(IF(INDEX(Registro!$H$5:$H$504,MATCH($B$3&amp;"|"&amp;$A11,Registro!$G$5:$G$504,0))="",NA(),INDEX(Registro!$H$5:$H$504,MATCH($B$3&amp;"|"&amp;$A11,Registro!$G$5:$G$504,0))),NA())</f>
      </c>
      <c r="F11" s="18">
        <f>IFERROR(IF(INDEX(Registro!$J$5:$J$504,MATCH($B$3&amp;"|"&amp;$A11,Registro!$G$5:$G$504,0))="",NA(),INDEX(Registro!$J$5:$J$504,MATCH($B$3&amp;"|"&amp;$A11,Registro!$G$5:$G$504,0))),NA())</f>
      </c>
    </row>
    <row r="12" spans="1:6" x14ac:dyDescent="0.25">
      <c r="A12" s="16">
        <v>7</v>
      </c>
      <c r="B12" s="23">
        <f>IFERROR(INDEX(Registro!$B$5:$B$504,MATCH($B$3&amp;"|"&amp;$A12,Registro!$G$5:$G$504,0)),NA())</f>
      </c>
      <c r="C12" s="16">
        <f>IF(ISNA(B12),NA(),B12-$B$6)</f>
      </c>
      <c r="D12" s="24">
        <f>IFERROR(INDEX(Registro!$C$5:$C$504,MATCH($B$3&amp;"|"&amp;$A12,Registro!$G$5:$G$504,0)),NA())</f>
      </c>
      <c r="E12" s="17">
        <f>IFERROR(IF(INDEX(Registro!$H$5:$H$504,MATCH($B$3&amp;"|"&amp;$A12,Registro!$G$5:$G$504,0))="",NA(),INDEX(Registro!$H$5:$H$504,MATCH($B$3&amp;"|"&amp;$A12,Registro!$G$5:$G$504,0))),NA())</f>
      </c>
      <c r="F12" s="18">
        <f>IFERROR(IF(INDEX(Registro!$J$5:$J$504,MATCH($B$3&amp;"|"&amp;$A12,Registro!$G$5:$G$504,0))="",NA(),INDEX(Registro!$J$5:$J$504,MATCH($B$3&amp;"|"&amp;$A12,Registro!$G$5:$G$504,0))),NA())</f>
      </c>
    </row>
    <row r="13" spans="1:6" x14ac:dyDescent="0.25">
      <c r="A13" s="16">
        <v>8</v>
      </c>
      <c r="B13" s="23">
        <f>IFERROR(INDEX(Registro!$B$5:$B$504,MATCH($B$3&amp;"|"&amp;$A13,Registro!$G$5:$G$504,0)),NA())</f>
      </c>
      <c r="C13" s="16">
        <f>IF(ISNA(B13),NA(),B13-$B$6)</f>
      </c>
      <c r="D13" s="24">
        <f>IFERROR(INDEX(Registro!$C$5:$C$504,MATCH($B$3&amp;"|"&amp;$A13,Registro!$G$5:$G$504,0)),NA())</f>
      </c>
      <c r="E13" s="17">
        <f>IFERROR(IF(INDEX(Registro!$H$5:$H$504,MATCH($B$3&amp;"|"&amp;$A13,Registro!$G$5:$G$504,0))="",NA(),INDEX(Registro!$H$5:$H$504,MATCH($B$3&amp;"|"&amp;$A13,Registro!$G$5:$G$504,0))),NA())</f>
      </c>
      <c r="F13" s="18">
        <f>IFERROR(IF(INDEX(Registro!$J$5:$J$504,MATCH($B$3&amp;"|"&amp;$A13,Registro!$G$5:$G$504,0))="",NA(),INDEX(Registro!$J$5:$J$504,MATCH($B$3&amp;"|"&amp;$A13,Registro!$G$5:$G$504,0))),NA())</f>
      </c>
    </row>
    <row r="14" spans="1:6" x14ac:dyDescent="0.25">
      <c r="A14" s="16">
        <v>9</v>
      </c>
      <c r="B14" s="23">
        <f>IFERROR(INDEX(Registro!$B$5:$B$504,MATCH($B$3&amp;"|"&amp;$A14,Registro!$G$5:$G$504,0)),NA())</f>
      </c>
      <c r="C14" s="16">
        <f>IF(ISNA(B14),NA(),B14-$B$6)</f>
      </c>
      <c r="D14" s="24">
        <f>IFERROR(INDEX(Registro!$C$5:$C$504,MATCH($B$3&amp;"|"&amp;$A14,Registro!$G$5:$G$504,0)),NA())</f>
      </c>
      <c r="E14" s="17">
        <f>IFERROR(IF(INDEX(Registro!$H$5:$H$504,MATCH($B$3&amp;"|"&amp;$A14,Registro!$G$5:$G$504,0))="",NA(),INDEX(Registro!$H$5:$H$504,MATCH($B$3&amp;"|"&amp;$A14,Registro!$G$5:$G$504,0))),NA())</f>
      </c>
      <c r="F14" s="18">
        <f>IFERROR(IF(INDEX(Registro!$J$5:$J$504,MATCH($B$3&amp;"|"&amp;$A14,Registro!$G$5:$G$504,0))="",NA(),INDEX(Registro!$J$5:$J$504,MATCH($B$3&amp;"|"&amp;$A14,Registro!$G$5:$G$504,0))),NA())</f>
      </c>
    </row>
    <row r="15" spans="1:6" x14ac:dyDescent="0.25">
      <c r="A15" s="16">
        <v>10</v>
      </c>
      <c r="B15" s="23">
        <f>IFERROR(INDEX(Registro!$B$5:$B$504,MATCH($B$3&amp;"|"&amp;$A15,Registro!$G$5:$G$504,0)),NA())</f>
      </c>
      <c r="C15" s="16">
        <f>IF(ISNA(B15),NA(),B15-$B$6)</f>
      </c>
      <c r="D15" s="24">
        <f>IFERROR(INDEX(Registro!$C$5:$C$504,MATCH($B$3&amp;"|"&amp;$A15,Registro!$G$5:$G$504,0)),NA())</f>
      </c>
      <c r="E15" s="17">
        <f>IFERROR(IF(INDEX(Registro!$H$5:$H$504,MATCH($B$3&amp;"|"&amp;$A15,Registro!$G$5:$G$504,0))="",NA(),INDEX(Registro!$H$5:$H$504,MATCH($B$3&amp;"|"&amp;$A15,Registro!$G$5:$G$504,0))),NA())</f>
      </c>
      <c r="F15" s="18">
        <f>IFERROR(IF(INDEX(Registro!$J$5:$J$504,MATCH($B$3&amp;"|"&amp;$A15,Registro!$G$5:$G$504,0))="",NA(),INDEX(Registro!$J$5:$J$504,MATCH($B$3&amp;"|"&amp;$A15,Registro!$G$5:$G$504,0))),NA())</f>
      </c>
    </row>
    <row r="16" spans="1:6" x14ac:dyDescent="0.25">
      <c r="A16" s="16">
        <v>11</v>
      </c>
      <c r="B16" s="23">
        <f>IFERROR(INDEX(Registro!$B$5:$B$504,MATCH($B$3&amp;"|"&amp;$A16,Registro!$G$5:$G$504,0)),NA())</f>
      </c>
      <c r="C16" s="16">
        <f>IF(ISNA(B16),NA(),B16-$B$6)</f>
      </c>
      <c r="D16" s="24">
        <f>IFERROR(INDEX(Registro!$C$5:$C$504,MATCH($B$3&amp;"|"&amp;$A16,Registro!$G$5:$G$504,0)),NA())</f>
      </c>
      <c r="E16" s="17">
        <f>IFERROR(IF(INDEX(Registro!$H$5:$H$504,MATCH($B$3&amp;"|"&amp;$A16,Registro!$G$5:$G$504,0))="",NA(),INDEX(Registro!$H$5:$H$504,MATCH($B$3&amp;"|"&amp;$A16,Registro!$G$5:$G$504,0))),NA())</f>
      </c>
      <c r="F16" s="18">
        <f>IFERROR(IF(INDEX(Registro!$J$5:$J$504,MATCH($B$3&amp;"|"&amp;$A16,Registro!$G$5:$G$504,0))="",NA(),INDEX(Registro!$J$5:$J$504,MATCH($B$3&amp;"|"&amp;$A16,Registro!$G$5:$G$504,0))),NA())</f>
      </c>
    </row>
    <row r="17" spans="1:6" x14ac:dyDescent="0.25">
      <c r="A17" s="16">
        <v>12</v>
      </c>
      <c r="B17" s="23">
        <f>IFERROR(INDEX(Registro!$B$5:$B$504,MATCH($B$3&amp;"|"&amp;$A17,Registro!$G$5:$G$504,0)),NA())</f>
      </c>
      <c r="C17" s="16">
        <f>IF(ISNA(B17),NA(),B17-$B$6)</f>
      </c>
      <c r="D17" s="24">
        <f>IFERROR(INDEX(Registro!$C$5:$C$504,MATCH($B$3&amp;"|"&amp;$A17,Registro!$G$5:$G$504,0)),NA())</f>
      </c>
      <c r="E17" s="17">
        <f>IFERROR(IF(INDEX(Registro!$H$5:$H$504,MATCH($B$3&amp;"|"&amp;$A17,Registro!$G$5:$G$504,0))="",NA(),INDEX(Registro!$H$5:$H$504,MATCH($B$3&amp;"|"&amp;$A17,Registro!$G$5:$G$504,0))),NA())</f>
      </c>
      <c r="F17" s="18">
        <f>IFERROR(IF(INDEX(Registro!$J$5:$J$504,MATCH($B$3&amp;"|"&amp;$A17,Registro!$G$5:$G$504,0))="",NA(),INDEX(Registro!$J$5:$J$504,MATCH($B$3&amp;"|"&amp;$A17,Registro!$G$5:$G$504,0))),NA())</f>
      </c>
    </row>
    <row r="18" spans="1:6" x14ac:dyDescent="0.25">
      <c r="A18" s="16">
        <v>13</v>
      </c>
      <c r="B18" s="23">
        <f>IFERROR(INDEX(Registro!$B$5:$B$504,MATCH($B$3&amp;"|"&amp;$A18,Registro!$G$5:$G$504,0)),NA())</f>
      </c>
      <c r="C18" s="16">
        <f>IF(ISNA(B18),NA(),B18-$B$6)</f>
      </c>
      <c r="D18" s="24">
        <f>IFERROR(INDEX(Registro!$C$5:$C$504,MATCH($B$3&amp;"|"&amp;$A18,Registro!$G$5:$G$504,0)),NA())</f>
      </c>
      <c r="E18" s="17">
        <f>IFERROR(IF(INDEX(Registro!$H$5:$H$504,MATCH($B$3&amp;"|"&amp;$A18,Registro!$G$5:$G$504,0))="",NA(),INDEX(Registro!$H$5:$H$504,MATCH($B$3&amp;"|"&amp;$A18,Registro!$G$5:$G$504,0))),NA())</f>
      </c>
      <c r="F18" s="18">
        <f>IFERROR(IF(INDEX(Registro!$J$5:$J$504,MATCH($B$3&amp;"|"&amp;$A18,Registro!$G$5:$G$504,0))="",NA(),INDEX(Registro!$J$5:$J$504,MATCH($B$3&amp;"|"&amp;$A18,Registro!$G$5:$G$504,0))),NA())</f>
      </c>
    </row>
    <row r="19" spans="1:6" x14ac:dyDescent="0.25">
      <c r="A19" s="16">
        <v>14</v>
      </c>
      <c r="B19" s="23">
        <f>IFERROR(INDEX(Registro!$B$5:$B$504,MATCH($B$3&amp;"|"&amp;$A19,Registro!$G$5:$G$504,0)),NA())</f>
      </c>
      <c r="C19" s="16">
        <f>IF(ISNA(B19),NA(),B19-$B$6)</f>
      </c>
      <c r="D19" s="24">
        <f>IFERROR(INDEX(Registro!$C$5:$C$504,MATCH($B$3&amp;"|"&amp;$A19,Registro!$G$5:$G$504,0)),NA())</f>
      </c>
      <c r="E19" s="17">
        <f>IFERROR(IF(INDEX(Registro!$H$5:$H$504,MATCH($B$3&amp;"|"&amp;$A19,Registro!$G$5:$G$504,0))="",NA(),INDEX(Registro!$H$5:$H$504,MATCH($B$3&amp;"|"&amp;$A19,Registro!$G$5:$G$504,0))),NA())</f>
      </c>
      <c r="F19" s="18">
        <f>IFERROR(IF(INDEX(Registro!$J$5:$J$504,MATCH($B$3&amp;"|"&amp;$A19,Registro!$G$5:$G$504,0))="",NA(),INDEX(Registro!$J$5:$J$504,MATCH($B$3&amp;"|"&amp;$A19,Registro!$G$5:$G$504,0))),NA())</f>
      </c>
    </row>
    <row r="20" spans="1:6" x14ac:dyDescent="0.25">
      <c r="A20" s="16">
        <v>15</v>
      </c>
      <c r="B20" s="23">
        <f>IFERROR(INDEX(Registro!$B$5:$B$504,MATCH($B$3&amp;"|"&amp;$A20,Registro!$G$5:$G$504,0)),NA())</f>
      </c>
      <c r="C20" s="16">
        <f>IF(ISNA(B20),NA(),B20-$B$6)</f>
      </c>
      <c r="D20" s="24">
        <f>IFERROR(INDEX(Registro!$C$5:$C$504,MATCH($B$3&amp;"|"&amp;$A20,Registro!$G$5:$G$504,0)),NA())</f>
      </c>
      <c r="E20" s="17">
        <f>IFERROR(IF(INDEX(Registro!$H$5:$H$504,MATCH($B$3&amp;"|"&amp;$A20,Registro!$G$5:$G$504,0))="",NA(),INDEX(Registro!$H$5:$H$504,MATCH($B$3&amp;"|"&amp;$A20,Registro!$G$5:$G$504,0))),NA())</f>
      </c>
      <c r="F20" s="18">
        <f>IFERROR(IF(INDEX(Registro!$J$5:$J$504,MATCH($B$3&amp;"|"&amp;$A20,Registro!$G$5:$G$504,0))="",NA(),INDEX(Registro!$J$5:$J$504,MATCH($B$3&amp;"|"&amp;$A20,Registro!$G$5:$G$504,0))),NA())</f>
      </c>
    </row>
    <row r="21" spans="1:6" x14ac:dyDescent="0.25">
      <c r="A21" s="16">
        <v>16</v>
      </c>
      <c r="B21" s="23">
        <f>IFERROR(INDEX(Registro!$B$5:$B$504,MATCH($B$3&amp;"|"&amp;$A21,Registro!$G$5:$G$504,0)),NA())</f>
      </c>
      <c r="C21" s="16">
        <f>IF(ISNA(B21),NA(),B21-$B$6)</f>
      </c>
      <c r="D21" s="24">
        <f>IFERROR(INDEX(Registro!$C$5:$C$504,MATCH($B$3&amp;"|"&amp;$A21,Registro!$G$5:$G$504,0)),NA())</f>
      </c>
      <c r="E21" s="17">
        <f>IFERROR(IF(INDEX(Registro!$H$5:$H$504,MATCH($B$3&amp;"|"&amp;$A21,Registro!$G$5:$G$504,0))="",NA(),INDEX(Registro!$H$5:$H$504,MATCH($B$3&amp;"|"&amp;$A21,Registro!$G$5:$G$504,0))),NA())</f>
      </c>
      <c r="F21" s="18">
        <f>IFERROR(IF(INDEX(Registro!$J$5:$J$504,MATCH($B$3&amp;"|"&amp;$A21,Registro!$G$5:$G$504,0))="",NA(),INDEX(Registro!$J$5:$J$504,MATCH($B$3&amp;"|"&amp;$A21,Registro!$G$5:$G$504,0))),NA())</f>
      </c>
    </row>
    <row r="22" spans="1:6" x14ac:dyDescent="0.25">
      <c r="A22" s="16">
        <v>17</v>
      </c>
      <c r="B22" s="23">
        <f>IFERROR(INDEX(Registro!$B$5:$B$504,MATCH($B$3&amp;"|"&amp;$A22,Registro!$G$5:$G$504,0)),NA())</f>
      </c>
      <c r="C22" s="16">
        <f>IF(ISNA(B22),NA(),B22-$B$6)</f>
      </c>
      <c r="D22" s="24">
        <f>IFERROR(INDEX(Registro!$C$5:$C$504,MATCH($B$3&amp;"|"&amp;$A22,Registro!$G$5:$G$504,0)),NA())</f>
      </c>
      <c r="E22" s="17">
        <f>IFERROR(IF(INDEX(Registro!$H$5:$H$504,MATCH($B$3&amp;"|"&amp;$A22,Registro!$G$5:$G$504,0))="",NA(),INDEX(Registro!$H$5:$H$504,MATCH($B$3&amp;"|"&amp;$A22,Registro!$G$5:$G$504,0))),NA())</f>
      </c>
      <c r="F22" s="18">
        <f>IFERROR(IF(INDEX(Registro!$J$5:$J$504,MATCH($B$3&amp;"|"&amp;$A22,Registro!$G$5:$G$504,0))="",NA(),INDEX(Registro!$J$5:$J$504,MATCH($B$3&amp;"|"&amp;$A22,Registro!$G$5:$G$504,0))),NA())</f>
      </c>
    </row>
    <row r="23" spans="1:6" x14ac:dyDescent="0.25">
      <c r="A23" s="16">
        <v>18</v>
      </c>
      <c r="B23" s="23">
        <f>IFERROR(INDEX(Registro!$B$5:$B$504,MATCH($B$3&amp;"|"&amp;$A23,Registro!$G$5:$G$504,0)),NA())</f>
      </c>
      <c r="C23" s="16">
        <f>IF(ISNA(B23),NA(),B23-$B$6)</f>
      </c>
      <c r="D23" s="24">
        <f>IFERROR(INDEX(Registro!$C$5:$C$504,MATCH($B$3&amp;"|"&amp;$A23,Registro!$G$5:$G$504,0)),NA())</f>
      </c>
      <c r="E23" s="17">
        <f>IFERROR(IF(INDEX(Registro!$H$5:$H$504,MATCH($B$3&amp;"|"&amp;$A23,Registro!$G$5:$G$504,0))="",NA(),INDEX(Registro!$H$5:$H$504,MATCH($B$3&amp;"|"&amp;$A23,Registro!$G$5:$G$504,0))),NA())</f>
      </c>
      <c r="F23" s="18">
        <f>IFERROR(IF(INDEX(Registro!$J$5:$J$504,MATCH($B$3&amp;"|"&amp;$A23,Registro!$G$5:$G$504,0))="",NA(),INDEX(Registro!$J$5:$J$504,MATCH($B$3&amp;"|"&amp;$A23,Registro!$G$5:$G$504,0))),NA())</f>
      </c>
    </row>
    <row r="24" spans="1:6" x14ac:dyDescent="0.25">
      <c r="A24" s="16">
        <v>19</v>
      </c>
      <c r="B24" s="23">
        <f>IFERROR(INDEX(Registro!$B$5:$B$504,MATCH($B$3&amp;"|"&amp;$A24,Registro!$G$5:$G$504,0)),NA())</f>
      </c>
      <c r="C24" s="16">
        <f>IF(ISNA(B24),NA(),B24-$B$6)</f>
      </c>
      <c r="D24" s="24">
        <f>IFERROR(INDEX(Registro!$C$5:$C$504,MATCH($B$3&amp;"|"&amp;$A24,Registro!$G$5:$G$504,0)),NA())</f>
      </c>
      <c r="E24" s="17">
        <f>IFERROR(IF(INDEX(Registro!$H$5:$H$504,MATCH($B$3&amp;"|"&amp;$A24,Registro!$G$5:$G$504,0))="",NA(),INDEX(Registro!$H$5:$H$504,MATCH($B$3&amp;"|"&amp;$A24,Registro!$G$5:$G$504,0))),NA())</f>
      </c>
      <c r="F24" s="18">
        <f>IFERROR(IF(INDEX(Registro!$J$5:$J$504,MATCH($B$3&amp;"|"&amp;$A24,Registro!$G$5:$G$504,0))="",NA(),INDEX(Registro!$J$5:$J$504,MATCH($B$3&amp;"|"&amp;$A24,Registro!$G$5:$G$504,0))),NA())</f>
      </c>
    </row>
    <row r="25" spans="1:6" x14ac:dyDescent="0.25">
      <c r="A25" s="16">
        <v>20</v>
      </c>
      <c r="B25" s="23">
        <f>IFERROR(INDEX(Registro!$B$5:$B$504,MATCH($B$3&amp;"|"&amp;$A25,Registro!$G$5:$G$504,0)),NA())</f>
      </c>
      <c r="C25" s="16">
        <f>IF(ISNA(B25),NA(),B25-$B$6)</f>
      </c>
      <c r="D25" s="24">
        <f>IFERROR(INDEX(Registro!$C$5:$C$504,MATCH($B$3&amp;"|"&amp;$A25,Registro!$G$5:$G$504,0)),NA())</f>
      </c>
      <c r="E25" s="17">
        <f>IFERROR(IF(INDEX(Registro!$H$5:$H$504,MATCH($B$3&amp;"|"&amp;$A25,Registro!$G$5:$G$504,0))="",NA(),INDEX(Registro!$H$5:$H$504,MATCH($B$3&amp;"|"&amp;$A25,Registro!$G$5:$G$504,0))),NA())</f>
      </c>
      <c r="F25" s="18">
        <f>IFERROR(IF(INDEX(Registro!$J$5:$J$504,MATCH($B$3&amp;"|"&amp;$A25,Registro!$G$5:$G$504,0))="",NA(),INDEX(Registro!$J$5:$J$504,MATCH($B$3&amp;"|"&amp;$A25,Registro!$G$5:$G$504,0))),NA())</f>
      </c>
    </row>
    <row r="26" spans="1:6" x14ac:dyDescent="0.25">
      <c r="A26" s="16">
        <v>21</v>
      </c>
      <c r="B26" s="23">
        <f>IFERROR(INDEX(Registro!$B$5:$B$504,MATCH($B$3&amp;"|"&amp;$A26,Registro!$G$5:$G$504,0)),NA())</f>
      </c>
      <c r="C26" s="16">
        <f>IF(ISNA(B26),NA(),B26-$B$6)</f>
      </c>
      <c r="D26" s="24">
        <f>IFERROR(INDEX(Registro!$C$5:$C$504,MATCH($B$3&amp;"|"&amp;$A26,Registro!$G$5:$G$504,0)),NA())</f>
      </c>
      <c r="E26" s="17">
        <f>IFERROR(IF(INDEX(Registro!$H$5:$H$504,MATCH($B$3&amp;"|"&amp;$A26,Registro!$G$5:$G$504,0))="",NA(),INDEX(Registro!$H$5:$H$504,MATCH($B$3&amp;"|"&amp;$A26,Registro!$G$5:$G$504,0))),NA())</f>
      </c>
      <c r="F26" s="18">
        <f>IFERROR(IF(INDEX(Registro!$J$5:$J$504,MATCH($B$3&amp;"|"&amp;$A26,Registro!$G$5:$G$504,0))="",NA(),INDEX(Registro!$J$5:$J$504,MATCH($B$3&amp;"|"&amp;$A26,Registro!$G$5:$G$504,0))),NA())</f>
      </c>
    </row>
    <row r="27" spans="1:6" x14ac:dyDescent="0.25">
      <c r="A27" s="16">
        <v>22</v>
      </c>
      <c r="B27" s="23">
        <f>IFERROR(INDEX(Registro!$B$5:$B$504,MATCH($B$3&amp;"|"&amp;$A27,Registro!$G$5:$G$504,0)),NA())</f>
      </c>
      <c r="C27" s="16">
        <f>IF(ISNA(B27),NA(),B27-$B$6)</f>
      </c>
      <c r="D27" s="24">
        <f>IFERROR(INDEX(Registro!$C$5:$C$504,MATCH($B$3&amp;"|"&amp;$A27,Registro!$G$5:$G$504,0)),NA())</f>
      </c>
      <c r="E27" s="17">
        <f>IFERROR(IF(INDEX(Registro!$H$5:$H$504,MATCH($B$3&amp;"|"&amp;$A27,Registro!$G$5:$G$504,0))="",NA(),INDEX(Registro!$H$5:$H$504,MATCH($B$3&amp;"|"&amp;$A27,Registro!$G$5:$G$504,0))),NA())</f>
      </c>
      <c r="F27" s="18">
        <f>IFERROR(IF(INDEX(Registro!$J$5:$J$504,MATCH($B$3&amp;"|"&amp;$A27,Registro!$G$5:$G$504,0))="",NA(),INDEX(Registro!$J$5:$J$504,MATCH($B$3&amp;"|"&amp;$A27,Registro!$G$5:$G$504,0))),NA())</f>
      </c>
    </row>
    <row r="28" spans="1:6" x14ac:dyDescent="0.25">
      <c r="A28" s="16">
        <v>23</v>
      </c>
      <c r="B28" s="23">
        <f>IFERROR(INDEX(Registro!$B$5:$B$504,MATCH($B$3&amp;"|"&amp;$A28,Registro!$G$5:$G$504,0)),NA())</f>
      </c>
      <c r="C28" s="16">
        <f>IF(ISNA(B28),NA(),B28-$B$6)</f>
      </c>
      <c r="D28" s="24">
        <f>IFERROR(INDEX(Registro!$C$5:$C$504,MATCH($B$3&amp;"|"&amp;$A28,Registro!$G$5:$G$504,0)),NA())</f>
      </c>
      <c r="E28" s="17">
        <f>IFERROR(IF(INDEX(Registro!$H$5:$H$504,MATCH($B$3&amp;"|"&amp;$A28,Registro!$G$5:$G$504,0))="",NA(),INDEX(Registro!$H$5:$H$504,MATCH($B$3&amp;"|"&amp;$A28,Registro!$G$5:$G$504,0))),NA())</f>
      </c>
      <c r="F28" s="18">
        <f>IFERROR(IF(INDEX(Registro!$J$5:$J$504,MATCH($B$3&amp;"|"&amp;$A28,Registro!$G$5:$G$504,0))="",NA(),INDEX(Registro!$J$5:$J$504,MATCH($B$3&amp;"|"&amp;$A28,Registro!$G$5:$G$504,0))),NA())</f>
      </c>
    </row>
    <row r="29" spans="1:6" x14ac:dyDescent="0.25">
      <c r="A29" s="16">
        <v>24</v>
      </c>
      <c r="B29" s="23">
        <f>IFERROR(INDEX(Registro!$B$5:$B$504,MATCH($B$3&amp;"|"&amp;$A29,Registro!$G$5:$G$504,0)),NA())</f>
      </c>
      <c r="C29" s="16">
        <f>IF(ISNA(B29),NA(),B29-$B$6)</f>
      </c>
      <c r="D29" s="24">
        <f>IFERROR(INDEX(Registro!$C$5:$C$504,MATCH($B$3&amp;"|"&amp;$A29,Registro!$G$5:$G$504,0)),NA())</f>
      </c>
      <c r="E29" s="17">
        <f>IFERROR(IF(INDEX(Registro!$H$5:$H$504,MATCH($B$3&amp;"|"&amp;$A29,Registro!$G$5:$G$504,0))="",NA(),INDEX(Registro!$H$5:$H$504,MATCH($B$3&amp;"|"&amp;$A29,Registro!$G$5:$G$504,0))),NA())</f>
      </c>
      <c r="F29" s="18">
        <f>IFERROR(IF(INDEX(Registro!$J$5:$J$504,MATCH($B$3&amp;"|"&amp;$A29,Registro!$G$5:$G$504,0))="",NA(),INDEX(Registro!$J$5:$J$504,MATCH($B$3&amp;"|"&amp;$A29,Registro!$G$5:$G$504,0))),NA())</f>
      </c>
    </row>
    <row r="30" spans="1:6" x14ac:dyDescent="0.25">
      <c r="A30" s="16">
        <v>25</v>
      </c>
      <c r="B30" s="23">
        <f>IFERROR(INDEX(Registro!$B$5:$B$504,MATCH($B$3&amp;"|"&amp;$A30,Registro!$G$5:$G$504,0)),NA())</f>
      </c>
      <c r="C30" s="16">
        <f>IF(ISNA(B30),NA(),B30-$B$6)</f>
      </c>
      <c r="D30" s="24">
        <f>IFERROR(INDEX(Registro!$C$5:$C$504,MATCH($B$3&amp;"|"&amp;$A30,Registro!$G$5:$G$504,0)),NA())</f>
      </c>
      <c r="E30" s="17">
        <f>IFERROR(IF(INDEX(Registro!$H$5:$H$504,MATCH($B$3&amp;"|"&amp;$A30,Registro!$G$5:$G$504,0))="",NA(),INDEX(Registro!$H$5:$H$504,MATCH($B$3&amp;"|"&amp;$A30,Registro!$G$5:$G$504,0))),NA())</f>
      </c>
      <c r="F30" s="18">
        <f>IFERROR(IF(INDEX(Registro!$J$5:$J$504,MATCH($B$3&amp;"|"&amp;$A30,Registro!$G$5:$G$504,0))="",NA(),INDEX(Registro!$J$5:$J$504,MATCH($B$3&amp;"|"&amp;$A30,Registro!$G$5:$G$504,0))),NA())</f>
      </c>
    </row>
    <row r="31" spans="1:6" x14ac:dyDescent="0.25">
      <c r="A31" s="16">
        <v>26</v>
      </c>
      <c r="B31" s="23">
        <f>IFERROR(INDEX(Registro!$B$5:$B$504,MATCH($B$3&amp;"|"&amp;$A31,Registro!$G$5:$G$504,0)),NA())</f>
      </c>
      <c r="C31" s="16">
        <f>IF(ISNA(B31),NA(),B31-$B$6)</f>
      </c>
      <c r="D31" s="24">
        <f>IFERROR(INDEX(Registro!$C$5:$C$504,MATCH($B$3&amp;"|"&amp;$A31,Registro!$G$5:$G$504,0)),NA())</f>
      </c>
      <c r="E31" s="17">
        <f>IFERROR(IF(INDEX(Registro!$H$5:$H$504,MATCH($B$3&amp;"|"&amp;$A31,Registro!$G$5:$G$504,0))="",NA(),INDEX(Registro!$H$5:$H$504,MATCH($B$3&amp;"|"&amp;$A31,Registro!$G$5:$G$504,0))),NA())</f>
      </c>
      <c r="F31" s="18">
        <f>IFERROR(IF(INDEX(Registro!$J$5:$J$504,MATCH($B$3&amp;"|"&amp;$A31,Registro!$G$5:$G$504,0))="",NA(),INDEX(Registro!$J$5:$J$504,MATCH($B$3&amp;"|"&amp;$A31,Registro!$G$5:$G$504,0))),NA())</f>
      </c>
    </row>
    <row r="32" spans="1:6" x14ac:dyDescent="0.25">
      <c r="A32" s="16">
        <v>27</v>
      </c>
      <c r="B32" s="23">
        <f>IFERROR(INDEX(Registro!$B$5:$B$504,MATCH($B$3&amp;"|"&amp;$A32,Registro!$G$5:$G$504,0)),NA())</f>
      </c>
      <c r="C32" s="16">
        <f>IF(ISNA(B32),NA(),B32-$B$6)</f>
      </c>
      <c r="D32" s="24">
        <f>IFERROR(INDEX(Registro!$C$5:$C$504,MATCH($B$3&amp;"|"&amp;$A32,Registro!$G$5:$G$504,0)),NA())</f>
      </c>
      <c r="E32" s="17">
        <f>IFERROR(IF(INDEX(Registro!$H$5:$H$504,MATCH($B$3&amp;"|"&amp;$A32,Registro!$G$5:$G$504,0))="",NA(),INDEX(Registro!$H$5:$H$504,MATCH($B$3&amp;"|"&amp;$A32,Registro!$G$5:$G$504,0))),NA())</f>
      </c>
      <c r="F32" s="18">
        <f>IFERROR(IF(INDEX(Registro!$J$5:$J$504,MATCH($B$3&amp;"|"&amp;$A32,Registro!$G$5:$G$504,0))="",NA(),INDEX(Registro!$J$5:$J$504,MATCH($B$3&amp;"|"&amp;$A32,Registro!$G$5:$G$504,0))),NA())</f>
      </c>
    </row>
    <row r="33" spans="1:6" x14ac:dyDescent="0.25">
      <c r="A33" s="16">
        <v>28</v>
      </c>
      <c r="B33" s="23">
        <f>IFERROR(INDEX(Registro!$B$5:$B$504,MATCH($B$3&amp;"|"&amp;$A33,Registro!$G$5:$G$504,0)),NA())</f>
      </c>
      <c r="C33" s="16">
        <f>IF(ISNA(B33),NA(),B33-$B$6)</f>
      </c>
      <c r="D33" s="24">
        <f>IFERROR(INDEX(Registro!$C$5:$C$504,MATCH($B$3&amp;"|"&amp;$A33,Registro!$G$5:$G$504,0)),NA())</f>
      </c>
      <c r="E33" s="17">
        <f>IFERROR(IF(INDEX(Registro!$H$5:$H$504,MATCH($B$3&amp;"|"&amp;$A33,Registro!$G$5:$G$504,0))="",NA(),INDEX(Registro!$H$5:$H$504,MATCH($B$3&amp;"|"&amp;$A33,Registro!$G$5:$G$504,0))),NA())</f>
      </c>
      <c r="F33" s="18">
        <f>IFERROR(IF(INDEX(Registro!$J$5:$J$504,MATCH($B$3&amp;"|"&amp;$A33,Registro!$G$5:$G$504,0))="",NA(),INDEX(Registro!$J$5:$J$504,MATCH($B$3&amp;"|"&amp;$A33,Registro!$G$5:$G$504,0))),NA())</f>
      </c>
    </row>
    <row r="34" spans="1:6" x14ac:dyDescent="0.25">
      <c r="A34" s="16">
        <v>29</v>
      </c>
      <c r="B34" s="23">
        <f>IFERROR(INDEX(Registro!$B$5:$B$504,MATCH($B$3&amp;"|"&amp;$A34,Registro!$G$5:$G$504,0)),NA())</f>
      </c>
      <c r="C34" s="16">
        <f>IF(ISNA(B34),NA(),B34-$B$6)</f>
      </c>
      <c r="D34" s="24">
        <f>IFERROR(INDEX(Registro!$C$5:$C$504,MATCH($B$3&amp;"|"&amp;$A34,Registro!$G$5:$G$504,0)),NA())</f>
      </c>
      <c r="E34" s="17">
        <f>IFERROR(IF(INDEX(Registro!$H$5:$H$504,MATCH($B$3&amp;"|"&amp;$A34,Registro!$G$5:$G$504,0))="",NA(),INDEX(Registro!$H$5:$H$504,MATCH($B$3&amp;"|"&amp;$A34,Registro!$G$5:$G$504,0))),NA())</f>
      </c>
      <c r="F34" s="18">
        <f>IFERROR(IF(INDEX(Registro!$J$5:$J$504,MATCH($B$3&amp;"|"&amp;$A34,Registro!$G$5:$G$504,0))="",NA(),INDEX(Registro!$J$5:$J$504,MATCH($B$3&amp;"|"&amp;$A34,Registro!$G$5:$G$504,0))),NA())</f>
      </c>
    </row>
    <row r="35" spans="1:6" x14ac:dyDescent="0.25">
      <c r="A35" s="16">
        <v>30</v>
      </c>
      <c r="B35" s="23">
        <f>IFERROR(INDEX(Registro!$B$5:$B$504,MATCH($B$3&amp;"|"&amp;$A35,Registro!$G$5:$G$504,0)),NA())</f>
      </c>
      <c r="C35" s="16">
        <f>IF(ISNA(B35),NA(),B35-$B$6)</f>
      </c>
      <c r="D35" s="24">
        <f>IFERROR(INDEX(Registro!$C$5:$C$504,MATCH($B$3&amp;"|"&amp;$A35,Registro!$G$5:$G$504,0)),NA())</f>
      </c>
      <c r="E35" s="17">
        <f>IFERROR(IF(INDEX(Registro!$H$5:$H$504,MATCH($B$3&amp;"|"&amp;$A35,Registro!$G$5:$G$504,0))="",NA(),INDEX(Registro!$H$5:$H$504,MATCH($B$3&amp;"|"&amp;$A35,Registro!$G$5:$G$504,0))),NA())</f>
      </c>
      <c r="F35" s="18">
        <f>IFERROR(IF(INDEX(Registro!$J$5:$J$504,MATCH($B$3&amp;"|"&amp;$A35,Registro!$G$5:$G$504,0))="",NA(),INDEX(Registro!$J$5:$J$504,MATCH($B$3&amp;"|"&amp;$A35,Registro!$G$5:$G$504,0))),NA())</f>
      </c>
    </row>
    <row r="36" spans="1:6" x14ac:dyDescent="0.25">
      <c r="A36" s="16">
        <v>31</v>
      </c>
      <c r="B36" s="23">
        <f>IFERROR(INDEX(Registro!$B$5:$B$504,MATCH($B$3&amp;"|"&amp;$A36,Registro!$G$5:$G$504,0)),NA())</f>
      </c>
      <c r="C36" s="16">
        <f>IF(ISNA(B36),NA(),B36-$B$6)</f>
      </c>
      <c r="D36" s="24">
        <f>IFERROR(INDEX(Registro!$C$5:$C$504,MATCH($B$3&amp;"|"&amp;$A36,Registro!$G$5:$G$504,0)),NA())</f>
      </c>
      <c r="E36" s="17">
        <f>IFERROR(IF(INDEX(Registro!$H$5:$H$504,MATCH($B$3&amp;"|"&amp;$A36,Registro!$G$5:$G$504,0))="",NA(),INDEX(Registro!$H$5:$H$504,MATCH($B$3&amp;"|"&amp;$A36,Registro!$G$5:$G$504,0))),NA())</f>
      </c>
      <c r="F36" s="18">
        <f>IFERROR(IF(INDEX(Registro!$J$5:$J$504,MATCH($B$3&amp;"|"&amp;$A36,Registro!$G$5:$G$504,0))="",NA(),INDEX(Registro!$J$5:$J$504,MATCH($B$3&amp;"|"&amp;$A36,Registro!$G$5:$G$504,0))),NA())</f>
      </c>
    </row>
    <row r="37" spans="1:6" x14ac:dyDescent="0.25">
      <c r="A37" s="16">
        <v>32</v>
      </c>
      <c r="B37" s="23">
        <f>IFERROR(INDEX(Registro!$B$5:$B$504,MATCH($B$3&amp;"|"&amp;$A37,Registro!$G$5:$G$504,0)),NA())</f>
      </c>
      <c r="C37" s="16">
        <f>IF(ISNA(B37),NA(),B37-$B$6)</f>
      </c>
      <c r="D37" s="24">
        <f>IFERROR(INDEX(Registro!$C$5:$C$504,MATCH($B$3&amp;"|"&amp;$A37,Registro!$G$5:$G$504,0)),NA())</f>
      </c>
      <c r="E37" s="17">
        <f>IFERROR(IF(INDEX(Registro!$H$5:$H$504,MATCH($B$3&amp;"|"&amp;$A37,Registro!$G$5:$G$504,0))="",NA(),INDEX(Registro!$H$5:$H$504,MATCH($B$3&amp;"|"&amp;$A37,Registro!$G$5:$G$504,0))),NA())</f>
      </c>
      <c r="F37" s="18">
        <f>IFERROR(IF(INDEX(Registro!$J$5:$J$504,MATCH($B$3&amp;"|"&amp;$A37,Registro!$G$5:$G$504,0))="",NA(),INDEX(Registro!$J$5:$J$504,MATCH($B$3&amp;"|"&amp;$A37,Registro!$G$5:$G$504,0))),NA())</f>
      </c>
    </row>
    <row r="38" spans="1:6" x14ac:dyDescent="0.25">
      <c r="A38" s="16">
        <v>33</v>
      </c>
      <c r="B38" s="23">
        <f>IFERROR(INDEX(Registro!$B$5:$B$504,MATCH($B$3&amp;"|"&amp;$A38,Registro!$G$5:$G$504,0)),NA())</f>
      </c>
      <c r="C38" s="16">
        <f>IF(ISNA(B38),NA(),B38-$B$6)</f>
      </c>
      <c r="D38" s="24">
        <f>IFERROR(INDEX(Registro!$C$5:$C$504,MATCH($B$3&amp;"|"&amp;$A38,Registro!$G$5:$G$504,0)),NA())</f>
      </c>
      <c r="E38" s="17">
        <f>IFERROR(IF(INDEX(Registro!$H$5:$H$504,MATCH($B$3&amp;"|"&amp;$A38,Registro!$G$5:$G$504,0))="",NA(),INDEX(Registro!$H$5:$H$504,MATCH($B$3&amp;"|"&amp;$A38,Registro!$G$5:$G$504,0))),NA())</f>
      </c>
      <c r="F38" s="18">
        <f>IFERROR(IF(INDEX(Registro!$J$5:$J$504,MATCH($B$3&amp;"|"&amp;$A38,Registro!$G$5:$G$504,0))="",NA(),INDEX(Registro!$J$5:$J$504,MATCH($B$3&amp;"|"&amp;$A38,Registro!$G$5:$G$504,0))),NA())</f>
      </c>
    </row>
    <row r="39" spans="1:6" x14ac:dyDescent="0.25">
      <c r="A39" s="16">
        <v>34</v>
      </c>
      <c r="B39" s="23">
        <f>IFERROR(INDEX(Registro!$B$5:$B$504,MATCH($B$3&amp;"|"&amp;$A39,Registro!$G$5:$G$504,0)),NA())</f>
      </c>
      <c r="C39" s="16">
        <f>IF(ISNA(B39),NA(),B39-$B$6)</f>
      </c>
      <c r="D39" s="24">
        <f>IFERROR(INDEX(Registro!$C$5:$C$504,MATCH($B$3&amp;"|"&amp;$A39,Registro!$G$5:$G$504,0)),NA())</f>
      </c>
      <c r="E39" s="17">
        <f>IFERROR(IF(INDEX(Registro!$H$5:$H$504,MATCH($B$3&amp;"|"&amp;$A39,Registro!$G$5:$G$504,0))="",NA(),INDEX(Registro!$H$5:$H$504,MATCH($B$3&amp;"|"&amp;$A39,Registro!$G$5:$G$504,0))),NA())</f>
      </c>
      <c r="F39" s="18">
        <f>IFERROR(IF(INDEX(Registro!$J$5:$J$504,MATCH($B$3&amp;"|"&amp;$A39,Registro!$G$5:$G$504,0))="",NA(),INDEX(Registro!$J$5:$J$504,MATCH($B$3&amp;"|"&amp;$A39,Registro!$G$5:$G$504,0))),NA())</f>
      </c>
    </row>
    <row r="40" spans="1:6" x14ac:dyDescent="0.25">
      <c r="A40" s="16">
        <v>35</v>
      </c>
      <c r="B40" s="23">
        <f>IFERROR(INDEX(Registro!$B$5:$B$504,MATCH($B$3&amp;"|"&amp;$A40,Registro!$G$5:$G$504,0)),NA())</f>
      </c>
      <c r="C40" s="16">
        <f>IF(ISNA(B40),NA(),B40-$B$6)</f>
      </c>
      <c r="D40" s="24">
        <f>IFERROR(INDEX(Registro!$C$5:$C$504,MATCH($B$3&amp;"|"&amp;$A40,Registro!$G$5:$G$504,0)),NA())</f>
      </c>
      <c r="E40" s="17">
        <f>IFERROR(IF(INDEX(Registro!$H$5:$H$504,MATCH($B$3&amp;"|"&amp;$A40,Registro!$G$5:$G$504,0))="",NA(),INDEX(Registro!$H$5:$H$504,MATCH($B$3&amp;"|"&amp;$A40,Registro!$G$5:$G$504,0))),NA())</f>
      </c>
      <c r="F40" s="18">
        <f>IFERROR(IF(INDEX(Registro!$J$5:$J$504,MATCH($B$3&amp;"|"&amp;$A40,Registro!$G$5:$G$504,0))="",NA(),INDEX(Registro!$J$5:$J$504,MATCH($B$3&amp;"|"&amp;$A40,Registro!$G$5:$G$504,0))),NA())</f>
      </c>
    </row>
    <row r="41" spans="1:6" x14ac:dyDescent="0.25">
      <c r="A41" s="16">
        <v>36</v>
      </c>
      <c r="B41" s="23">
        <f>IFERROR(INDEX(Registro!$B$5:$B$504,MATCH($B$3&amp;"|"&amp;$A41,Registro!$G$5:$G$504,0)),NA())</f>
      </c>
      <c r="C41" s="16">
        <f>IF(ISNA(B41),NA(),B41-$B$6)</f>
      </c>
      <c r="D41" s="24">
        <f>IFERROR(INDEX(Registro!$C$5:$C$504,MATCH($B$3&amp;"|"&amp;$A41,Registro!$G$5:$G$504,0)),NA())</f>
      </c>
      <c r="E41" s="17">
        <f>IFERROR(IF(INDEX(Registro!$H$5:$H$504,MATCH($B$3&amp;"|"&amp;$A41,Registro!$G$5:$G$504,0))="",NA(),INDEX(Registro!$H$5:$H$504,MATCH($B$3&amp;"|"&amp;$A41,Registro!$G$5:$G$504,0))),NA())</f>
      </c>
      <c r="F41" s="18">
        <f>IFERROR(IF(INDEX(Registro!$J$5:$J$504,MATCH($B$3&amp;"|"&amp;$A41,Registro!$G$5:$G$504,0))="",NA(),INDEX(Registro!$J$5:$J$504,MATCH($B$3&amp;"|"&amp;$A41,Registro!$G$5:$G$504,0))),NA())</f>
      </c>
    </row>
    <row r="42" spans="1:6" x14ac:dyDescent="0.25">
      <c r="A42" s="16">
        <v>37</v>
      </c>
      <c r="B42" s="23">
        <f>IFERROR(INDEX(Registro!$B$5:$B$504,MATCH($B$3&amp;"|"&amp;$A42,Registro!$G$5:$G$504,0)),NA())</f>
      </c>
      <c r="C42" s="16">
        <f>IF(ISNA(B42),NA(),B42-$B$6)</f>
      </c>
      <c r="D42" s="24">
        <f>IFERROR(INDEX(Registro!$C$5:$C$504,MATCH($B$3&amp;"|"&amp;$A42,Registro!$G$5:$G$504,0)),NA())</f>
      </c>
      <c r="E42" s="17">
        <f>IFERROR(IF(INDEX(Registro!$H$5:$H$504,MATCH($B$3&amp;"|"&amp;$A42,Registro!$G$5:$G$504,0))="",NA(),INDEX(Registro!$H$5:$H$504,MATCH($B$3&amp;"|"&amp;$A42,Registro!$G$5:$G$504,0))),NA())</f>
      </c>
      <c r="F42" s="18">
        <f>IFERROR(IF(INDEX(Registro!$J$5:$J$504,MATCH($B$3&amp;"|"&amp;$A42,Registro!$G$5:$G$504,0))="",NA(),INDEX(Registro!$J$5:$J$504,MATCH($B$3&amp;"|"&amp;$A42,Registro!$G$5:$G$504,0))),NA())</f>
      </c>
    </row>
    <row r="43" spans="1:6" x14ac:dyDescent="0.25">
      <c r="A43" s="16">
        <v>38</v>
      </c>
      <c r="B43" s="23">
        <f>IFERROR(INDEX(Registro!$B$5:$B$504,MATCH($B$3&amp;"|"&amp;$A43,Registro!$G$5:$G$504,0)),NA())</f>
      </c>
      <c r="C43" s="16">
        <f>IF(ISNA(B43),NA(),B43-$B$6)</f>
      </c>
      <c r="D43" s="24">
        <f>IFERROR(INDEX(Registro!$C$5:$C$504,MATCH($B$3&amp;"|"&amp;$A43,Registro!$G$5:$G$504,0)),NA())</f>
      </c>
      <c r="E43" s="17">
        <f>IFERROR(IF(INDEX(Registro!$H$5:$H$504,MATCH($B$3&amp;"|"&amp;$A43,Registro!$G$5:$G$504,0))="",NA(),INDEX(Registro!$H$5:$H$504,MATCH($B$3&amp;"|"&amp;$A43,Registro!$G$5:$G$504,0))),NA())</f>
      </c>
      <c r="F43" s="18">
        <f>IFERROR(IF(INDEX(Registro!$J$5:$J$504,MATCH($B$3&amp;"|"&amp;$A43,Registro!$G$5:$G$504,0))="",NA(),INDEX(Registro!$J$5:$J$504,MATCH($B$3&amp;"|"&amp;$A43,Registro!$G$5:$G$504,0))),NA())</f>
      </c>
    </row>
    <row r="44" spans="1:6" x14ac:dyDescent="0.25">
      <c r="A44" s="16">
        <v>39</v>
      </c>
      <c r="B44" s="23">
        <f>IFERROR(INDEX(Registro!$B$5:$B$504,MATCH($B$3&amp;"|"&amp;$A44,Registro!$G$5:$G$504,0)),NA())</f>
      </c>
      <c r="C44" s="16">
        <f>IF(ISNA(B44),NA(),B44-$B$6)</f>
      </c>
      <c r="D44" s="24">
        <f>IFERROR(INDEX(Registro!$C$5:$C$504,MATCH($B$3&amp;"|"&amp;$A44,Registro!$G$5:$G$504,0)),NA())</f>
      </c>
      <c r="E44" s="17">
        <f>IFERROR(IF(INDEX(Registro!$H$5:$H$504,MATCH($B$3&amp;"|"&amp;$A44,Registro!$G$5:$G$504,0))="",NA(),INDEX(Registro!$H$5:$H$504,MATCH($B$3&amp;"|"&amp;$A44,Registro!$G$5:$G$504,0))),NA())</f>
      </c>
      <c r="F44" s="18">
        <f>IFERROR(IF(INDEX(Registro!$J$5:$J$504,MATCH($B$3&amp;"|"&amp;$A44,Registro!$G$5:$G$504,0))="",NA(),INDEX(Registro!$J$5:$J$504,MATCH($B$3&amp;"|"&amp;$A44,Registro!$G$5:$G$504,0))),NA())</f>
      </c>
    </row>
    <row r="45" spans="1:6" x14ac:dyDescent="0.25">
      <c r="A45" s="16">
        <v>40</v>
      </c>
      <c r="B45" s="23">
        <f>IFERROR(INDEX(Registro!$B$5:$B$504,MATCH($B$3&amp;"|"&amp;$A45,Registro!$G$5:$G$504,0)),NA())</f>
      </c>
      <c r="C45" s="16">
        <f>IF(ISNA(B45),NA(),B45-$B$6)</f>
      </c>
      <c r="D45" s="24">
        <f>IFERROR(INDEX(Registro!$C$5:$C$504,MATCH($B$3&amp;"|"&amp;$A45,Registro!$G$5:$G$504,0)),NA())</f>
      </c>
      <c r="E45" s="17">
        <f>IFERROR(IF(INDEX(Registro!$H$5:$H$504,MATCH($B$3&amp;"|"&amp;$A45,Registro!$G$5:$G$504,0))="",NA(),INDEX(Registro!$H$5:$H$504,MATCH($B$3&amp;"|"&amp;$A45,Registro!$G$5:$G$504,0))),NA())</f>
      </c>
      <c r="F45" s="18">
        <f>IFERROR(IF(INDEX(Registro!$J$5:$J$504,MATCH($B$3&amp;"|"&amp;$A45,Registro!$G$5:$G$504,0))="",NA(),INDEX(Registro!$J$5:$J$504,MATCH($B$3&amp;"|"&amp;$A45,Registro!$G$5:$G$504,0))),NA())</f>
      </c>
    </row>
    <row r="47" spans="1:1" x14ac:dyDescent="0.25">
      <c r="A47" s="25" t="s">
        <v>71</v>
      </c>
    </row>
  </sheetData>
  <mergeCells count="3">
    <mergeCell ref="A1:I1"/>
    <mergeCell ref="A2:I2"/>
    <mergeCell ref="B3:C3"/>
  </mergeCells>
  <conditionalFormatting sqref="B6:F45">
    <cfRule type="expression" dxfId="1" priority="15">
      <formula>ISNA(B6)</formula>
    </cfRule>
  </conditionalFormatting>
  <dataValidations count="1">
    <dataValidation type="list" showErrorMessage="1" errorTitle="Elige un ejemplar" error="Elige un ejemplar de la lista." sqref="B3:C3">
      <formula1>Ejemplares!$A$5:$A$64</formula1>
    </dataValidation>
  </dataValidations>
  <pageSetup paperSize="1" orientation="landscape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Instrucciones</vt:lpstr>
      <vt:lpstr>Ejemplares</vt:lpstr>
      <vt:lpstr>Registro</vt:lpstr>
      <vt:lpstr>Curva</vt:lpstr>
    </vt:vector>
  </TitlesOfParts>
  <Company>Zoorigen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Zoorigen</dc:creator>
  <dc:title>Registro de peso y curva de crecimiento por ejemplar</dc:title>
  <dc:subject>Registro de pesos por ejemplar con curva de crecimiento y ganancia entre pesajes</dc:subject>
  <dc:description/>
  <cp:keywords>Zoorigen; Club VIP; material de apoyo</cp:keywords>
  <cp:category/>
  <cp:lastModifiedBy>Zoorigen</cp:lastModifiedBy>
  <dcterms:created xsi:type="dcterms:W3CDTF">2026-10-22T12:00:00Z</dcterms:created>
  <dcterms:modified xsi:type="dcterms:W3CDTF">2026-10-22T12:00:00Z</dcterms:modified>
</cp:coreProperties>
</file>