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tocolo" state="visible" r:id="rId5"/>
    <sheet sheetId="3" name="Registro" state="visible" r:id="rId6"/>
    <sheet sheetId="4" name="Resumen" state="visible" r:id="rId7"/>
  </sheets>
  <calcPr calcId="171027" fullCalcOnLoad="1"/>
</workbook>
</file>

<file path=xl/sharedStrings.xml><?xml version="1.0" encoding="utf-8"?>
<sst xmlns="http://schemas.openxmlformats.org/spreadsheetml/2006/main" count="105" uniqueCount="73">
  <si>
    <t>Calendario de vacunación y desparasitación (tu propio protocolo)</t>
  </si>
  <si>
    <t>Zoorigen · Club VIP · Versión 1.0 · 22 de octubre de 2026 · Material original de Zoorigen</t>
  </si>
  <si>
    <t>Para qué sirve</t>
  </si>
  <si>
    <t/>
  </si>
  <si>
    <t>Escribe el protocolo que define y autoriza tu médico veterinario responsable (qué actividad, cada cuánto) y registra cuándo se aplicó cada una: el libro calcula la próxima fecha, los días que faltan y marca lo vigente, lo que está por vencer y lo vencido. La hoja NO sugiere productos, dosis, esquemas ni intervalos: los pones tú.</t>
  </si>
  <si>
    <t>Qué hay en cada hoja</t>
  </si>
  <si>
    <t>Protocolo</t>
  </si>
  <si>
    <t>Tus actividades preventivas y cada cuánto se repiten. Es lo único que debes definir.</t>
  </si>
  <si>
    <t>Registro</t>
  </si>
  <si>
    <t>Cada aplicación realizada: ejemplar, actividad y fecha. Calcula la próxima fecha y el estado.</t>
  </si>
  <si>
    <t>Resumen</t>
  </si>
  <si>
    <t>Cuántas aplicaciones están vigentes, por vencer o vencidas, por actividad.</t>
  </si>
  <si>
    <t>Cómo usarlo, paso a paso</t>
  </si>
  <si>
    <t>Paso 1</t>
  </si>
  <si>
    <t>En «Protocolo» borra los EJEMPLOS y escribe tus actividades con el nombre que uses (por ejemplo «Actividad A»), su tipo y cada cuánto se repite (número y unidad: días, semanas o meses). Usa lo que indique tu médico veterinario.</t>
  </si>
  <si>
    <t>Paso 2</t>
  </si>
  <si>
    <t>En «Registro» elige el ejemplar, elige la actividad de la lista y escribe la fecha en que se aplicó. Anota el producto y el lote en la columna de texto si lo necesitas.</t>
  </si>
  <si>
    <t>Paso 3</t>
  </si>
  <si>
    <t>Cada vez que se repita una actividad, agrega un renglón nuevo. El libro toma como vigente solo la aplicación más reciente de cada ejemplar y actividad; las anteriores aparecen como «Reemplazada».</t>
  </si>
  <si>
    <t>Paso 4</t>
  </si>
  <si>
    <t>Mira la columna «Estado»: «Por vencer» aparece cuando faltan los días de aviso que definiste en el Protocolo (por defecto 30).</t>
  </si>
  <si>
    <t>Paso 5</t>
  </si>
  <si>
    <t>Revisa «Resumen» al empezar cada semana.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</si>
  <si>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</si>
  <si>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</si>
  <si>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</si>
  <si>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</si>
  <si>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</si>
  <si>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</si>
  <si>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</si>
  <si>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</si>
  <si>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Los intervalos y las actividades las define tu médico veterinario responsable. Este libro solo hace las cuentas de fechas.</t>
  </si>
  <si>
    <t>Para trámites oficiales usa los formatos que la autoridad te pida: esto es un registro interno.</t>
  </si>
  <si>
    <t>Aviso</t>
  </si>
  <si>
    <t>Material de apoyo de Zoorigen: no sustituye el criterio profesional ni la asesoría legal. Consulta siempre la normatividad vigente.</t>
  </si>
  <si>
    <t>Protocolo (lo defines tú)</t>
  </si>
  <si>
    <t>Zoorigen · Material de apoyo. Los nombres e intervalos del ejemplo son ilustrativos: NO son una recomendación.</t>
  </si>
  <si>
    <t>Actividad</t>
  </si>
  <si>
    <t>Tipo</t>
  </si>
  <si>
    <t>Se repite cada…</t>
  </si>
  <si>
    <t>Unidad</t>
  </si>
  <si>
    <t>Avisar con (días)</t>
  </si>
  <si>
    <t>Nota</t>
  </si>
  <si>
    <t>Actividad A (ejemplo)</t>
  </si>
  <si>
    <t>Vacunación</t>
  </si>
  <si>
    <t>meses</t>
  </si>
  <si>
    <t>EJEMPLO</t>
  </si>
  <si>
    <t>Actividad B (ejemplo)</t>
  </si>
  <si>
    <t>Desparasitación</t>
  </si>
  <si>
    <t>Actividad C (ejemplo)</t>
  </si>
  <si>
    <t>Otra actividad preventiva</t>
  </si>
  <si>
    <t>semanas</t>
  </si>
  <si>
    <t>Registro de aplicaciones</t>
  </si>
  <si>
    <t>Zoorigen · Material de apoyo. Una fila por aplicación realizada.</t>
  </si>
  <si>
    <t>Ejemplar</t>
  </si>
  <si>
    <t>Fecha de aplicación</t>
  </si>
  <si>
    <t>Producto y lote (texto libre)</t>
  </si>
  <si>
    <t>Responsable</t>
  </si>
  <si>
    <t>Próxima fecha</t>
  </si>
  <si>
    <t>Días para vencer</t>
  </si>
  <si>
    <t>¿Es la más reciente?</t>
  </si>
  <si>
    <t>Estado</t>
  </si>
  <si>
    <t>EJ-001</t>
  </si>
  <si>
    <t>Producto y lote (escríbelo tú)</t>
  </si>
  <si>
    <t>Nombre</t>
  </si>
  <si>
    <t>EJ-002</t>
  </si>
  <si>
    <t>EJ-003</t>
  </si>
  <si>
    <t>Resumen por actividad</t>
  </si>
  <si>
    <t>Cuenta solo la aplicación más reciente de cada ejemplar y actividad.</t>
  </si>
  <si>
    <t>Vigentes</t>
  </si>
  <si>
    <t>Por vencer</t>
  </si>
  <si>
    <t>Vencidas</t>
  </si>
  <si>
    <t>Con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</si>
</sst>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7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 applyProtection="1">
      <alignment vertical="center"/>
    </xf>
    <xf numFmtId="164" fontId="8" fillId="3" borderId="2" xfId="0" applyNumberFormat="1" applyFont="1" applyFill="1" applyBorder="1" applyAlignment="1" applyProtection="1">
      <alignment vertical="center"/>
      <protection locked="0"/>
    </xf>
    <xf numFmtId="164" fontId="9" fillId="5" borderId="2" xfId="0" applyNumberFormat="1" applyFont="1" applyFill="1" applyBorder="1" applyAlignment="1" applyProtection="1">
      <alignment vertical="center"/>
    </xf>
    <xf numFmtId="1" fontId="9" fillId="5" borderId="2" xfId="0" applyNumberFormat="1" applyFont="1" applyFill="1" applyBorder="1" applyAlignment="1" applyProtection="1">
      <alignment vertical="center"/>
    </xf>
    <xf numFmtId="164" fontId="5" fillId="0" borderId="2" xfId="0" applyNumberFormat="1" applyFont="1" applyBorder="1" applyAlignment="1" applyProtection="1">
      <alignment vertical="center"/>
      <protection locked="0"/>
    </xf>
    <xf numFmtId="0" fontId="10" fillId="2" borderId="2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/>
        <color rgb="FFB42318"/>
      </font>
      <fill>
        <patternFill patternType="solid">
          <fgColor rgb="FFFDE7E4"/>
          <bgColor rgb="FFFDE7E4"/>
        </patternFill>
      </fill>
    </dxf>
    <dxf>
      <font>
        <b/>
        <color rgb="FF7A5200"/>
      </font>
      <fill>
        <patternFill patternType="solid">
          <fgColor rgb="FFFDEFD0"/>
          <bgColor rgb="FFFDEFD0"/>
        </patternFill>
      </fill>
    </dxf>
    <dxf>
      <font>
        <b/>
        <color rgb="FF1F5F3A"/>
      </font>
      <fill>
        <patternFill patternType="solid">
          <fgColor rgb="FFE7F0E9"/>
          <bgColor rgb="FFE7F0E9"/>
        </patternFill>
      </fill>
    </dxf>
    <dxf>
      <font>
        <color rgb="FF6B7A70"/>
      </font>
    </dxf>
    <dxf>
      <font>
        <b/>
        <color rgb="FFB42318"/>
      </font>
      <fill>
        <patternFill patternType="solid">
          <fgColor rgb="FFFDE7E4"/>
          <bgColor rgb="FFFDE7E4"/>
        </patternFill>
      </fill>
    </dxf>
    <dxf>
      <font>
        <b/>
        <color rgb="FF7A5200"/>
      </font>
      <fill>
        <patternFill patternType="solid">
          <fgColor rgb="FFFDEFD0"/>
          <bgColor rgb="FFFDEF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68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20" customHeight="1" spans="2:3" x14ac:dyDescent="0.25">
      <c r="B8" s="4" t="s">
        <v>6</v>
      </c>
      <c r="C8" s="5" t="s">
        <v>7</v>
      </c>
    </row>
    <row r="9" ht="20" customHeight="1" spans="2:3" x14ac:dyDescent="0.25">
      <c r="B9" s="4" t="s">
        <v>8</v>
      </c>
      <c r="C9" s="5" t="s">
        <v>9</v>
      </c>
    </row>
    <row r="10" ht="20" customHeight="1" spans="2:3" x14ac:dyDescent="0.25">
      <c r="B10" s="4" t="s">
        <v>10</v>
      </c>
      <c r="C10" s="5" t="s">
        <v>11</v>
      </c>
    </row>
    <row r="12" spans="2:3" x14ac:dyDescent="0.25">
      <c r="B12" s="3" t="s">
        <v>12</v>
      </c>
      <c r="C12" s="3"/>
    </row>
    <row r="13" ht="52" customHeight="1" spans="2:3" x14ac:dyDescent="0.25">
      <c r="B13" s="4" t="s">
        <v>13</v>
      </c>
      <c r="C13" s="5" t="s">
        <v>14</v>
      </c>
    </row>
    <row r="14" ht="36" customHeight="1" spans="2:3" x14ac:dyDescent="0.25">
      <c r="B14" s="4" t="s">
        <v>15</v>
      </c>
      <c r="C14" s="5" t="s">
        <v>16</v>
      </c>
    </row>
    <row r="15" ht="52" customHeight="1" spans="2:3" x14ac:dyDescent="0.25">
      <c r="B15" s="4" t="s">
        <v>17</v>
      </c>
      <c r="C15" s="5" t="s">
        <v>18</v>
      </c>
    </row>
    <row r="16" ht="36" customHeight="1" spans="2:3" x14ac:dyDescent="0.25">
      <c r="B16" s="4" t="s">
        <v>19</v>
      </c>
      <c r="C16" s="5" t="s">
        <v>20</v>
      </c>
    </row>
    <row r="17" ht="20" customHeight="1" spans="2:3" x14ac:dyDescent="0.25">
      <c r="B17" s="4" t="s">
        <v>21</v>
      </c>
      <c r="C17" s="5" t="s">
        <v>22</v>
      </c>
    </row>
    <row r="19" spans="2:3" x14ac:dyDescent="0.25">
      <c r="B19" s="3" t="s">
        <v>23</v>
      </c>
      <c r="C19" s="3"/>
    </row>
    <row r="20" ht="20" customHeight="1" spans="2:3" x14ac:dyDescent="0.25">
      <c r="B20" s="4" t="s">
        <v>24</v>
      </c>
      <c r="C20" s="5" t="s">
        <v>25</v>
      </c>
    </row>
    <row r="21" ht="20" customHeight="1" spans="2:3" x14ac:dyDescent="0.25">
      <c r="B21" s="4" t="s">
        <v>26</v>
      </c>
      <c r="C21" s="5" t="s">
        <v>27</v>
      </c>
    </row>
    <row r="22" ht="52" customHeight="1" spans="2:3" x14ac:dyDescent="0.25">
      <c r="B22" s="4" t="s">
        <v>28</v>
      </c>
      <c r="C22" s="5" t="s">
        <v>29</v>
      </c>
    </row>
    <row r="24" spans="2:3" x14ac:dyDescent="0.25">
      <c r="B24" s="3" t="s">
        <v>30</v>
      </c>
      <c r="C24" s="3"/>
    </row>
    <row r="25" ht="36" customHeight="1" spans="2:3" x14ac:dyDescent="0.25">
      <c r="B25" s="4" t="s">
        <v>3</v>
      </c>
      <c r="C25" s="5" t="s">
        <v>31</v>
      </c>
    </row>
    <row r="26" ht="20" customHeight="1" spans="2:3" x14ac:dyDescent="0.25">
      <c r="B26" s="4" t="s">
        <v>3</v>
      </c>
      <c r="C26" s="5" t="s">
        <v>32</v>
      </c>
    </row>
    <row r="28" spans="2:3" x14ac:dyDescent="0.25">
      <c r="B28" s="3" t="s">
        <v>33</v>
      </c>
      <c r="C28" s="3"/>
    </row>
    <row r="29" ht="36" customHeight="1" spans="2:3" x14ac:dyDescent="0.25">
      <c r="B29" s="4" t="s">
        <v>3</v>
      </c>
      <c r="C29" s="5" t="s">
        <v>34</v>
      </c>
    </row>
  </sheetData>
  <sheetProtection sheet="1"/>
  <mergeCells count="8">
    <mergeCell ref="A1:C1"/>
    <mergeCell ref="A2:C2"/>
    <mergeCell ref="B4:C4"/>
    <mergeCell ref="B7:C7"/>
    <mergeCell ref="B12:C12"/>
    <mergeCell ref="B19:C19"/>
    <mergeCell ref="B24:C24"/>
    <mergeCell ref="B28:C28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F5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3" width="14" customWidth="1"/>
    <col min="4" max="4" width="12" customWidth="1"/>
    <col min="5" max="5" width="14" customWidth="1"/>
    <col min="6" max="6" width="11" customWidth="1"/>
  </cols>
  <sheetData>
    <row r="1" ht="30" customHeight="1" spans="1:6" x14ac:dyDescent="0.25">
      <c r="A1" s="6" t="s">
        <v>35</v>
      </c>
      <c r="B1" s="6"/>
      <c r="C1" s="6"/>
      <c r="D1" s="6"/>
      <c r="E1" s="6"/>
      <c r="F1" s="6"/>
    </row>
    <row r="2" ht="22" customHeight="1" spans="1:6" x14ac:dyDescent="0.25">
      <c r="A2" s="7" t="s">
        <v>36</v>
      </c>
      <c r="B2" s="7"/>
      <c r="C2" s="7"/>
      <c r="D2" s="7"/>
      <c r="E2" s="7"/>
      <c r="F2" s="7"/>
    </row>
    <row r="4" ht="34" customHeight="1" spans="1:6" x14ac:dyDescent="0.25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</row>
    <row r="5" spans="1:6" x14ac:dyDescent="0.25">
      <c r="A5" s="9" t="s">
        <v>43</v>
      </c>
      <c r="B5" s="9" t="s">
        <v>44</v>
      </c>
      <c r="C5" s="9">
        <v>12</v>
      </c>
      <c r="D5" s="9" t="s">
        <v>45</v>
      </c>
      <c r="E5" s="9">
        <v>30</v>
      </c>
      <c r="F5" s="9" t="s">
        <v>46</v>
      </c>
    </row>
    <row r="6" spans="1:6" x14ac:dyDescent="0.25">
      <c r="A6" s="9" t="s">
        <v>47</v>
      </c>
      <c r="B6" s="9" t="s">
        <v>48</v>
      </c>
      <c r="C6" s="9">
        <v>3</v>
      </c>
      <c r="D6" s="9" t="s">
        <v>45</v>
      </c>
      <c r="E6" s="9">
        <v>15</v>
      </c>
      <c r="F6" s="9" t="s">
        <v>46</v>
      </c>
    </row>
    <row r="7" spans="1:6" x14ac:dyDescent="0.25">
      <c r="A7" s="9" t="s">
        <v>49</v>
      </c>
      <c r="B7" s="9" t="s">
        <v>50</v>
      </c>
      <c r="C7" s="9">
        <v>8</v>
      </c>
      <c r="D7" s="9" t="s">
        <v>51</v>
      </c>
      <c r="E7" s="9"/>
      <c r="F7" s="9" t="s">
        <v>46</v>
      </c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</sheetData>
  <mergeCells count="2">
    <mergeCell ref="A1:F1"/>
    <mergeCell ref="A2:F2"/>
  </mergeCells>
  <dataValidations count="4">
    <dataValidation type="list" allowBlank="1" promptTitle="Tipo" showErrorMessage="1" errorStyle="warning" errorTitle="Elige de la lista" error="Elige una opción de la lista desplegable." sqref="B5:B54">
      <formula1>"Vacunación,Desparasitación,Otra actividad preventiva"</formula1>
    </dataValidation>
    <dataValidation type="decimal" allowBlank="1" showInputMessage="1" promptTitle="Se repite cada…" prompt="Un número: 1, 2, 6, 12…" showErrorMessage="1" errorStyle="warning" errorTitle="Número" error="Escribe un número entre 1 y 1000." sqref="C5:C54">
      <formula1>1</formula1>
      <formula2>1000</formula2>
    </dataValidation>
    <dataValidation type="list" allowBlank="1" promptTitle="Unidad" showErrorMessage="1" errorStyle="warning" errorTitle="Elige de la lista" error="Elige una opción de la lista desplegable." sqref="D5:D54">
      <formula1>"días,semanas,meses"</formula1>
    </dataValidation>
    <dataValidation type="decimal" allowBlank="1" showInputMessage="1" promptTitle="Avisar con (días)" prompt="Cuántos días antes quieres que aparezca «Por vencer». Si lo dejas vacío, 30." showErrorMessage="1" errorStyle="warning" errorTitle="Número" error="Escribe un número entre 0 y 365." sqref="E5:E54">
      <formula1>0</formula1>
      <formula2>365</formula2>
    </dataValidation>
  </dataValidation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K504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5" customWidth="1"/>
    <col min="5" max="5" width="26" customWidth="1"/>
    <col min="6" max="6" width="18" customWidth="1"/>
    <col min="7" max="7" width="14" customWidth="1"/>
    <col min="8" max="8" width="12" customWidth="1"/>
    <col min="9" max="9" width="16" customWidth="1"/>
    <col min="10" max="10" width="14" customWidth="1"/>
    <col min="11" max="11" width="11" customWidth="1"/>
  </cols>
  <sheetData>
    <row r="1" ht="30" customHeight="1" spans="1:11" x14ac:dyDescent="0.25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2" customHeight="1" spans="1:11" x14ac:dyDescent="0.25">
      <c r="A2" s="7" t="s">
        <v>53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ht="40" customHeight="1" spans="1:11" x14ac:dyDescent="0.25">
      <c r="A4" s="8" t="s">
        <v>54</v>
      </c>
      <c r="B4" s="8" t="s">
        <v>37</v>
      </c>
      <c r="C4" s="11" t="s">
        <v>38</v>
      </c>
      <c r="D4" s="8" t="s">
        <v>55</v>
      </c>
      <c r="E4" s="8" t="s">
        <v>56</v>
      </c>
      <c r="F4" s="8" t="s">
        <v>57</v>
      </c>
      <c r="G4" s="11" t="s">
        <v>58</v>
      </c>
      <c r="H4" s="11" t="s">
        <v>59</v>
      </c>
      <c r="I4" s="11" t="s">
        <v>60</v>
      </c>
      <c r="J4" s="11" t="s">
        <v>61</v>
      </c>
      <c r="K4" s="8" t="s">
        <v>42</v>
      </c>
    </row>
    <row r="5" spans="1:11" x14ac:dyDescent="0.25">
      <c r="A5" s="9" t="s">
        <v>62</v>
      </c>
      <c r="B5" s="9" t="s">
        <v>43</v>
      </c>
      <c r="C5" s="12">
        <f>IF(B5="","",IFERROR(INDEX(Protocolo!$B$5:$B$54,MATCH(B5,Protocolo!$A$5:$A$54,0)),""))</f>
      </c>
      <c r="D5" s="13">
        <v>45977</v>
      </c>
      <c r="E5" s="9" t="s">
        <v>63</v>
      </c>
      <c r="F5" s="9" t="s">
        <v>64</v>
      </c>
      <c r="G5" s="14">
        <f>IF(OR(B5="",D5=""),"",IFERROR(IF(INDEX(Protocolo!$D$5:$D$54,MATCH(B5,Protocolo!$A$5:$A$54,0))="meses",EDATE(D5,INDEX(Protocolo!$C$5:$C$54,MATCH(B5,Protocolo!$A$5:$A$54,0))),D5+INDEX(Protocolo!$C$5:$C$54,MATCH(B5,Protocolo!$A$5:$A$54,0))*IF(INDEX(Protocolo!$D$5:$D$54,MATCH(B5,Protocolo!$A$5:$A$54,0))="semanas",7,1)),""))</f>
      </c>
      <c r="H5" s="15">
        <f>IF(G5="","",G5-TODAY())</f>
      </c>
      <c r="I5" s="12">
        <f>IF(OR(A5="",B5="",D5=""),"",IF(D5=SUMPRODUCT(MAX(($A$5:$A$504=A5)*($B$5:$B$504=B5)*$D$5:$D$504)),"Sí","Reemplazada"))</f>
      </c>
      <c r="J5" s="12">
        <f>IF(I5="","",IF(I5="Reemplazada","Reemplazada",IF(H5="","Sin fecha",IF(H5&lt;0,"Vencida",IF(H5&lt;=IFERROR(IF(INDEX(Protocolo!$E$5:$E$54,MATCH(B5,Protocolo!$A$5:$A$54,0))="",30,INDEX(Protocolo!$E$5:$E$54,MATCH(B5,Protocolo!$A$5:$A$54,0))),30),"Por vencer","Vigente")))))</f>
      </c>
      <c r="K5" s="9" t="s">
        <v>46</v>
      </c>
    </row>
    <row r="6" spans="1:11" x14ac:dyDescent="0.25">
      <c r="A6" s="9" t="s">
        <v>62</v>
      </c>
      <c r="B6" s="9" t="s">
        <v>47</v>
      </c>
      <c r="C6" s="12">
        <f>IF(B6="","",IFERROR(INDEX(Protocolo!$B$5:$B$54,MATCH(B6,Protocolo!$A$5:$A$54,0)),""))</f>
      </c>
      <c r="D6" s="13">
        <v>46197</v>
      </c>
      <c r="E6" s="9" t="s">
        <v>63</v>
      </c>
      <c r="F6" s="9" t="s">
        <v>64</v>
      </c>
      <c r="G6" s="14">
        <f>IF(OR(B6="",D6=""),"",IFERROR(IF(INDEX(Protocolo!$D$5:$D$54,MATCH(B6,Protocolo!$A$5:$A$54,0))="meses",EDATE(D6,INDEX(Protocolo!$C$5:$C$54,MATCH(B6,Protocolo!$A$5:$A$54,0))),D6+INDEX(Protocolo!$C$5:$C$54,MATCH(B6,Protocolo!$A$5:$A$54,0))*IF(INDEX(Protocolo!$D$5:$D$54,MATCH(B6,Protocolo!$A$5:$A$54,0))="semanas",7,1)),""))</f>
      </c>
      <c r="H6" s="15">
        <f>IF(G6="","",G6-TODAY())</f>
      </c>
      <c r="I6" s="12">
        <f>IF(OR(A6="",B6="",D6=""),"",IF(D6=SUMPRODUCT(MAX(($A$5:$A$504=A6)*($B$5:$B$504=B6)*$D$5:$D$504)),"Sí","Reemplazada"))</f>
      </c>
      <c r="J6" s="12">
        <f>IF(I6="","",IF(I6="Reemplazada","Reemplazada",IF(H6="","Sin fecha",IF(H6&lt;0,"Vencida",IF(H6&lt;=IFERROR(IF(INDEX(Protocolo!$E$5:$E$54,MATCH(B6,Protocolo!$A$5:$A$54,0))="",30,INDEX(Protocolo!$E$5:$E$54,MATCH(B6,Protocolo!$A$5:$A$54,0))),30),"Por vencer","Vigente")))))</f>
      </c>
      <c r="K6" s="9" t="s">
        <v>46</v>
      </c>
    </row>
    <row r="7" spans="1:11" x14ac:dyDescent="0.25">
      <c r="A7" s="9" t="s">
        <v>65</v>
      </c>
      <c r="B7" s="9" t="s">
        <v>43</v>
      </c>
      <c r="C7" s="12">
        <f>IF(B7="","",IFERROR(INDEX(Protocolo!$B$5:$B$54,MATCH(B7,Protocolo!$A$5:$A$54,0)),""))</f>
      </c>
      <c r="D7" s="13">
        <v>45917</v>
      </c>
      <c r="E7" s="9" t="s">
        <v>63</v>
      </c>
      <c r="F7" s="9" t="s">
        <v>64</v>
      </c>
      <c r="G7" s="14">
        <f>IF(OR(B7="",D7=""),"",IFERROR(IF(INDEX(Protocolo!$D$5:$D$54,MATCH(B7,Protocolo!$A$5:$A$54,0))="meses",EDATE(D7,INDEX(Protocolo!$C$5:$C$54,MATCH(B7,Protocolo!$A$5:$A$54,0))),D7+INDEX(Protocolo!$C$5:$C$54,MATCH(B7,Protocolo!$A$5:$A$54,0))*IF(INDEX(Protocolo!$D$5:$D$54,MATCH(B7,Protocolo!$A$5:$A$54,0))="semanas",7,1)),""))</f>
      </c>
      <c r="H7" s="15">
        <f>IF(G7="","",G7-TODAY())</f>
      </c>
      <c r="I7" s="12">
        <f>IF(OR(A7="",B7="",D7=""),"",IF(D7=SUMPRODUCT(MAX(($A$5:$A$504=A7)*($B$5:$B$504=B7)*$D$5:$D$504)),"Sí","Reemplazada"))</f>
      </c>
      <c r="J7" s="12">
        <f>IF(I7="","",IF(I7="Reemplazada","Reemplazada",IF(H7="","Sin fecha",IF(H7&lt;0,"Vencida",IF(H7&lt;=IFERROR(IF(INDEX(Protocolo!$E$5:$E$54,MATCH(B7,Protocolo!$A$5:$A$54,0))="",30,INDEX(Protocolo!$E$5:$E$54,MATCH(B7,Protocolo!$A$5:$A$54,0))),30),"Por vencer","Vigente")))))</f>
      </c>
      <c r="K7" s="9" t="s">
        <v>46</v>
      </c>
    </row>
    <row r="8" spans="1:11" x14ac:dyDescent="0.25">
      <c r="A8" s="9" t="s">
        <v>65</v>
      </c>
      <c r="B8" s="9" t="s">
        <v>47</v>
      </c>
      <c r="C8" s="12">
        <f>IF(B8="","",IFERROR(INDEX(Protocolo!$B$5:$B$54,MATCH(B8,Protocolo!$A$5:$A$54,0)),""))</f>
      </c>
      <c r="D8" s="13">
        <v>46287</v>
      </c>
      <c r="E8" s="9"/>
      <c r="F8" s="9" t="s">
        <v>64</v>
      </c>
      <c r="G8" s="14">
        <f>IF(OR(B8="",D8=""),"",IFERROR(IF(INDEX(Protocolo!$D$5:$D$54,MATCH(B8,Protocolo!$A$5:$A$54,0))="meses",EDATE(D8,INDEX(Protocolo!$C$5:$C$54,MATCH(B8,Protocolo!$A$5:$A$54,0))),D8+INDEX(Protocolo!$C$5:$C$54,MATCH(B8,Protocolo!$A$5:$A$54,0))*IF(INDEX(Protocolo!$D$5:$D$54,MATCH(B8,Protocolo!$A$5:$A$54,0))="semanas",7,1)),""))</f>
      </c>
      <c r="H8" s="15">
        <f>IF(G8="","",G8-TODAY())</f>
      </c>
      <c r="I8" s="12">
        <f>IF(OR(A8="",B8="",D8=""),"",IF(D8=SUMPRODUCT(MAX(($A$5:$A$504=A8)*($B$5:$B$504=B8)*$D$5:$D$504)),"Sí","Reemplazada"))</f>
      </c>
      <c r="J8" s="12">
        <f>IF(I8="","",IF(I8="Reemplazada","Reemplazada",IF(H8="","Sin fecha",IF(H8&lt;0,"Vencida",IF(H8&lt;=IFERROR(IF(INDEX(Protocolo!$E$5:$E$54,MATCH(B8,Protocolo!$A$5:$A$54,0))="",30,INDEX(Protocolo!$E$5:$E$54,MATCH(B8,Protocolo!$A$5:$A$54,0))),30),"Por vencer","Vigente")))))</f>
      </c>
      <c r="K8" s="9" t="s">
        <v>46</v>
      </c>
    </row>
    <row r="9" spans="1:11" x14ac:dyDescent="0.25">
      <c r="A9" s="9" t="s">
        <v>65</v>
      </c>
      <c r="B9" s="9" t="s">
        <v>47</v>
      </c>
      <c r="C9" s="12">
        <f>IF(B9="","",IFERROR(INDEX(Protocolo!$B$5:$B$54,MATCH(B9,Protocolo!$A$5:$A$54,0)),""))</f>
      </c>
      <c r="D9" s="13">
        <v>46217</v>
      </c>
      <c r="E9" s="9"/>
      <c r="F9" s="9" t="s">
        <v>64</v>
      </c>
      <c r="G9" s="14">
        <f>IF(OR(B9="",D9=""),"",IFERROR(IF(INDEX(Protocolo!$D$5:$D$54,MATCH(B9,Protocolo!$A$5:$A$54,0))="meses",EDATE(D9,INDEX(Protocolo!$C$5:$C$54,MATCH(B9,Protocolo!$A$5:$A$54,0))),D9+INDEX(Protocolo!$C$5:$C$54,MATCH(B9,Protocolo!$A$5:$A$54,0))*IF(INDEX(Protocolo!$D$5:$D$54,MATCH(B9,Protocolo!$A$5:$A$54,0))="semanas",7,1)),""))</f>
      </c>
      <c r="H9" s="15">
        <f>IF(G9="","",G9-TODAY())</f>
      </c>
      <c r="I9" s="12">
        <f>IF(OR(A9="",B9="",D9=""),"",IF(D9=SUMPRODUCT(MAX(($A$5:$A$504=A9)*($B$5:$B$504=B9)*$D$5:$D$504)),"Sí","Reemplazada"))</f>
      </c>
      <c r="J9" s="12">
        <f>IF(I9="","",IF(I9="Reemplazada","Reemplazada",IF(H9="","Sin fecha",IF(H9&lt;0,"Vencida",IF(H9&lt;=IFERROR(IF(INDEX(Protocolo!$E$5:$E$54,MATCH(B9,Protocolo!$A$5:$A$54,0))="",30,INDEX(Protocolo!$E$5:$E$54,MATCH(B9,Protocolo!$A$5:$A$54,0))),30),"Por vencer","Vigente")))))</f>
      </c>
      <c r="K9" s="9" t="s">
        <v>46</v>
      </c>
    </row>
    <row r="10" spans="1:11" x14ac:dyDescent="0.25">
      <c r="A10" s="9" t="s">
        <v>66</v>
      </c>
      <c r="B10" s="9" t="s">
        <v>49</v>
      </c>
      <c r="C10" s="12">
        <f>IF(B10="","",IFERROR(INDEX(Protocolo!$B$5:$B$54,MATCH(B10,Protocolo!$A$5:$A$54,0)),""))</f>
      </c>
      <c r="D10" s="13">
        <v>46267</v>
      </c>
      <c r="E10" s="9"/>
      <c r="F10" s="9" t="s">
        <v>64</v>
      </c>
      <c r="G10" s="14">
        <f>IF(OR(B10="",D10=""),"",IFERROR(IF(INDEX(Protocolo!$D$5:$D$54,MATCH(B10,Protocolo!$A$5:$A$54,0))="meses",EDATE(D10,INDEX(Protocolo!$C$5:$C$54,MATCH(B10,Protocolo!$A$5:$A$54,0))),D10+INDEX(Protocolo!$C$5:$C$54,MATCH(B10,Protocolo!$A$5:$A$54,0))*IF(INDEX(Protocolo!$D$5:$D$54,MATCH(B10,Protocolo!$A$5:$A$54,0))="semanas",7,1)),""))</f>
      </c>
      <c r="H10" s="15">
        <f>IF(G10="","",G10-TODAY())</f>
      </c>
      <c r="I10" s="12">
        <f>IF(OR(A10="",B10="",D10=""),"",IF(D10=SUMPRODUCT(MAX(($A$5:$A$504=A10)*($B$5:$B$504=B10)*$D$5:$D$504)),"Sí","Reemplazada"))</f>
      </c>
      <c r="J10" s="12">
        <f>IF(I10="","",IF(I10="Reemplazada","Reemplazada",IF(H10="","Sin fecha",IF(H10&lt;0,"Vencida",IF(H10&lt;=IFERROR(IF(INDEX(Protocolo!$E$5:$E$54,MATCH(B10,Protocolo!$A$5:$A$54,0))="",30,INDEX(Protocolo!$E$5:$E$54,MATCH(B10,Protocolo!$A$5:$A$54,0))),30),"Por vencer","Vigente")))))</f>
      </c>
      <c r="K10" s="9" t="s">
        <v>46</v>
      </c>
    </row>
    <row r="11" spans="1:11" x14ac:dyDescent="0.25">
      <c r="A11" s="10"/>
      <c r="B11" s="10"/>
      <c r="C11" s="12">
        <f>IF(B11="","",IFERROR(INDEX(Protocolo!$B$5:$B$54,MATCH(B11,Protocolo!$A$5:$A$54,0)),""))</f>
      </c>
      <c r="D11" s="16"/>
      <c r="E11" s="10"/>
      <c r="F11" s="10"/>
      <c r="G11" s="14">
        <f>IF(OR(B11="",D11=""),"",IFERROR(IF(INDEX(Protocolo!$D$5:$D$54,MATCH(B11,Protocolo!$A$5:$A$54,0))="meses",EDATE(D11,INDEX(Protocolo!$C$5:$C$54,MATCH(B11,Protocolo!$A$5:$A$54,0))),D11+INDEX(Protocolo!$C$5:$C$54,MATCH(B11,Protocolo!$A$5:$A$54,0))*IF(INDEX(Protocolo!$D$5:$D$54,MATCH(B11,Protocolo!$A$5:$A$54,0))="semanas",7,1)),""))</f>
      </c>
      <c r="H11" s="15">
        <f>IF(G11="","",G11-TODAY())</f>
      </c>
      <c r="I11" s="12">
        <f>IF(OR(A11="",B11="",D11=""),"",IF(D11=SUMPRODUCT(MAX(($A$5:$A$504=A11)*($B$5:$B$504=B11)*$D$5:$D$504)),"Sí","Reemplazada"))</f>
      </c>
      <c r="J11" s="12">
        <f>IF(I11="","",IF(I11="Reemplazada","Reemplazada",IF(H11="","Sin fecha",IF(H11&lt;0,"Vencida",IF(H11&lt;=IFERROR(IF(INDEX(Protocolo!$E$5:$E$54,MATCH(B11,Protocolo!$A$5:$A$54,0))="",30,INDEX(Protocolo!$E$5:$E$54,MATCH(B11,Protocolo!$A$5:$A$54,0))),30),"Por vencer","Vigente")))))</f>
      </c>
      <c r="K11" s="10"/>
    </row>
    <row r="12" spans="1:11" x14ac:dyDescent="0.25">
      <c r="A12" s="10"/>
      <c r="B12" s="10"/>
      <c r="C12" s="12">
        <f>IF(B12="","",IFERROR(INDEX(Protocolo!$B$5:$B$54,MATCH(B12,Protocolo!$A$5:$A$54,0)),""))</f>
      </c>
      <c r="D12" s="16"/>
      <c r="E12" s="10"/>
      <c r="F12" s="10"/>
      <c r="G12" s="14">
        <f>IF(OR(B12="",D12=""),"",IFERROR(IF(INDEX(Protocolo!$D$5:$D$54,MATCH(B12,Protocolo!$A$5:$A$54,0))="meses",EDATE(D12,INDEX(Protocolo!$C$5:$C$54,MATCH(B12,Protocolo!$A$5:$A$54,0))),D12+INDEX(Protocolo!$C$5:$C$54,MATCH(B12,Protocolo!$A$5:$A$54,0))*IF(INDEX(Protocolo!$D$5:$D$54,MATCH(B12,Protocolo!$A$5:$A$54,0))="semanas",7,1)),""))</f>
      </c>
      <c r="H12" s="15">
        <f>IF(G12="","",G12-TODAY())</f>
      </c>
      <c r="I12" s="12">
        <f>IF(OR(A12="",B12="",D12=""),"",IF(D12=SUMPRODUCT(MAX(($A$5:$A$504=A12)*($B$5:$B$504=B12)*$D$5:$D$504)),"Sí","Reemplazada"))</f>
      </c>
      <c r="J12" s="12">
        <f>IF(I12="","",IF(I12="Reemplazada","Reemplazada",IF(H12="","Sin fecha",IF(H12&lt;0,"Vencida",IF(H12&lt;=IFERROR(IF(INDEX(Protocolo!$E$5:$E$54,MATCH(B12,Protocolo!$A$5:$A$54,0))="",30,INDEX(Protocolo!$E$5:$E$54,MATCH(B12,Protocolo!$A$5:$A$54,0))),30),"Por vencer","Vigente")))))</f>
      </c>
      <c r="K12" s="10"/>
    </row>
    <row r="13" spans="1:11" x14ac:dyDescent="0.25">
      <c r="A13" s="10"/>
      <c r="B13" s="10"/>
      <c r="C13" s="12">
        <f>IF(B13="","",IFERROR(INDEX(Protocolo!$B$5:$B$54,MATCH(B13,Protocolo!$A$5:$A$54,0)),""))</f>
      </c>
      <c r="D13" s="16"/>
      <c r="E13" s="10"/>
      <c r="F13" s="10"/>
      <c r="G13" s="14">
        <f>IF(OR(B13="",D13=""),"",IFERROR(IF(INDEX(Protocolo!$D$5:$D$54,MATCH(B13,Protocolo!$A$5:$A$54,0))="meses",EDATE(D13,INDEX(Protocolo!$C$5:$C$54,MATCH(B13,Protocolo!$A$5:$A$54,0))),D13+INDEX(Protocolo!$C$5:$C$54,MATCH(B13,Protocolo!$A$5:$A$54,0))*IF(INDEX(Protocolo!$D$5:$D$54,MATCH(B13,Protocolo!$A$5:$A$54,0))="semanas",7,1)),""))</f>
      </c>
      <c r="H13" s="15">
        <f>IF(G13="","",G13-TODAY())</f>
      </c>
      <c r="I13" s="12">
        <f>IF(OR(A13="",B13="",D13=""),"",IF(D13=SUMPRODUCT(MAX(($A$5:$A$504=A13)*($B$5:$B$504=B13)*$D$5:$D$504)),"Sí","Reemplazada"))</f>
      </c>
      <c r="J13" s="12">
        <f>IF(I13="","",IF(I13="Reemplazada","Reemplazada",IF(H13="","Sin fecha",IF(H13&lt;0,"Vencida",IF(H13&lt;=IFERROR(IF(INDEX(Protocolo!$E$5:$E$54,MATCH(B13,Protocolo!$A$5:$A$54,0))="",30,INDEX(Protocolo!$E$5:$E$54,MATCH(B13,Protocolo!$A$5:$A$54,0))),30),"Por vencer","Vigente")))))</f>
      </c>
      <c r="K13" s="10"/>
    </row>
    <row r="14" spans="1:11" x14ac:dyDescent="0.25">
      <c r="A14" s="10"/>
      <c r="B14" s="10"/>
      <c r="C14" s="12">
        <f>IF(B14="","",IFERROR(INDEX(Protocolo!$B$5:$B$54,MATCH(B14,Protocolo!$A$5:$A$54,0)),""))</f>
      </c>
      <c r="D14" s="16"/>
      <c r="E14" s="10"/>
      <c r="F14" s="10"/>
      <c r="G14" s="14">
        <f>IF(OR(B14="",D14=""),"",IFERROR(IF(INDEX(Protocolo!$D$5:$D$54,MATCH(B14,Protocolo!$A$5:$A$54,0))="meses",EDATE(D14,INDEX(Protocolo!$C$5:$C$54,MATCH(B14,Protocolo!$A$5:$A$54,0))),D14+INDEX(Protocolo!$C$5:$C$54,MATCH(B14,Protocolo!$A$5:$A$54,0))*IF(INDEX(Protocolo!$D$5:$D$54,MATCH(B14,Protocolo!$A$5:$A$54,0))="semanas",7,1)),""))</f>
      </c>
      <c r="H14" s="15">
        <f>IF(G14="","",G14-TODAY())</f>
      </c>
      <c r="I14" s="12">
        <f>IF(OR(A14="",B14="",D14=""),"",IF(D14=SUMPRODUCT(MAX(($A$5:$A$504=A14)*($B$5:$B$504=B14)*$D$5:$D$504)),"Sí","Reemplazada"))</f>
      </c>
      <c r="J14" s="12">
        <f>IF(I14="","",IF(I14="Reemplazada","Reemplazada",IF(H14="","Sin fecha",IF(H14&lt;0,"Vencida",IF(H14&lt;=IFERROR(IF(INDEX(Protocolo!$E$5:$E$54,MATCH(B14,Protocolo!$A$5:$A$54,0))="",30,INDEX(Protocolo!$E$5:$E$54,MATCH(B14,Protocolo!$A$5:$A$54,0))),30),"Por vencer","Vigente")))))</f>
      </c>
      <c r="K14" s="10"/>
    </row>
    <row r="15" spans="1:11" x14ac:dyDescent="0.25">
      <c r="A15" s="10"/>
      <c r="B15" s="10"/>
      <c r="C15" s="12">
        <f>IF(B15="","",IFERROR(INDEX(Protocolo!$B$5:$B$54,MATCH(B15,Protocolo!$A$5:$A$54,0)),""))</f>
      </c>
      <c r="D15" s="16"/>
      <c r="E15" s="10"/>
      <c r="F15" s="10"/>
      <c r="G15" s="14">
        <f>IF(OR(B15="",D15=""),"",IFERROR(IF(INDEX(Protocolo!$D$5:$D$54,MATCH(B15,Protocolo!$A$5:$A$54,0))="meses",EDATE(D15,INDEX(Protocolo!$C$5:$C$54,MATCH(B15,Protocolo!$A$5:$A$54,0))),D15+INDEX(Protocolo!$C$5:$C$54,MATCH(B15,Protocolo!$A$5:$A$54,0))*IF(INDEX(Protocolo!$D$5:$D$54,MATCH(B15,Protocolo!$A$5:$A$54,0))="semanas",7,1)),""))</f>
      </c>
      <c r="H15" s="15">
        <f>IF(G15="","",G15-TODAY())</f>
      </c>
      <c r="I15" s="12">
        <f>IF(OR(A15="",B15="",D15=""),"",IF(D15=SUMPRODUCT(MAX(($A$5:$A$504=A15)*($B$5:$B$504=B15)*$D$5:$D$504)),"Sí","Reemplazada"))</f>
      </c>
      <c r="J15" s="12">
        <f>IF(I15="","",IF(I15="Reemplazada","Reemplazada",IF(H15="","Sin fecha",IF(H15&lt;0,"Vencida",IF(H15&lt;=IFERROR(IF(INDEX(Protocolo!$E$5:$E$54,MATCH(B15,Protocolo!$A$5:$A$54,0))="",30,INDEX(Protocolo!$E$5:$E$54,MATCH(B15,Protocolo!$A$5:$A$54,0))),30),"Por vencer","Vigente")))))</f>
      </c>
      <c r="K15" s="10"/>
    </row>
    <row r="16" spans="1:11" x14ac:dyDescent="0.25">
      <c r="A16" s="10"/>
      <c r="B16" s="10"/>
      <c r="C16" s="12">
        <f>IF(B16="","",IFERROR(INDEX(Protocolo!$B$5:$B$54,MATCH(B16,Protocolo!$A$5:$A$54,0)),""))</f>
      </c>
      <c r="D16" s="16"/>
      <c r="E16" s="10"/>
      <c r="F16" s="10"/>
      <c r="G16" s="14">
        <f>IF(OR(B16="",D16=""),"",IFERROR(IF(INDEX(Protocolo!$D$5:$D$54,MATCH(B16,Protocolo!$A$5:$A$54,0))="meses",EDATE(D16,INDEX(Protocolo!$C$5:$C$54,MATCH(B16,Protocolo!$A$5:$A$54,0))),D16+INDEX(Protocolo!$C$5:$C$54,MATCH(B16,Protocolo!$A$5:$A$54,0))*IF(INDEX(Protocolo!$D$5:$D$54,MATCH(B16,Protocolo!$A$5:$A$54,0))="semanas",7,1)),""))</f>
      </c>
      <c r="H16" s="15">
        <f>IF(G16="","",G16-TODAY())</f>
      </c>
      <c r="I16" s="12">
        <f>IF(OR(A16="",B16="",D16=""),"",IF(D16=SUMPRODUCT(MAX(($A$5:$A$504=A16)*($B$5:$B$504=B16)*$D$5:$D$504)),"Sí","Reemplazada"))</f>
      </c>
      <c r="J16" s="12">
        <f>IF(I16="","",IF(I16="Reemplazada","Reemplazada",IF(H16="","Sin fecha",IF(H16&lt;0,"Vencida",IF(H16&lt;=IFERROR(IF(INDEX(Protocolo!$E$5:$E$54,MATCH(B16,Protocolo!$A$5:$A$54,0))="",30,INDEX(Protocolo!$E$5:$E$54,MATCH(B16,Protocolo!$A$5:$A$54,0))),30),"Por vencer","Vigente")))))</f>
      </c>
      <c r="K16" s="10"/>
    </row>
    <row r="17" spans="1:11" x14ac:dyDescent="0.25">
      <c r="A17" s="10"/>
      <c r="B17" s="10"/>
      <c r="C17" s="12">
        <f>IF(B17="","",IFERROR(INDEX(Protocolo!$B$5:$B$54,MATCH(B17,Protocolo!$A$5:$A$54,0)),""))</f>
      </c>
      <c r="D17" s="16"/>
      <c r="E17" s="10"/>
      <c r="F17" s="10"/>
      <c r="G17" s="14">
        <f>IF(OR(B17="",D17=""),"",IFERROR(IF(INDEX(Protocolo!$D$5:$D$54,MATCH(B17,Protocolo!$A$5:$A$54,0))="meses",EDATE(D17,INDEX(Protocolo!$C$5:$C$54,MATCH(B17,Protocolo!$A$5:$A$54,0))),D17+INDEX(Protocolo!$C$5:$C$54,MATCH(B17,Protocolo!$A$5:$A$54,0))*IF(INDEX(Protocolo!$D$5:$D$54,MATCH(B17,Protocolo!$A$5:$A$54,0))="semanas",7,1)),""))</f>
      </c>
      <c r="H17" s="15">
        <f>IF(G17="","",G17-TODAY())</f>
      </c>
      <c r="I17" s="12">
        <f>IF(OR(A17="",B17="",D17=""),"",IF(D17=SUMPRODUCT(MAX(($A$5:$A$504=A17)*($B$5:$B$504=B17)*$D$5:$D$504)),"Sí","Reemplazada"))</f>
      </c>
      <c r="J17" s="12">
        <f>IF(I17="","",IF(I17="Reemplazada","Reemplazada",IF(H17="","Sin fecha",IF(H17&lt;0,"Vencida",IF(H17&lt;=IFERROR(IF(INDEX(Protocolo!$E$5:$E$54,MATCH(B17,Protocolo!$A$5:$A$54,0))="",30,INDEX(Protocolo!$E$5:$E$54,MATCH(B17,Protocolo!$A$5:$A$54,0))),30),"Por vencer","Vigente")))))</f>
      </c>
      <c r="K17" s="10"/>
    </row>
    <row r="18" spans="1:11" x14ac:dyDescent="0.25">
      <c r="A18" s="10"/>
      <c r="B18" s="10"/>
      <c r="C18" s="12">
        <f>IF(B18="","",IFERROR(INDEX(Protocolo!$B$5:$B$54,MATCH(B18,Protocolo!$A$5:$A$54,0)),""))</f>
      </c>
      <c r="D18" s="16"/>
      <c r="E18" s="10"/>
      <c r="F18" s="10"/>
      <c r="G18" s="14">
        <f>IF(OR(B18="",D18=""),"",IFERROR(IF(INDEX(Protocolo!$D$5:$D$54,MATCH(B18,Protocolo!$A$5:$A$54,0))="meses",EDATE(D18,INDEX(Protocolo!$C$5:$C$54,MATCH(B18,Protocolo!$A$5:$A$54,0))),D18+INDEX(Protocolo!$C$5:$C$54,MATCH(B18,Protocolo!$A$5:$A$54,0))*IF(INDEX(Protocolo!$D$5:$D$54,MATCH(B18,Protocolo!$A$5:$A$54,0))="semanas",7,1)),""))</f>
      </c>
      <c r="H18" s="15">
        <f>IF(G18="","",G18-TODAY())</f>
      </c>
      <c r="I18" s="12">
        <f>IF(OR(A18="",B18="",D18=""),"",IF(D18=SUMPRODUCT(MAX(($A$5:$A$504=A18)*($B$5:$B$504=B18)*$D$5:$D$504)),"Sí","Reemplazada"))</f>
      </c>
      <c r="J18" s="12">
        <f>IF(I18="","",IF(I18="Reemplazada","Reemplazada",IF(H18="","Sin fecha",IF(H18&lt;0,"Vencida",IF(H18&lt;=IFERROR(IF(INDEX(Protocolo!$E$5:$E$54,MATCH(B18,Protocolo!$A$5:$A$54,0))="",30,INDEX(Protocolo!$E$5:$E$54,MATCH(B18,Protocolo!$A$5:$A$54,0))),30),"Por vencer","Vigente")))))</f>
      </c>
      <c r="K18" s="10"/>
    </row>
    <row r="19" spans="1:11" x14ac:dyDescent="0.25">
      <c r="A19" s="10"/>
      <c r="B19" s="10"/>
      <c r="C19" s="12">
        <f>IF(B19="","",IFERROR(INDEX(Protocolo!$B$5:$B$54,MATCH(B19,Protocolo!$A$5:$A$54,0)),""))</f>
      </c>
      <c r="D19" s="16"/>
      <c r="E19" s="10"/>
      <c r="F19" s="10"/>
      <c r="G19" s="14">
        <f>IF(OR(B19="",D19=""),"",IFERROR(IF(INDEX(Protocolo!$D$5:$D$54,MATCH(B19,Protocolo!$A$5:$A$54,0))="meses",EDATE(D19,INDEX(Protocolo!$C$5:$C$54,MATCH(B19,Protocolo!$A$5:$A$54,0))),D19+INDEX(Protocolo!$C$5:$C$54,MATCH(B19,Protocolo!$A$5:$A$54,0))*IF(INDEX(Protocolo!$D$5:$D$54,MATCH(B19,Protocolo!$A$5:$A$54,0))="semanas",7,1)),""))</f>
      </c>
      <c r="H19" s="15">
        <f>IF(G19="","",G19-TODAY())</f>
      </c>
      <c r="I19" s="12">
        <f>IF(OR(A19="",B19="",D19=""),"",IF(D19=SUMPRODUCT(MAX(($A$5:$A$504=A19)*($B$5:$B$504=B19)*$D$5:$D$504)),"Sí","Reemplazada"))</f>
      </c>
      <c r="J19" s="12">
        <f>IF(I19="","",IF(I19="Reemplazada","Reemplazada",IF(H19="","Sin fecha",IF(H19&lt;0,"Vencida",IF(H19&lt;=IFERROR(IF(INDEX(Protocolo!$E$5:$E$54,MATCH(B19,Protocolo!$A$5:$A$54,0))="",30,INDEX(Protocolo!$E$5:$E$54,MATCH(B19,Protocolo!$A$5:$A$54,0))),30),"Por vencer","Vigente")))))</f>
      </c>
      <c r="K19" s="10"/>
    </row>
    <row r="20" spans="1:11" x14ac:dyDescent="0.25">
      <c r="A20" s="10"/>
      <c r="B20" s="10"/>
      <c r="C20" s="12">
        <f>IF(B20="","",IFERROR(INDEX(Protocolo!$B$5:$B$54,MATCH(B20,Protocolo!$A$5:$A$54,0)),""))</f>
      </c>
      <c r="D20" s="16"/>
      <c r="E20" s="10"/>
      <c r="F20" s="10"/>
      <c r="G20" s="14">
        <f>IF(OR(B20="",D20=""),"",IFERROR(IF(INDEX(Protocolo!$D$5:$D$54,MATCH(B20,Protocolo!$A$5:$A$54,0))="meses",EDATE(D20,INDEX(Protocolo!$C$5:$C$54,MATCH(B20,Protocolo!$A$5:$A$54,0))),D20+INDEX(Protocolo!$C$5:$C$54,MATCH(B20,Protocolo!$A$5:$A$54,0))*IF(INDEX(Protocolo!$D$5:$D$54,MATCH(B20,Protocolo!$A$5:$A$54,0))="semanas",7,1)),""))</f>
      </c>
      <c r="H20" s="15">
        <f>IF(G20="","",G20-TODAY())</f>
      </c>
      <c r="I20" s="12">
        <f>IF(OR(A20="",B20="",D20=""),"",IF(D20=SUMPRODUCT(MAX(($A$5:$A$504=A20)*($B$5:$B$504=B20)*$D$5:$D$504)),"Sí","Reemplazada"))</f>
      </c>
      <c r="J20" s="12">
        <f>IF(I20="","",IF(I20="Reemplazada","Reemplazada",IF(H20="","Sin fecha",IF(H20&lt;0,"Vencida",IF(H20&lt;=IFERROR(IF(INDEX(Protocolo!$E$5:$E$54,MATCH(B20,Protocolo!$A$5:$A$54,0))="",30,INDEX(Protocolo!$E$5:$E$54,MATCH(B20,Protocolo!$A$5:$A$54,0))),30),"Por vencer","Vigente")))))</f>
      </c>
      <c r="K20" s="10"/>
    </row>
    <row r="21" spans="1:11" x14ac:dyDescent="0.25">
      <c r="A21" s="10"/>
      <c r="B21" s="10"/>
      <c r="C21" s="12">
        <f>IF(B21="","",IFERROR(INDEX(Protocolo!$B$5:$B$54,MATCH(B21,Protocolo!$A$5:$A$54,0)),""))</f>
      </c>
      <c r="D21" s="16"/>
      <c r="E21" s="10"/>
      <c r="F21" s="10"/>
      <c r="G21" s="14">
        <f>IF(OR(B21="",D21=""),"",IFERROR(IF(INDEX(Protocolo!$D$5:$D$54,MATCH(B21,Protocolo!$A$5:$A$54,0))="meses",EDATE(D21,INDEX(Protocolo!$C$5:$C$54,MATCH(B21,Protocolo!$A$5:$A$54,0))),D21+INDEX(Protocolo!$C$5:$C$54,MATCH(B21,Protocolo!$A$5:$A$54,0))*IF(INDEX(Protocolo!$D$5:$D$54,MATCH(B21,Protocolo!$A$5:$A$54,0))="semanas",7,1)),""))</f>
      </c>
      <c r="H21" s="15">
        <f>IF(G21="","",G21-TODAY())</f>
      </c>
      <c r="I21" s="12">
        <f>IF(OR(A21="",B21="",D21=""),"",IF(D21=SUMPRODUCT(MAX(($A$5:$A$504=A21)*($B$5:$B$504=B21)*$D$5:$D$504)),"Sí","Reemplazada"))</f>
      </c>
      <c r="J21" s="12">
        <f>IF(I21="","",IF(I21="Reemplazada","Reemplazada",IF(H21="","Sin fecha",IF(H21&lt;0,"Vencida",IF(H21&lt;=IFERROR(IF(INDEX(Protocolo!$E$5:$E$54,MATCH(B21,Protocolo!$A$5:$A$54,0))="",30,INDEX(Protocolo!$E$5:$E$54,MATCH(B21,Protocolo!$A$5:$A$54,0))),30),"Por vencer","Vigente")))))</f>
      </c>
      <c r="K21" s="10"/>
    </row>
    <row r="22" spans="1:11" x14ac:dyDescent="0.25">
      <c r="A22" s="10"/>
      <c r="B22" s="10"/>
      <c r="C22" s="12">
        <f>IF(B22="","",IFERROR(INDEX(Protocolo!$B$5:$B$54,MATCH(B22,Protocolo!$A$5:$A$54,0)),""))</f>
      </c>
      <c r="D22" s="16"/>
      <c r="E22" s="10"/>
      <c r="F22" s="10"/>
      <c r="G22" s="14">
        <f>IF(OR(B22="",D22=""),"",IFERROR(IF(INDEX(Protocolo!$D$5:$D$54,MATCH(B22,Protocolo!$A$5:$A$54,0))="meses",EDATE(D22,INDEX(Protocolo!$C$5:$C$54,MATCH(B22,Protocolo!$A$5:$A$54,0))),D22+INDEX(Protocolo!$C$5:$C$54,MATCH(B22,Protocolo!$A$5:$A$54,0))*IF(INDEX(Protocolo!$D$5:$D$54,MATCH(B22,Protocolo!$A$5:$A$54,0))="semanas",7,1)),""))</f>
      </c>
      <c r="H22" s="15">
        <f>IF(G22="","",G22-TODAY())</f>
      </c>
      <c r="I22" s="12">
        <f>IF(OR(A22="",B22="",D22=""),"",IF(D22=SUMPRODUCT(MAX(($A$5:$A$504=A22)*($B$5:$B$504=B22)*$D$5:$D$504)),"Sí","Reemplazada"))</f>
      </c>
      <c r="J22" s="12">
        <f>IF(I22="","",IF(I22="Reemplazada","Reemplazada",IF(H22="","Sin fecha",IF(H22&lt;0,"Vencida",IF(H22&lt;=IFERROR(IF(INDEX(Protocolo!$E$5:$E$54,MATCH(B22,Protocolo!$A$5:$A$54,0))="",30,INDEX(Protocolo!$E$5:$E$54,MATCH(B22,Protocolo!$A$5:$A$54,0))),30),"Por vencer","Vigente")))))</f>
      </c>
      <c r="K22" s="10"/>
    </row>
    <row r="23" spans="1:11" x14ac:dyDescent="0.25">
      <c r="A23" s="10"/>
      <c r="B23" s="10"/>
      <c r="C23" s="12">
        <f>IF(B23="","",IFERROR(INDEX(Protocolo!$B$5:$B$54,MATCH(B23,Protocolo!$A$5:$A$54,0)),""))</f>
      </c>
      <c r="D23" s="16"/>
      <c r="E23" s="10"/>
      <c r="F23" s="10"/>
      <c r="G23" s="14">
        <f>IF(OR(B23="",D23=""),"",IFERROR(IF(INDEX(Protocolo!$D$5:$D$54,MATCH(B23,Protocolo!$A$5:$A$54,0))="meses",EDATE(D23,INDEX(Protocolo!$C$5:$C$54,MATCH(B23,Protocolo!$A$5:$A$54,0))),D23+INDEX(Protocolo!$C$5:$C$54,MATCH(B23,Protocolo!$A$5:$A$54,0))*IF(INDEX(Protocolo!$D$5:$D$54,MATCH(B23,Protocolo!$A$5:$A$54,0))="semanas",7,1)),""))</f>
      </c>
      <c r="H23" s="15">
        <f>IF(G23="","",G23-TODAY())</f>
      </c>
      <c r="I23" s="12">
        <f>IF(OR(A23="",B23="",D23=""),"",IF(D23=SUMPRODUCT(MAX(($A$5:$A$504=A23)*($B$5:$B$504=B23)*$D$5:$D$504)),"Sí","Reemplazada"))</f>
      </c>
      <c r="J23" s="12">
        <f>IF(I23="","",IF(I23="Reemplazada","Reemplazada",IF(H23="","Sin fecha",IF(H23&lt;0,"Vencida",IF(H23&lt;=IFERROR(IF(INDEX(Protocolo!$E$5:$E$54,MATCH(B23,Protocolo!$A$5:$A$54,0))="",30,INDEX(Protocolo!$E$5:$E$54,MATCH(B23,Protocolo!$A$5:$A$54,0))),30),"Por vencer","Vigente")))))</f>
      </c>
      <c r="K23" s="10"/>
    </row>
    <row r="24" spans="1:11" x14ac:dyDescent="0.25">
      <c r="A24" s="10"/>
      <c r="B24" s="10"/>
      <c r="C24" s="12">
        <f>IF(B24="","",IFERROR(INDEX(Protocolo!$B$5:$B$54,MATCH(B24,Protocolo!$A$5:$A$54,0)),""))</f>
      </c>
      <c r="D24" s="16"/>
      <c r="E24" s="10"/>
      <c r="F24" s="10"/>
      <c r="G24" s="14">
        <f>IF(OR(B24="",D24=""),"",IFERROR(IF(INDEX(Protocolo!$D$5:$D$54,MATCH(B24,Protocolo!$A$5:$A$54,0))="meses",EDATE(D24,INDEX(Protocolo!$C$5:$C$54,MATCH(B24,Protocolo!$A$5:$A$54,0))),D24+INDEX(Protocolo!$C$5:$C$54,MATCH(B24,Protocolo!$A$5:$A$54,0))*IF(INDEX(Protocolo!$D$5:$D$54,MATCH(B24,Protocolo!$A$5:$A$54,0))="semanas",7,1)),""))</f>
      </c>
      <c r="H24" s="15">
        <f>IF(G24="","",G24-TODAY())</f>
      </c>
      <c r="I24" s="12">
        <f>IF(OR(A24="",B24="",D24=""),"",IF(D24=SUMPRODUCT(MAX(($A$5:$A$504=A24)*($B$5:$B$504=B24)*$D$5:$D$504)),"Sí","Reemplazada"))</f>
      </c>
      <c r="J24" s="12">
        <f>IF(I24="","",IF(I24="Reemplazada","Reemplazada",IF(H24="","Sin fecha",IF(H24&lt;0,"Vencida",IF(H24&lt;=IFERROR(IF(INDEX(Protocolo!$E$5:$E$54,MATCH(B24,Protocolo!$A$5:$A$54,0))="",30,INDEX(Protocolo!$E$5:$E$54,MATCH(B24,Protocolo!$A$5:$A$54,0))),30),"Por vencer","Vigente")))))</f>
      </c>
      <c r="K24" s="10"/>
    </row>
    <row r="25" spans="1:11" x14ac:dyDescent="0.25">
      <c r="A25" s="10"/>
      <c r="B25" s="10"/>
      <c r="C25" s="12">
        <f>IF(B25="","",IFERROR(INDEX(Protocolo!$B$5:$B$54,MATCH(B25,Protocolo!$A$5:$A$54,0)),""))</f>
      </c>
      <c r="D25" s="16"/>
      <c r="E25" s="10"/>
      <c r="F25" s="10"/>
      <c r="G25" s="14">
        <f>IF(OR(B25="",D25=""),"",IFERROR(IF(INDEX(Protocolo!$D$5:$D$54,MATCH(B25,Protocolo!$A$5:$A$54,0))="meses",EDATE(D25,INDEX(Protocolo!$C$5:$C$54,MATCH(B25,Protocolo!$A$5:$A$54,0))),D25+INDEX(Protocolo!$C$5:$C$54,MATCH(B25,Protocolo!$A$5:$A$54,0))*IF(INDEX(Protocolo!$D$5:$D$54,MATCH(B25,Protocolo!$A$5:$A$54,0))="semanas",7,1)),""))</f>
      </c>
      <c r="H25" s="15">
        <f>IF(G25="","",G25-TODAY())</f>
      </c>
      <c r="I25" s="12">
        <f>IF(OR(A25="",B25="",D25=""),"",IF(D25=SUMPRODUCT(MAX(($A$5:$A$504=A25)*($B$5:$B$504=B25)*$D$5:$D$504)),"Sí","Reemplazada"))</f>
      </c>
      <c r="J25" s="12">
        <f>IF(I25="","",IF(I25="Reemplazada","Reemplazada",IF(H25="","Sin fecha",IF(H25&lt;0,"Vencida",IF(H25&lt;=IFERROR(IF(INDEX(Protocolo!$E$5:$E$54,MATCH(B25,Protocolo!$A$5:$A$54,0))="",30,INDEX(Protocolo!$E$5:$E$54,MATCH(B25,Protocolo!$A$5:$A$54,0))),30),"Por vencer","Vigente")))))</f>
      </c>
      <c r="K25" s="10"/>
    </row>
    <row r="26" spans="1:11" x14ac:dyDescent="0.25">
      <c r="A26" s="10"/>
      <c r="B26" s="10"/>
      <c r="C26" s="12">
        <f>IF(B26="","",IFERROR(INDEX(Protocolo!$B$5:$B$54,MATCH(B26,Protocolo!$A$5:$A$54,0)),""))</f>
      </c>
      <c r="D26" s="16"/>
      <c r="E26" s="10"/>
      <c r="F26" s="10"/>
      <c r="G26" s="14">
        <f>IF(OR(B26="",D26=""),"",IFERROR(IF(INDEX(Protocolo!$D$5:$D$54,MATCH(B26,Protocolo!$A$5:$A$54,0))="meses",EDATE(D26,INDEX(Protocolo!$C$5:$C$54,MATCH(B26,Protocolo!$A$5:$A$54,0))),D26+INDEX(Protocolo!$C$5:$C$54,MATCH(B26,Protocolo!$A$5:$A$54,0))*IF(INDEX(Protocolo!$D$5:$D$54,MATCH(B26,Protocolo!$A$5:$A$54,0))="semanas",7,1)),""))</f>
      </c>
      <c r="H26" s="15">
        <f>IF(G26="","",G26-TODAY())</f>
      </c>
      <c r="I26" s="12">
        <f>IF(OR(A26="",B26="",D26=""),"",IF(D26=SUMPRODUCT(MAX(($A$5:$A$504=A26)*($B$5:$B$504=B26)*$D$5:$D$504)),"Sí","Reemplazada"))</f>
      </c>
      <c r="J26" s="12">
        <f>IF(I26="","",IF(I26="Reemplazada","Reemplazada",IF(H26="","Sin fecha",IF(H26&lt;0,"Vencida",IF(H26&lt;=IFERROR(IF(INDEX(Protocolo!$E$5:$E$54,MATCH(B26,Protocolo!$A$5:$A$54,0))="",30,INDEX(Protocolo!$E$5:$E$54,MATCH(B26,Protocolo!$A$5:$A$54,0))),30),"Por vencer","Vigente")))))</f>
      </c>
      <c r="K26" s="10"/>
    </row>
    <row r="27" spans="1:11" x14ac:dyDescent="0.25">
      <c r="A27" s="10"/>
      <c r="B27" s="10"/>
      <c r="C27" s="12">
        <f>IF(B27="","",IFERROR(INDEX(Protocolo!$B$5:$B$54,MATCH(B27,Protocolo!$A$5:$A$54,0)),""))</f>
      </c>
      <c r="D27" s="16"/>
      <c r="E27" s="10"/>
      <c r="F27" s="10"/>
      <c r="G27" s="14">
        <f>IF(OR(B27="",D27=""),"",IFERROR(IF(INDEX(Protocolo!$D$5:$D$54,MATCH(B27,Protocolo!$A$5:$A$54,0))="meses",EDATE(D27,INDEX(Protocolo!$C$5:$C$54,MATCH(B27,Protocolo!$A$5:$A$54,0))),D27+INDEX(Protocolo!$C$5:$C$54,MATCH(B27,Protocolo!$A$5:$A$54,0))*IF(INDEX(Protocolo!$D$5:$D$54,MATCH(B27,Protocolo!$A$5:$A$54,0))="semanas",7,1)),""))</f>
      </c>
      <c r="H27" s="15">
        <f>IF(G27="","",G27-TODAY())</f>
      </c>
      <c r="I27" s="12">
        <f>IF(OR(A27="",B27="",D27=""),"",IF(D27=SUMPRODUCT(MAX(($A$5:$A$504=A27)*($B$5:$B$504=B27)*$D$5:$D$504)),"Sí","Reemplazada"))</f>
      </c>
      <c r="J27" s="12">
        <f>IF(I27="","",IF(I27="Reemplazada","Reemplazada",IF(H27="","Sin fecha",IF(H27&lt;0,"Vencida",IF(H27&lt;=IFERROR(IF(INDEX(Protocolo!$E$5:$E$54,MATCH(B27,Protocolo!$A$5:$A$54,0))="",30,INDEX(Protocolo!$E$5:$E$54,MATCH(B27,Protocolo!$A$5:$A$54,0))),30),"Por vencer","Vigente")))))</f>
      </c>
      <c r="K27" s="10"/>
    </row>
    <row r="28" spans="1:11" x14ac:dyDescent="0.25">
      <c r="A28" s="10"/>
      <c r="B28" s="10"/>
      <c r="C28" s="12">
        <f>IF(B28="","",IFERROR(INDEX(Protocolo!$B$5:$B$54,MATCH(B28,Protocolo!$A$5:$A$54,0)),""))</f>
      </c>
      <c r="D28" s="16"/>
      <c r="E28" s="10"/>
      <c r="F28" s="10"/>
      <c r="G28" s="14">
        <f>IF(OR(B28="",D28=""),"",IFERROR(IF(INDEX(Protocolo!$D$5:$D$54,MATCH(B28,Protocolo!$A$5:$A$54,0))="meses",EDATE(D28,INDEX(Protocolo!$C$5:$C$54,MATCH(B28,Protocolo!$A$5:$A$54,0))),D28+INDEX(Protocolo!$C$5:$C$54,MATCH(B28,Protocolo!$A$5:$A$54,0))*IF(INDEX(Protocolo!$D$5:$D$54,MATCH(B28,Protocolo!$A$5:$A$54,0))="semanas",7,1)),""))</f>
      </c>
      <c r="H28" s="15">
        <f>IF(G28="","",G28-TODAY())</f>
      </c>
      <c r="I28" s="12">
        <f>IF(OR(A28="",B28="",D28=""),"",IF(D28=SUMPRODUCT(MAX(($A$5:$A$504=A28)*($B$5:$B$504=B28)*$D$5:$D$504)),"Sí","Reemplazada"))</f>
      </c>
      <c r="J28" s="12">
        <f>IF(I28="","",IF(I28="Reemplazada","Reemplazada",IF(H28="","Sin fecha",IF(H28&lt;0,"Vencida",IF(H28&lt;=IFERROR(IF(INDEX(Protocolo!$E$5:$E$54,MATCH(B28,Protocolo!$A$5:$A$54,0))="",30,INDEX(Protocolo!$E$5:$E$54,MATCH(B28,Protocolo!$A$5:$A$54,0))),30),"Por vencer","Vigente")))))</f>
      </c>
      <c r="K28" s="10"/>
    </row>
    <row r="29" spans="1:11" x14ac:dyDescent="0.25">
      <c r="A29" s="10"/>
      <c r="B29" s="10"/>
      <c r="C29" s="12">
        <f>IF(B29="","",IFERROR(INDEX(Protocolo!$B$5:$B$54,MATCH(B29,Protocolo!$A$5:$A$54,0)),""))</f>
      </c>
      <c r="D29" s="16"/>
      <c r="E29" s="10"/>
      <c r="F29" s="10"/>
      <c r="G29" s="14">
        <f>IF(OR(B29="",D29=""),"",IFERROR(IF(INDEX(Protocolo!$D$5:$D$54,MATCH(B29,Protocolo!$A$5:$A$54,0))="meses",EDATE(D29,INDEX(Protocolo!$C$5:$C$54,MATCH(B29,Protocolo!$A$5:$A$54,0))),D29+INDEX(Protocolo!$C$5:$C$54,MATCH(B29,Protocolo!$A$5:$A$54,0))*IF(INDEX(Protocolo!$D$5:$D$54,MATCH(B29,Protocolo!$A$5:$A$54,0))="semanas",7,1)),""))</f>
      </c>
      <c r="H29" s="15">
        <f>IF(G29="","",G29-TODAY())</f>
      </c>
      <c r="I29" s="12">
        <f>IF(OR(A29="",B29="",D29=""),"",IF(D29=SUMPRODUCT(MAX(($A$5:$A$504=A29)*($B$5:$B$504=B29)*$D$5:$D$504)),"Sí","Reemplazada"))</f>
      </c>
      <c r="J29" s="12">
        <f>IF(I29="","",IF(I29="Reemplazada","Reemplazada",IF(H29="","Sin fecha",IF(H29&lt;0,"Vencida",IF(H29&lt;=IFERROR(IF(INDEX(Protocolo!$E$5:$E$54,MATCH(B29,Protocolo!$A$5:$A$54,0))="",30,INDEX(Protocolo!$E$5:$E$54,MATCH(B29,Protocolo!$A$5:$A$54,0))),30),"Por vencer","Vigente")))))</f>
      </c>
      <c r="K29" s="10"/>
    </row>
    <row r="30" spans="1:11" x14ac:dyDescent="0.25">
      <c r="A30" s="10"/>
      <c r="B30" s="10"/>
      <c r="C30" s="12">
        <f>IF(B30="","",IFERROR(INDEX(Protocolo!$B$5:$B$54,MATCH(B30,Protocolo!$A$5:$A$54,0)),""))</f>
      </c>
      <c r="D30" s="16"/>
      <c r="E30" s="10"/>
      <c r="F30" s="10"/>
      <c r="G30" s="14">
        <f>IF(OR(B30="",D30=""),"",IFERROR(IF(INDEX(Protocolo!$D$5:$D$54,MATCH(B30,Protocolo!$A$5:$A$54,0))="meses",EDATE(D30,INDEX(Protocolo!$C$5:$C$54,MATCH(B30,Protocolo!$A$5:$A$54,0))),D30+INDEX(Protocolo!$C$5:$C$54,MATCH(B30,Protocolo!$A$5:$A$54,0))*IF(INDEX(Protocolo!$D$5:$D$54,MATCH(B30,Protocolo!$A$5:$A$54,0))="semanas",7,1)),""))</f>
      </c>
      <c r="H30" s="15">
        <f>IF(G30="","",G30-TODAY())</f>
      </c>
      <c r="I30" s="12">
        <f>IF(OR(A30="",B30="",D30=""),"",IF(D30=SUMPRODUCT(MAX(($A$5:$A$504=A30)*($B$5:$B$504=B30)*$D$5:$D$504)),"Sí","Reemplazada"))</f>
      </c>
      <c r="J30" s="12">
        <f>IF(I30="","",IF(I30="Reemplazada","Reemplazada",IF(H30="","Sin fecha",IF(H30&lt;0,"Vencida",IF(H30&lt;=IFERROR(IF(INDEX(Protocolo!$E$5:$E$54,MATCH(B30,Protocolo!$A$5:$A$54,0))="",30,INDEX(Protocolo!$E$5:$E$54,MATCH(B30,Protocolo!$A$5:$A$54,0))),30),"Por vencer","Vigente")))))</f>
      </c>
      <c r="K30" s="10"/>
    </row>
    <row r="31" spans="1:11" x14ac:dyDescent="0.25">
      <c r="A31" s="10"/>
      <c r="B31" s="10"/>
      <c r="C31" s="12">
        <f>IF(B31="","",IFERROR(INDEX(Protocolo!$B$5:$B$54,MATCH(B31,Protocolo!$A$5:$A$54,0)),""))</f>
      </c>
      <c r="D31" s="16"/>
      <c r="E31" s="10"/>
      <c r="F31" s="10"/>
      <c r="G31" s="14">
        <f>IF(OR(B31="",D31=""),"",IFERROR(IF(INDEX(Protocolo!$D$5:$D$54,MATCH(B31,Protocolo!$A$5:$A$54,0))="meses",EDATE(D31,INDEX(Protocolo!$C$5:$C$54,MATCH(B31,Protocolo!$A$5:$A$54,0))),D31+INDEX(Protocolo!$C$5:$C$54,MATCH(B31,Protocolo!$A$5:$A$54,0))*IF(INDEX(Protocolo!$D$5:$D$54,MATCH(B31,Protocolo!$A$5:$A$54,0))="semanas",7,1)),""))</f>
      </c>
      <c r="H31" s="15">
        <f>IF(G31="","",G31-TODAY())</f>
      </c>
      <c r="I31" s="12">
        <f>IF(OR(A31="",B31="",D31=""),"",IF(D31=SUMPRODUCT(MAX(($A$5:$A$504=A31)*($B$5:$B$504=B31)*$D$5:$D$504)),"Sí","Reemplazada"))</f>
      </c>
      <c r="J31" s="12">
        <f>IF(I31="","",IF(I31="Reemplazada","Reemplazada",IF(H31="","Sin fecha",IF(H31&lt;0,"Vencida",IF(H31&lt;=IFERROR(IF(INDEX(Protocolo!$E$5:$E$54,MATCH(B31,Protocolo!$A$5:$A$54,0))="",30,INDEX(Protocolo!$E$5:$E$54,MATCH(B31,Protocolo!$A$5:$A$54,0))),30),"Por vencer","Vigente")))))</f>
      </c>
      <c r="K31" s="10"/>
    </row>
    <row r="32" spans="1:11" x14ac:dyDescent="0.25">
      <c r="A32" s="10"/>
      <c r="B32" s="10"/>
      <c r="C32" s="12">
        <f>IF(B32="","",IFERROR(INDEX(Protocolo!$B$5:$B$54,MATCH(B32,Protocolo!$A$5:$A$54,0)),""))</f>
      </c>
      <c r="D32" s="16"/>
      <c r="E32" s="10"/>
      <c r="F32" s="10"/>
      <c r="G32" s="14">
        <f>IF(OR(B32="",D32=""),"",IFERROR(IF(INDEX(Protocolo!$D$5:$D$54,MATCH(B32,Protocolo!$A$5:$A$54,0))="meses",EDATE(D32,INDEX(Protocolo!$C$5:$C$54,MATCH(B32,Protocolo!$A$5:$A$54,0))),D32+INDEX(Protocolo!$C$5:$C$54,MATCH(B32,Protocolo!$A$5:$A$54,0))*IF(INDEX(Protocolo!$D$5:$D$54,MATCH(B32,Protocolo!$A$5:$A$54,0))="semanas",7,1)),""))</f>
      </c>
      <c r="H32" s="15">
        <f>IF(G32="","",G32-TODAY())</f>
      </c>
      <c r="I32" s="12">
        <f>IF(OR(A32="",B32="",D32=""),"",IF(D32=SUMPRODUCT(MAX(($A$5:$A$504=A32)*($B$5:$B$504=B32)*$D$5:$D$504)),"Sí","Reemplazada"))</f>
      </c>
      <c r="J32" s="12">
        <f>IF(I32="","",IF(I32="Reemplazada","Reemplazada",IF(H32="","Sin fecha",IF(H32&lt;0,"Vencida",IF(H32&lt;=IFERROR(IF(INDEX(Protocolo!$E$5:$E$54,MATCH(B32,Protocolo!$A$5:$A$54,0))="",30,INDEX(Protocolo!$E$5:$E$54,MATCH(B32,Protocolo!$A$5:$A$54,0))),30),"Por vencer","Vigente")))))</f>
      </c>
      <c r="K32" s="10"/>
    </row>
    <row r="33" spans="1:11" x14ac:dyDescent="0.25">
      <c r="A33" s="10"/>
      <c r="B33" s="10"/>
      <c r="C33" s="12">
        <f>IF(B33="","",IFERROR(INDEX(Protocolo!$B$5:$B$54,MATCH(B33,Protocolo!$A$5:$A$54,0)),""))</f>
      </c>
      <c r="D33" s="16"/>
      <c r="E33" s="10"/>
      <c r="F33" s="10"/>
      <c r="G33" s="14">
        <f>IF(OR(B33="",D33=""),"",IFERROR(IF(INDEX(Protocolo!$D$5:$D$54,MATCH(B33,Protocolo!$A$5:$A$54,0))="meses",EDATE(D33,INDEX(Protocolo!$C$5:$C$54,MATCH(B33,Protocolo!$A$5:$A$54,0))),D33+INDEX(Protocolo!$C$5:$C$54,MATCH(B33,Protocolo!$A$5:$A$54,0))*IF(INDEX(Protocolo!$D$5:$D$54,MATCH(B33,Protocolo!$A$5:$A$54,0))="semanas",7,1)),""))</f>
      </c>
      <c r="H33" s="15">
        <f>IF(G33="","",G33-TODAY())</f>
      </c>
      <c r="I33" s="12">
        <f>IF(OR(A33="",B33="",D33=""),"",IF(D33=SUMPRODUCT(MAX(($A$5:$A$504=A33)*($B$5:$B$504=B33)*$D$5:$D$504)),"Sí","Reemplazada"))</f>
      </c>
      <c r="J33" s="12">
        <f>IF(I33="","",IF(I33="Reemplazada","Reemplazada",IF(H33="","Sin fecha",IF(H33&lt;0,"Vencida",IF(H33&lt;=IFERROR(IF(INDEX(Protocolo!$E$5:$E$54,MATCH(B33,Protocolo!$A$5:$A$54,0))="",30,INDEX(Protocolo!$E$5:$E$54,MATCH(B33,Protocolo!$A$5:$A$54,0))),30),"Por vencer","Vigente")))))</f>
      </c>
      <c r="K33" s="10"/>
    </row>
    <row r="34" spans="1:11" x14ac:dyDescent="0.25">
      <c r="A34" s="10"/>
      <c r="B34" s="10"/>
      <c r="C34" s="12">
        <f>IF(B34="","",IFERROR(INDEX(Protocolo!$B$5:$B$54,MATCH(B34,Protocolo!$A$5:$A$54,0)),""))</f>
      </c>
      <c r="D34" s="16"/>
      <c r="E34" s="10"/>
      <c r="F34" s="10"/>
      <c r="G34" s="14">
        <f>IF(OR(B34="",D34=""),"",IFERROR(IF(INDEX(Protocolo!$D$5:$D$54,MATCH(B34,Protocolo!$A$5:$A$54,0))="meses",EDATE(D34,INDEX(Protocolo!$C$5:$C$54,MATCH(B34,Protocolo!$A$5:$A$54,0))),D34+INDEX(Protocolo!$C$5:$C$54,MATCH(B34,Protocolo!$A$5:$A$54,0))*IF(INDEX(Protocolo!$D$5:$D$54,MATCH(B34,Protocolo!$A$5:$A$54,0))="semanas",7,1)),""))</f>
      </c>
      <c r="H34" s="15">
        <f>IF(G34="","",G34-TODAY())</f>
      </c>
      <c r="I34" s="12">
        <f>IF(OR(A34="",B34="",D34=""),"",IF(D34=SUMPRODUCT(MAX(($A$5:$A$504=A34)*($B$5:$B$504=B34)*$D$5:$D$504)),"Sí","Reemplazada"))</f>
      </c>
      <c r="J34" s="12">
        <f>IF(I34="","",IF(I34="Reemplazada","Reemplazada",IF(H34="","Sin fecha",IF(H34&lt;0,"Vencida",IF(H34&lt;=IFERROR(IF(INDEX(Protocolo!$E$5:$E$54,MATCH(B34,Protocolo!$A$5:$A$54,0))="",30,INDEX(Protocolo!$E$5:$E$54,MATCH(B34,Protocolo!$A$5:$A$54,0))),30),"Por vencer","Vigente")))))</f>
      </c>
      <c r="K34" s="10"/>
    </row>
    <row r="35" spans="1:11" x14ac:dyDescent="0.25">
      <c r="A35" s="10"/>
      <c r="B35" s="10"/>
      <c r="C35" s="12">
        <f>IF(B35="","",IFERROR(INDEX(Protocolo!$B$5:$B$54,MATCH(B35,Protocolo!$A$5:$A$54,0)),""))</f>
      </c>
      <c r="D35" s="16"/>
      <c r="E35" s="10"/>
      <c r="F35" s="10"/>
      <c r="G35" s="14">
        <f>IF(OR(B35="",D35=""),"",IFERROR(IF(INDEX(Protocolo!$D$5:$D$54,MATCH(B35,Protocolo!$A$5:$A$54,0))="meses",EDATE(D35,INDEX(Protocolo!$C$5:$C$54,MATCH(B35,Protocolo!$A$5:$A$54,0))),D35+INDEX(Protocolo!$C$5:$C$54,MATCH(B35,Protocolo!$A$5:$A$54,0))*IF(INDEX(Protocolo!$D$5:$D$54,MATCH(B35,Protocolo!$A$5:$A$54,0))="semanas",7,1)),""))</f>
      </c>
      <c r="H35" s="15">
        <f>IF(G35="","",G35-TODAY())</f>
      </c>
      <c r="I35" s="12">
        <f>IF(OR(A35="",B35="",D35=""),"",IF(D35=SUMPRODUCT(MAX(($A$5:$A$504=A35)*($B$5:$B$504=B35)*$D$5:$D$504)),"Sí","Reemplazada"))</f>
      </c>
      <c r="J35" s="12">
        <f>IF(I35="","",IF(I35="Reemplazada","Reemplazada",IF(H35="","Sin fecha",IF(H35&lt;0,"Vencida",IF(H35&lt;=IFERROR(IF(INDEX(Protocolo!$E$5:$E$54,MATCH(B35,Protocolo!$A$5:$A$54,0))="",30,INDEX(Protocolo!$E$5:$E$54,MATCH(B35,Protocolo!$A$5:$A$54,0))),30),"Por vencer","Vigente")))))</f>
      </c>
      <c r="K35" s="10"/>
    </row>
    <row r="36" spans="1:11" x14ac:dyDescent="0.25">
      <c r="A36" s="10"/>
      <c r="B36" s="10"/>
      <c r="C36" s="12">
        <f>IF(B36="","",IFERROR(INDEX(Protocolo!$B$5:$B$54,MATCH(B36,Protocolo!$A$5:$A$54,0)),""))</f>
      </c>
      <c r="D36" s="16"/>
      <c r="E36" s="10"/>
      <c r="F36" s="10"/>
      <c r="G36" s="14">
        <f>IF(OR(B36="",D36=""),"",IFERROR(IF(INDEX(Protocolo!$D$5:$D$54,MATCH(B36,Protocolo!$A$5:$A$54,0))="meses",EDATE(D36,INDEX(Protocolo!$C$5:$C$54,MATCH(B36,Protocolo!$A$5:$A$54,0))),D36+INDEX(Protocolo!$C$5:$C$54,MATCH(B36,Protocolo!$A$5:$A$54,0))*IF(INDEX(Protocolo!$D$5:$D$54,MATCH(B36,Protocolo!$A$5:$A$54,0))="semanas",7,1)),""))</f>
      </c>
      <c r="H36" s="15">
        <f>IF(G36="","",G36-TODAY())</f>
      </c>
      <c r="I36" s="12">
        <f>IF(OR(A36="",B36="",D36=""),"",IF(D36=SUMPRODUCT(MAX(($A$5:$A$504=A36)*($B$5:$B$504=B36)*$D$5:$D$504)),"Sí","Reemplazada"))</f>
      </c>
      <c r="J36" s="12">
        <f>IF(I36="","",IF(I36="Reemplazada","Reemplazada",IF(H36="","Sin fecha",IF(H36&lt;0,"Vencida",IF(H36&lt;=IFERROR(IF(INDEX(Protocolo!$E$5:$E$54,MATCH(B36,Protocolo!$A$5:$A$54,0))="",30,INDEX(Protocolo!$E$5:$E$54,MATCH(B36,Protocolo!$A$5:$A$54,0))),30),"Por vencer","Vigente")))))</f>
      </c>
      <c r="K36" s="10"/>
    </row>
    <row r="37" spans="1:11" x14ac:dyDescent="0.25">
      <c r="A37" s="10"/>
      <c r="B37" s="10"/>
      <c r="C37" s="12">
        <f>IF(B37="","",IFERROR(INDEX(Protocolo!$B$5:$B$54,MATCH(B37,Protocolo!$A$5:$A$54,0)),""))</f>
      </c>
      <c r="D37" s="16"/>
      <c r="E37" s="10"/>
      <c r="F37" s="10"/>
      <c r="G37" s="14">
        <f>IF(OR(B37="",D37=""),"",IFERROR(IF(INDEX(Protocolo!$D$5:$D$54,MATCH(B37,Protocolo!$A$5:$A$54,0))="meses",EDATE(D37,INDEX(Protocolo!$C$5:$C$54,MATCH(B37,Protocolo!$A$5:$A$54,0))),D37+INDEX(Protocolo!$C$5:$C$54,MATCH(B37,Protocolo!$A$5:$A$54,0))*IF(INDEX(Protocolo!$D$5:$D$54,MATCH(B37,Protocolo!$A$5:$A$54,0))="semanas",7,1)),""))</f>
      </c>
      <c r="H37" s="15">
        <f>IF(G37="","",G37-TODAY())</f>
      </c>
      <c r="I37" s="12">
        <f>IF(OR(A37="",B37="",D37=""),"",IF(D37=SUMPRODUCT(MAX(($A$5:$A$504=A37)*($B$5:$B$504=B37)*$D$5:$D$504)),"Sí","Reemplazada"))</f>
      </c>
      <c r="J37" s="12">
        <f>IF(I37="","",IF(I37="Reemplazada","Reemplazada",IF(H37="","Sin fecha",IF(H37&lt;0,"Vencida",IF(H37&lt;=IFERROR(IF(INDEX(Protocolo!$E$5:$E$54,MATCH(B37,Protocolo!$A$5:$A$54,0))="",30,INDEX(Protocolo!$E$5:$E$54,MATCH(B37,Protocolo!$A$5:$A$54,0))),30),"Por vencer","Vigente")))))</f>
      </c>
      <c r="K37" s="10"/>
    </row>
    <row r="38" spans="1:11" x14ac:dyDescent="0.25">
      <c r="A38" s="10"/>
      <c r="B38" s="10"/>
      <c r="C38" s="12">
        <f>IF(B38="","",IFERROR(INDEX(Protocolo!$B$5:$B$54,MATCH(B38,Protocolo!$A$5:$A$54,0)),""))</f>
      </c>
      <c r="D38" s="16"/>
      <c r="E38" s="10"/>
      <c r="F38" s="10"/>
      <c r="G38" s="14">
        <f>IF(OR(B38="",D38=""),"",IFERROR(IF(INDEX(Protocolo!$D$5:$D$54,MATCH(B38,Protocolo!$A$5:$A$54,0))="meses",EDATE(D38,INDEX(Protocolo!$C$5:$C$54,MATCH(B38,Protocolo!$A$5:$A$54,0))),D38+INDEX(Protocolo!$C$5:$C$54,MATCH(B38,Protocolo!$A$5:$A$54,0))*IF(INDEX(Protocolo!$D$5:$D$54,MATCH(B38,Protocolo!$A$5:$A$54,0))="semanas",7,1)),""))</f>
      </c>
      <c r="H38" s="15">
        <f>IF(G38="","",G38-TODAY())</f>
      </c>
      <c r="I38" s="12">
        <f>IF(OR(A38="",B38="",D38=""),"",IF(D38=SUMPRODUCT(MAX(($A$5:$A$504=A38)*($B$5:$B$504=B38)*$D$5:$D$504)),"Sí","Reemplazada"))</f>
      </c>
      <c r="J38" s="12">
        <f>IF(I38="","",IF(I38="Reemplazada","Reemplazada",IF(H38="","Sin fecha",IF(H38&lt;0,"Vencida",IF(H38&lt;=IFERROR(IF(INDEX(Protocolo!$E$5:$E$54,MATCH(B38,Protocolo!$A$5:$A$54,0))="",30,INDEX(Protocolo!$E$5:$E$54,MATCH(B38,Protocolo!$A$5:$A$54,0))),30),"Por vencer","Vigente")))))</f>
      </c>
      <c r="K38" s="10"/>
    </row>
    <row r="39" spans="1:11" x14ac:dyDescent="0.25">
      <c r="A39" s="10"/>
      <c r="B39" s="10"/>
      <c r="C39" s="12">
        <f>IF(B39="","",IFERROR(INDEX(Protocolo!$B$5:$B$54,MATCH(B39,Protocolo!$A$5:$A$54,0)),""))</f>
      </c>
      <c r="D39" s="16"/>
      <c r="E39" s="10"/>
      <c r="F39" s="10"/>
      <c r="G39" s="14">
        <f>IF(OR(B39="",D39=""),"",IFERROR(IF(INDEX(Protocolo!$D$5:$D$54,MATCH(B39,Protocolo!$A$5:$A$54,0))="meses",EDATE(D39,INDEX(Protocolo!$C$5:$C$54,MATCH(B39,Protocolo!$A$5:$A$54,0))),D39+INDEX(Protocolo!$C$5:$C$54,MATCH(B39,Protocolo!$A$5:$A$54,0))*IF(INDEX(Protocolo!$D$5:$D$54,MATCH(B39,Protocolo!$A$5:$A$54,0))="semanas",7,1)),""))</f>
      </c>
      <c r="H39" s="15">
        <f>IF(G39="","",G39-TODAY())</f>
      </c>
      <c r="I39" s="12">
        <f>IF(OR(A39="",B39="",D39=""),"",IF(D39=SUMPRODUCT(MAX(($A$5:$A$504=A39)*($B$5:$B$504=B39)*$D$5:$D$504)),"Sí","Reemplazada"))</f>
      </c>
      <c r="J39" s="12">
        <f>IF(I39="","",IF(I39="Reemplazada","Reemplazada",IF(H39="","Sin fecha",IF(H39&lt;0,"Vencida",IF(H39&lt;=IFERROR(IF(INDEX(Protocolo!$E$5:$E$54,MATCH(B39,Protocolo!$A$5:$A$54,0))="",30,INDEX(Protocolo!$E$5:$E$54,MATCH(B39,Protocolo!$A$5:$A$54,0))),30),"Por vencer","Vigente")))))</f>
      </c>
      <c r="K39" s="10"/>
    </row>
    <row r="40" spans="1:11" x14ac:dyDescent="0.25">
      <c r="A40" s="10"/>
      <c r="B40" s="10"/>
      <c r="C40" s="12">
        <f>IF(B40="","",IFERROR(INDEX(Protocolo!$B$5:$B$54,MATCH(B40,Protocolo!$A$5:$A$54,0)),""))</f>
      </c>
      <c r="D40" s="16"/>
      <c r="E40" s="10"/>
      <c r="F40" s="10"/>
      <c r="G40" s="14">
        <f>IF(OR(B40="",D40=""),"",IFERROR(IF(INDEX(Protocolo!$D$5:$D$54,MATCH(B40,Protocolo!$A$5:$A$54,0))="meses",EDATE(D40,INDEX(Protocolo!$C$5:$C$54,MATCH(B40,Protocolo!$A$5:$A$54,0))),D40+INDEX(Protocolo!$C$5:$C$54,MATCH(B40,Protocolo!$A$5:$A$54,0))*IF(INDEX(Protocolo!$D$5:$D$54,MATCH(B40,Protocolo!$A$5:$A$54,0))="semanas",7,1)),""))</f>
      </c>
      <c r="H40" s="15">
        <f>IF(G40="","",G40-TODAY())</f>
      </c>
      <c r="I40" s="12">
        <f>IF(OR(A40="",B40="",D40=""),"",IF(D40=SUMPRODUCT(MAX(($A$5:$A$504=A40)*($B$5:$B$504=B40)*$D$5:$D$504)),"Sí","Reemplazada"))</f>
      </c>
      <c r="J40" s="12">
        <f>IF(I40="","",IF(I40="Reemplazada","Reemplazada",IF(H40="","Sin fecha",IF(H40&lt;0,"Vencida",IF(H40&lt;=IFERROR(IF(INDEX(Protocolo!$E$5:$E$54,MATCH(B40,Protocolo!$A$5:$A$54,0))="",30,INDEX(Protocolo!$E$5:$E$54,MATCH(B40,Protocolo!$A$5:$A$54,0))),30),"Por vencer","Vigente")))))</f>
      </c>
      <c r="K40" s="10"/>
    </row>
    <row r="41" spans="1:11" x14ac:dyDescent="0.25">
      <c r="A41" s="10"/>
      <c r="B41" s="10"/>
      <c r="C41" s="12">
        <f>IF(B41="","",IFERROR(INDEX(Protocolo!$B$5:$B$54,MATCH(B41,Protocolo!$A$5:$A$54,0)),""))</f>
      </c>
      <c r="D41" s="16"/>
      <c r="E41" s="10"/>
      <c r="F41" s="10"/>
      <c r="G41" s="14">
        <f>IF(OR(B41="",D41=""),"",IFERROR(IF(INDEX(Protocolo!$D$5:$D$54,MATCH(B41,Protocolo!$A$5:$A$54,0))="meses",EDATE(D41,INDEX(Protocolo!$C$5:$C$54,MATCH(B41,Protocolo!$A$5:$A$54,0))),D41+INDEX(Protocolo!$C$5:$C$54,MATCH(B41,Protocolo!$A$5:$A$54,0))*IF(INDEX(Protocolo!$D$5:$D$54,MATCH(B41,Protocolo!$A$5:$A$54,0))="semanas",7,1)),""))</f>
      </c>
      <c r="H41" s="15">
        <f>IF(G41="","",G41-TODAY())</f>
      </c>
      <c r="I41" s="12">
        <f>IF(OR(A41="",B41="",D41=""),"",IF(D41=SUMPRODUCT(MAX(($A$5:$A$504=A41)*($B$5:$B$504=B41)*$D$5:$D$504)),"Sí","Reemplazada"))</f>
      </c>
      <c r="J41" s="12">
        <f>IF(I41="","",IF(I41="Reemplazada","Reemplazada",IF(H41="","Sin fecha",IF(H41&lt;0,"Vencida",IF(H41&lt;=IFERROR(IF(INDEX(Protocolo!$E$5:$E$54,MATCH(B41,Protocolo!$A$5:$A$54,0))="",30,INDEX(Protocolo!$E$5:$E$54,MATCH(B41,Protocolo!$A$5:$A$54,0))),30),"Por vencer","Vigente")))))</f>
      </c>
      <c r="K41" s="10"/>
    </row>
    <row r="42" spans="1:11" x14ac:dyDescent="0.25">
      <c r="A42" s="10"/>
      <c r="B42" s="10"/>
      <c r="C42" s="12">
        <f>IF(B42="","",IFERROR(INDEX(Protocolo!$B$5:$B$54,MATCH(B42,Protocolo!$A$5:$A$54,0)),""))</f>
      </c>
      <c r="D42" s="16"/>
      <c r="E42" s="10"/>
      <c r="F42" s="10"/>
      <c r="G42" s="14">
        <f>IF(OR(B42="",D42=""),"",IFERROR(IF(INDEX(Protocolo!$D$5:$D$54,MATCH(B42,Protocolo!$A$5:$A$54,0))="meses",EDATE(D42,INDEX(Protocolo!$C$5:$C$54,MATCH(B42,Protocolo!$A$5:$A$54,0))),D42+INDEX(Protocolo!$C$5:$C$54,MATCH(B42,Protocolo!$A$5:$A$54,0))*IF(INDEX(Protocolo!$D$5:$D$54,MATCH(B42,Protocolo!$A$5:$A$54,0))="semanas",7,1)),""))</f>
      </c>
      <c r="H42" s="15">
        <f>IF(G42="","",G42-TODAY())</f>
      </c>
      <c r="I42" s="12">
        <f>IF(OR(A42="",B42="",D42=""),"",IF(D42=SUMPRODUCT(MAX(($A$5:$A$504=A42)*($B$5:$B$504=B42)*$D$5:$D$504)),"Sí","Reemplazada"))</f>
      </c>
      <c r="J42" s="12">
        <f>IF(I42="","",IF(I42="Reemplazada","Reemplazada",IF(H42="","Sin fecha",IF(H42&lt;0,"Vencida",IF(H42&lt;=IFERROR(IF(INDEX(Protocolo!$E$5:$E$54,MATCH(B42,Protocolo!$A$5:$A$54,0))="",30,INDEX(Protocolo!$E$5:$E$54,MATCH(B42,Protocolo!$A$5:$A$54,0))),30),"Por vencer","Vigente")))))</f>
      </c>
      <c r="K42" s="10"/>
    </row>
    <row r="43" spans="1:11" x14ac:dyDescent="0.25">
      <c r="A43" s="10"/>
      <c r="B43" s="10"/>
      <c r="C43" s="12">
        <f>IF(B43="","",IFERROR(INDEX(Protocolo!$B$5:$B$54,MATCH(B43,Protocolo!$A$5:$A$54,0)),""))</f>
      </c>
      <c r="D43" s="16"/>
      <c r="E43" s="10"/>
      <c r="F43" s="10"/>
      <c r="G43" s="14">
        <f>IF(OR(B43="",D43=""),"",IFERROR(IF(INDEX(Protocolo!$D$5:$D$54,MATCH(B43,Protocolo!$A$5:$A$54,0))="meses",EDATE(D43,INDEX(Protocolo!$C$5:$C$54,MATCH(B43,Protocolo!$A$5:$A$54,0))),D43+INDEX(Protocolo!$C$5:$C$54,MATCH(B43,Protocolo!$A$5:$A$54,0))*IF(INDEX(Protocolo!$D$5:$D$54,MATCH(B43,Protocolo!$A$5:$A$54,0))="semanas",7,1)),""))</f>
      </c>
      <c r="H43" s="15">
        <f>IF(G43="","",G43-TODAY())</f>
      </c>
      <c r="I43" s="12">
        <f>IF(OR(A43="",B43="",D43=""),"",IF(D43=SUMPRODUCT(MAX(($A$5:$A$504=A43)*($B$5:$B$504=B43)*$D$5:$D$504)),"Sí","Reemplazada"))</f>
      </c>
      <c r="J43" s="12">
        <f>IF(I43="","",IF(I43="Reemplazada","Reemplazada",IF(H43="","Sin fecha",IF(H43&lt;0,"Vencida",IF(H43&lt;=IFERROR(IF(INDEX(Protocolo!$E$5:$E$54,MATCH(B43,Protocolo!$A$5:$A$54,0))="",30,INDEX(Protocolo!$E$5:$E$54,MATCH(B43,Protocolo!$A$5:$A$54,0))),30),"Por vencer","Vigente")))))</f>
      </c>
      <c r="K43" s="10"/>
    </row>
    <row r="44" spans="1:11" x14ac:dyDescent="0.25">
      <c r="A44" s="10"/>
      <c r="B44" s="10"/>
      <c r="C44" s="12">
        <f>IF(B44="","",IFERROR(INDEX(Protocolo!$B$5:$B$54,MATCH(B44,Protocolo!$A$5:$A$54,0)),""))</f>
      </c>
      <c r="D44" s="16"/>
      <c r="E44" s="10"/>
      <c r="F44" s="10"/>
      <c r="G44" s="14">
        <f>IF(OR(B44="",D44=""),"",IFERROR(IF(INDEX(Protocolo!$D$5:$D$54,MATCH(B44,Protocolo!$A$5:$A$54,0))="meses",EDATE(D44,INDEX(Protocolo!$C$5:$C$54,MATCH(B44,Protocolo!$A$5:$A$54,0))),D44+INDEX(Protocolo!$C$5:$C$54,MATCH(B44,Protocolo!$A$5:$A$54,0))*IF(INDEX(Protocolo!$D$5:$D$54,MATCH(B44,Protocolo!$A$5:$A$54,0))="semanas",7,1)),""))</f>
      </c>
      <c r="H44" s="15">
        <f>IF(G44="","",G44-TODAY())</f>
      </c>
      <c r="I44" s="12">
        <f>IF(OR(A44="",B44="",D44=""),"",IF(D44=SUMPRODUCT(MAX(($A$5:$A$504=A44)*($B$5:$B$504=B44)*$D$5:$D$504)),"Sí","Reemplazada"))</f>
      </c>
      <c r="J44" s="12">
        <f>IF(I44="","",IF(I44="Reemplazada","Reemplazada",IF(H44="","Sin fecha",IF(H44&lt;0,"Vencida",IF(H44&lt;=IFERROR(IF(INDEX(Protocolo!$E$5:$E$54,MATCH(B44,Protocolo!$A$5:$A$54,0))="",30,INDEX(Protocolo!$E$5:$E$54,MATCH(B44,Protocolo!$A$5:$A$54,0))),30),"Por vencer","Vigente")))))</f>
      </c>
      <c r="K44" s="10"/>
    </row>
    <row r="45" spans="1:11" x14ac:dyDescent="0.25">
      <c r="A45" s="10"/>
      <c r="B45" s="10"/>
      <c r="C45" s="12">
        <f>IF(B45="","",IFERROR(INDEX(Protocolo!$B$5:$B$54,MATCH(B45,Protocolo!$A$5:$A$54,0)),""))</f>
      </c>
      <c r="D45" s="16"/>
      <c r="E45" s="10"/>
      <c r="F45" s="10"/>
      <c r="G45" s="14">
        <f>IF(OR(B45="",D45=""),"",IFERROR(IF(INDEX(Protocolo!$D$5:$D$54,MATCH(B45,Protocolo!$A$5:$A$54,0))="meses",EDATE(D45,INDEX(Protocolo!$C$5:$C$54,MATCH(B45,Protocolo!$A$5:$A$54,0))),D45+INDEX(Protocolo!$C$5:$C$54,MATCH(B45,Protocolo!$A$5:$A$54,0))*IF(INDEX(Protocolo!$D$5:$D$54,MATCH(B45,Protocolo!$A$5:$A$54,0))="semanas",7,1)),""))</f>
      </c>
      <c r="H45" s="15">
        <f>IF(G45="","",G45-TODAY())</f>
      </c>
      <c r="I45" s="12">
        <f>IF(OR(A45="",B45="",D45=""),"",IF(D45=SUMPRODUCT(MAX(($A$5:$A$504=A45)*($B$5:$B$504=B45)*$D$5:$D$504)),"Sí","Reemplazada"))</f>
      </c>
      <c r="J45" s="12">
        <f>IF(I45="","",IF(I45="Reemplazada","Reemplazada",IF(H45="","Sin fecha",IF(H45&lt;0,"Vencida",IF(H45&lt;=IFERROR(IF(INDEX(Protocolo!$E$5:$E$54,MATCH(B45,Protocolo!$A$5:$A$54,0))="",30,INDEX(Protocolo!$E$5:$E$54,MATCH(B45,Protocolo!$A$5:$A$54,0))),30),"Por vencer","Vigente")))))</f>
      </c>
      <c r="K45" s="10"/>
    </row>
    <row r="46" spans="1:11" x14ac:dyDescent="0.25">
      <c r="A46" s="10"/>
      <c r="B46" s="10"/>
      <c r="C46" s="12">
        <f>IF(B46="","",IFERROR(INDEX(Protocolo!$B$5:$B$54,MATCH(B46,Protocolo!$A$5:$A$54,0)),""))</f>
      </c>
      <c r="D46" s="16"/>
      <c r="E46" s="10"/>
      <c r="F46" s="10"/>
      <c r="G46" s="14">
        <f>IF(OR(B46="",D46=""),"",IFERROR(IF(INDEX(Protocolo!$D$5:$D$54,MATCH(B46,Protocolo!$A$5:$A$54,0))="meses",EDATE(D46,INDEX(Protocolo!$C$5:$C$54,MATCH(B46,Protocolo!$A$5:$A$54,0))),D46+INDEX(Protocolo!$C$5:$C$54,MATCH(B46,Protocolo!$A$5:$A$54,0))*IF(INDEX(Protocolo!$D$5:$D$54,MATCH(B46,Protocolo!$A$5:$A$54,0))="semanas",7,1)),""))</f>
      </c>
      <c r="H46" s="15">
        <f>IF(G46="","",G46-TODAY())</f>
      </c>
      <c r="I46" s="12">
        <f>IF(OR(A46="",B46="",D46=""),"",IF(D46=SUMPRODUCT(MAX(($A$5:$A$504=A46)*($B$5:$B$504=B46)*$D$5:$D$504)),"Sí","Reemplazada"))</f>
      </c>
      <c r="J46" s="12">
        <f>IF(I46="","",IF(I46="Reemplazada","Reemplazada",IF(H46="","Sin fecha",IF(H46&lt;0,"Vencida",IF(H46&lt;=IFERROR(IF(INDEX(Protocolo!$E$5:$E$54,MATCH(B46,Protocolo!$A$5:$A$54,0))="",30,INDEX(Protocolo!$E$5:$E$54,MATCH(B46,Protocolo!$A$5:$A$54,0))),30),"Por vencer","Vigente")))))</f>
      </c>
      <c r="K46" s="10"/>
    </row>
    <row r="47" spans="1:11" x14ac:dyDescent="0.25">
      <c r="A47" s="10"/>
      <c r="B47" s="10"/>
      <c r="C47" s="12">
        <f>IF(B47="","",IFERROR(INDEX(Protocolo!$B$5:$B$54,MATCH(B47,Protocolo!$A$5:$A$54,0)),""))</f>
      </c>
      <c r="D47" s="16"/>
      <c r="E47" s="10"/>
      <c r="F47" s="10"/>
      <c r="G47" s="14">
        <f>IF(OR(B47="",D47=""),"",IFERROR(IF(INDEX(Protocolo!$D$5:$D$54,MATCH(B47,Protocolo!$A$5:$A$54,0))="meses",EDATE(D47,INDEX(Protocolo!$C$5:$C$54,MATCH(B47,Protocolo!$A$5:$A$54,0))),D47+INDEX(Protocolo!$C$5:$C$54,MATCH(B47,Protocolo!$A$5:$A$54,0))*IF(INDEX(Protocolo!$D$5:$D$54,MATCH(B47,Protocolo!$A$5:$A$54,0))="semanas",7,1)),""))</f>
      </c>
      <c r="H47" s="15">
        <f>IF(G47="","",G47-TODAY())</f>
      </c>
      <c r="I47" s="12">
        <f>IF(OR(A47="",B47="",D47=""),"",IF(D47=SUMPRODUCT(MAX(($A$5:$A$504=A47)*($B$5:$B$504=B47)*$D$5:$D$504)),"Sí","Reemplazada"))</f>
      </c>
      <c r="J47" s="12">
        <f>IF(I47="","",IF(I47="Reemplazada","Reemplazada",IF(H47="","Sin fecha",IF(H47&lt;0,"Vencida",IF(H47&lt;=IFERROR(IF(INDEX(Protocolo!$E$5:$E$54,MATCH(B47,Protocolo!$A$5:$A$54,0))="",30,INDEX(Protocolo!$E$5:$E$54,MATCH(B47,Protocolo!$A$5:$A$54,0))),30),"Por vencer","Vigente")))))</f>
      </c>
      <c r="K47" s="10"/>
    </row>
    <row r="48" spans="1:11" x14ac:dyDescent="0.25">
      <c r="A48" s="10"/>
      <c r="B48" s="10"/>
      <c r="C48" s="12">
        <f>IF(B48="","",IFERROR(INDEX(Protocolo!$B$5:$B$54,MATCH(B48,Protocolo!$A$5:$A$54,0)),""))</f>
      </c>
      <c r="D48" s="16"/>
      <c r="E48" s="10"/>
      <c r="F48" s="10"/>
      <c r="G48" s="14">
        <f>IF(OR(B48="",D48=""),"",IFERROR(IF(INDEX(Protocolo!$D$5:$D$54,MATCH(B48,Protocolo!$A$5:$A$54,0))="meses",EDATE(D48,INDEX(Protocolo!$C$5:$C$54,MATCH(B48,Protocolo!$A$5:$A$54,0))),D48+INDEX(Protocolo!$C$5:$C$54,MATCH(B48,Protocolo!$A$5:$A$54,0))*IF(INDEX(Protocolo!$D$5:$D$54,MATCH(B48,Protocolo!$A$5:$A$54,0))="semanas",7,1)),""))</f>
      </c>
      <c r="H48" s="15">
        <f>IF(G48="","",G48-TODAY())</f>
      </c>
      <c r="I48" s="12">
        <f>IF(OR(A48="",B48="",D48=""),"",IF(D48=SUMPRODUCT(MAX(($A$5:$A$504=A48)*($B$5:$B$504=B48)*$D$5:$D$504)),"Sí","Reemplazada"))</f>
      </c>
      <c r="J48" s="12">
        <f>IF(I48="","",IF(I48="Reemplazada","Reemplazada",IF(H48="","Sin fecha",IF(H48&lt;0,"Vencida",IF(H48&lt;=IFERROR(IF(INDEX(Protocolo!$E$5:$E$54,MATCH(B48,Protocolo!$A$5:$A$54,0))="",30,INDEX(Protocolo!$E$5:$E$54,MATCH(B48,Protocolo!$A$5:$A$54,0))),30),"Por vencer","Vigente")))))</f>
      </c>
      <c r="K48" s="10"/>
    </row>
    <row r="49" spans="1:11" x14ac:dyDescent="0.25">
      <c r="A49" s="10"/>
      <c r="B49" s="10"/>
      <c r="C49" s="12">
        <f>IF(B49="","",IFERROR(INDEX(Protocolo!$B$5:$B$54,MATCH(B49,Protocolo!$A$5:$A$54,0)),""))</f>
      </c>
      <c r="D49" s="16"/>
      <c r="E49" s="10"/>
      <c r="F49" s="10"/>
      <c r="G49" s="14">
        <f>IF(OR(B49="",D49=""),"",IFERROR(IF(INDEX(Protocolo!$D$5:$D$54,MATCH(B49,Protocolo!$A$5:$A$54,0))="meses",EDATE(D49,INDEX(Protocolo!$C$5:$C$54,MATCH(B49,Protocolo!$A$5:$A$54,0))),D49+INDEX(Protocolo!$C$5:$C$54,MATCH(B49,Protocolo!$A$5:$A$54,0))*IF(INDEX(Protocolo!$D$5:$D$54,MATCH(B49,Protocolo!$A$5:$A$54,0))="semanas",7,1)),""))</f>
      </c>
      <c r="H49" s="15">
        <f>IF(G49="","",G49-TODAY())</f>
      </c>
      <c r="I49" s="12">
        <f>IF(OR(A49="",B49="",D49=""),"",IF(D49=SUMPRODUCT(MAX(($A$5:$A$504=A49)*($B$5:$B$504=B49)*$D$5:$D$504)),"Sí","Reemplazada"))</f>
      </c>
      <c r="J49" s="12">
        <f>IF(I49="","",IF(I49="Reemplazada","Reemplazada",IF(H49="","Sin fecha",IF(H49&lt;0,"Vencida",IF(H49&lt;=IFERROR(IF(INDEX(Protocolo!$E$5:$E$54,MATCH(B49,Protocolo!$A$5:$A$54,0))="",30,INDEX(Protocolo!$E$5:$E$54,MATCH(B49,Protocolo!$A$5:$A$54,0))),30),"Por vencer","Vigente")))))</f>
      </c>
      <c r="K49" s="10"/>
    </row>
    <row r="50" spans="1:11" x14ac:dyDescent="0.25">
      <c r="A50" s="10"/>
      <c r="B50" s="10"/>
      <c r="C50" s="12">
        <f>IF(B50="","",IFERROR(INDEX(Protocolo!$B$5:$B$54,MATCH(B50,Protocolo!$A$5:$A$54,0)),""))</f>
      </c>
      <c r="D50" s="16"/>
      <c r="E50" s="10"/>
      <c r="F50" s="10"/>
      <c r="G50" s="14">
        <f>IF(OR(B50="",D50=""),"",IFERROR(IF(INDEX(Protocolo!$D$5:$D$54,MATCH(B50,Protocolo!$A$5:$A$54,0))="meses",EDATE(D50,INDEX(Protocolo!$C$5:$C$54,MATCH(B50,Protocolo!$A$5:$A$54,0))),D50+INDEX(Protocolo!$C$5:$C$54,MATCH(B50,Protocolo!$A$5:$A$54,0))*IF(INDEX(Protocolo!$D$5:$D$54,MATCH(B50,Protocolo!$A$5:$A$54,0))="semanas",7,1)),""))</f>
      </c>
      <c r="H50" s="15">
        <f>IF(G50="","",G50-TODAY())</f>
      </c>
      <c r="I50" s="12">
        <f>IF(OR(A50="",B50="",D50=""),"",IF(D50=SUMPRODUCT(MAX(($A$5:$A$504=A50)*($B$5:$B$504=B50)*$D$5:$D$504)),"Sí","Reemplazada"))</f>
      </c>
      <c r="J50" s="12">
        <f>IF(I50="","",IF(I50="Reemplazada","Reemplazada",IF(H50="","Sin fecha",IF(H50&lt;0,"Vencida",IF(H50&lt;=IFERROR(IF(INDEX(Protocolo!$E$5:$E$54,MATCH(B50,Protocolo!$A$5:$A$54,0))="",30,INDEX(Protocolo!$E$5:$E$54,MATCH(B50,Protocolo!$A$5:$A$54,0))),30),"Por vencer","Vigente")))))</f>
      </c>
      <c r="K50" s="10"/>
    </row>
    <row r="51" spans="1:11" x14ac:dyDescent="0.25">
      <c r="A51" s="10"/>
      <c r="B51" s="10"/>
      <c r="C51" s="12">
        <f>IF(B51="","",IFERROR(INDEX(Protocolo!$B$5:$B$54,MATCH(B51,Protocolo!$A$5:$A$54,0)),""))</f>
      </c>
      <c r="D51" s="16"/>
      <c r="E51" s="10"/>
      <c r="F51" s="10"/>
      <c r="G51" s="14">
        <f>IF(OR(B51="",D51=""),"",IFERROR(IF(INDEX(Protocolo!$D$5:$D$54,MATCH(B51,Protocolo!$A$5:$A$54,0))="meses",EDATE(D51,INDEX(Protocolo!$C$5:$C$54,MATCH(B51,Protocolo!$A$5:$A$54,0))),D51+INDEX(Protocolo!$C$5:$C$54,MATCH(B51,Protocolo!$A$5:$A$54,0))*IF(INDEX(Protocolo!$D$5:$D$54,MATCH(B51,Protocolo!$A$5:$A$54,0))="semanas",7,1)),""))</f>
      </c>
      <c r="H51" s="15">
        <f>IF(G51="","",G51-TODAY())</f>
      </c>
      <c r="I51" s="12">
        <f>IF(OR(A51="",B51="",D51=""),"",IF(D51=SUMPRODUCT(MAX(($A$5:$A$504=A51)*($B$5:$B$504=B51)*$D$5:$D$504)),"Sí","Reemplazada"))</f>
      </c>
      <c r="J51" s="12">
        <f>IF(I51="","",IF(I51="Reemplazada","Reemplazada",IF(H51="","Sin fecha",IF(H51&lt;0,"Vencida",IF(H51&lt;=IFERROR(IF(INDEX(Protocolo!$E$5:$E$54,MATCH(B51,Protocolo!$A$5:$A$54,0))="",30,INDEX(Protocolo!$E$5:$E$54,MATCH(B51,Protocolo!$A$5:$A$54,0))),30),"Por vencer","Vigente")))))</f>
      </c>
      <c r="K51" s="10"/>
    </row>
    <row r="52" spans="1:11" x14ac:dyDescent="0.25">
      <c r="A52" s="10"/>
      <c r="B52" s="10"/>
      <c r="C52" s="12">
        <f>IF(B52="","",IFERROR(INDEX(Protocolo!$B$5:$B$54,MATCH(B52,Protocolo!$A$5:$A$54,0)),""))</f>
      </c>
      <c r="D52" s="16"/>
      <c r="E52" s="10"/>
      <c r="F52" s="10"/>
      <c r="G52" s="14">
        <f>IF(OR(B52="",D52=""),"",IFERROR(IF(INDEX(Protocolo!$D$5:$D$54,MATCH(B52,Protocolo!$A$5:$A$54,0))="meses",EDATE(D52,INDEX(Protocolo!$C$5:$C$54,MATCH(B52,Protocolo!$A$5:$A$54,0))),D52+INDEX(Protocolo!$C$5:$C$54,MATCH(B52,Protocolo!$A$5:$A$54,0))*IF(INDEX(Protocolo!$D$5:$D$54,MATCH(B52,Protocolo!$A$5:$A$54,0))="semanas",7,1)),""))</f>
      </c>
      <c r="H52" s="15">
        <f>IF(G52="","",G52-TODAY())</f>
      </c>
      <c r="I52" s="12">
        <f>IF(OR(A52="",B52="",D52=""),"",IF(D52=SUMPRODUCT(MAX(($A$5:$A$504=A52)*($B$5:$B$504=B52)*$D$5:$D$504)),"Sí","Reemplazada"))</f>
      </c>
      <c r="J52" s="12">
        <f>IF(I52="","",IF(I52="Reemplazada","Reemplazada",IF(H52="","Sin fecha",IF(H52&lt;0,"Vencida",IF(H52&lt;=IFERROR(IF(INDEX(Protocolo!$E$5:$E$54,MATCH(B52,Protocolo!$A$5:$A$54,0))="",30,INDEX(Protocolo!$E$5:$E$54,MATCH(B52,Protocolo!$A$5:$A$54,0))),30),"Por vencer","Vigente")))))</f>
      </c>
      <c r="K52" s="10"/>
    </row>
    <row r="53" spans="1:11" x14ac:dyDescent="0.25">
      <c r="A53" s="10"/>
      <c r="B53" s="10"/>
      <c r="C53" s="12">
        <f>IF(B53="","",IFERROR(INDEX(Protocolo!$B$5:$B$54,MATCH(B53,Protocolo!$A$5:$A$54,0)),""))</f>
      </c>
      <c r="D53" s="16"/>
      <c r="E53" s="10"/>
      <c r="F53" s="10"/>
      <c r="G53" s="14">
        <f>IF(OR(B53="",D53=""),"",IFERROR(IF(INDEX(Protocolo!$D$5:$D$54,MATCH(B53,Protocolo!$A$5:$A$54,0))="meses",EDATE(D53,INDEX(Protocolo!$C$5:$C$54,MATCH(B53,Protocolo!$A$5:$A$54,0))),D53+INDEX(Protocolo!$C$5:$C$54,MATCH(B53,Protocolo!$A$5:$A$54,0))*IF(INDEX(Protocolo!$D$5:$D$54,MATCH(B53,Protocolo!$A$5:$A$54,0))="semanas",7,1)),""))</f>
      </c>
      <c r="H53" s="15">
        <f>IF(G53="","",G53-TODAY())</f>
      </c>
      <c r="I53" s="12">
        <f>IF(OR(A53="",B53="",D53=""),"",IF(D53=SUMPRODUCT(MAX(($A$5:$A$504=A53)*($B$5:$B$504=B53)*$D$5:$D$504)),"Sí","Reemplazada"))</f>
      </c>
      <c r="J53" s="12">
        <f>IF(I53="","",IF(I53="Reemplazada","Reemplazada",IF(H53="","Sin fecha",IF(H53&lt;0,"Vencida",IF(H53&lt;=IFERROR(IF(INDEX(Protocolo!$E$5:$E$54,MATCH(B53,Protocolo!$A$5:$A$54,0))="",30,INDEX(Protocolo!$E$5:$E$54,MATCH(B53,Protocolo!$A$5:$A$54,0))),30),"Por vencer","Vigente")))))</f>
      </c>
      <c r="K53" s="10"/>
    </row>
    <row r="54" spans="1:11" x14ac:dyDescent="0.25">
      <c r="A54" s="10"/>
      <c r="B54" s="10"/>
      <c r="C54" s="12">
        <f>IF(B54="","",IFERROR(INDEX(Protocolo!$B$5:$B$54,MATCH(B54,Protocolo!$A$5:$A$54,0)),""))</f>
      </c>
      <c r="D54" s="16"/>
      <c r="E54" s="10"/>
      <c r="F54" s="10"/>
      <c r="G54" s="14">
        <f>IF(OR(B54="",D54=""),"",IFERROR(IF(INDEX(Protocolo!$D$5:$D$54,MATCH(B54,Protocolo!$A$5:$A$54,0))="meses",EDATE(D54,INDEX(Protocolo!$C$5:$C$54,MATCH(B54,Protocolo!$A$5:$A$54,0))),D54+INDEX(Protocolo!$C$5:$C$54,MATCH(B54,Protocolo!$A$5:$A$54,0))*IF(INDEX(Protocolo!$D$5:$D$54,MATCH(B54,Protocolo!$A$5:$A$54,0))="semanas",7,1)),""))</f>
      </c>
      <c r="H54" s="15">
        <f>IF(G54="","",G54-TODAY())</f>
      </c>
      <c r="I54" s="12">
        <f>IF(OR(A54="",B54="",D54=""),"",IF(D54=SUMPRODUCT(MAX(($A$5:$A$504=A54)*($B$5:$B$504=B54)*$D$5:$D$504)),"Sí","Reemplazada"))</f>
      </c>
      <c r="J54" s="12">
        <f>IF(I54="","",IF(I54="Reemplazada","Reemplazada",IF(H54="","Sin fecha",IF(H54&lt;0,"Vencida",IF(H54&lt;=IFERROR(IF(INDEX(Protocolo!$E$5:$E$54,MATCH(B54,Protocolo!$A$5:$A$54,0))="",30,INDEX(Protocolo!$E$5:$E$54,MATCH(B54,Protocolo!$A$5:$A$54,0))),30),"Por vencer","Vigente")))))</f>
      </c>
      <c r="K54" s="10"/>
    </row>
    <row r="55" spans="1:11" x14ac:dyDescent="0.25">
      <c r="A55" s="10"/>
      <c r="B55" s="10"/>
      <c r="C55" s="12">
        <f>IF(B55="","",IFERROR(INDEX(Protocolo!$B$5:$B$54,MATCH(B55,Protocolo!$A$5:$A$54,0)),""))</f>
      </c>
      <c r="D55" s="16"/>
      <c r="E55" s="10"/>
      <c r="F55" s="10"/>
      <c r="G55" s="14">
        <f>IF(OR(B55="",D55=""),"",IFERROR(IF(INDEX(Protocolo!$D$5:$D$54,MATCH(B55,Protocolo!$A$5:$A$54,0))="meses",EDATE(D55,INDEX(Protocolo!$C$5:$C$54,MATCH(B55,Protocolo!$A$5:$A$54,0))),D55+INDEX(Protocolo!$C$5:$C$54,MATCH(B55,Protocolo!$A$5:$A$54,0))*IF(INDEX(Protocolo!$D$5:$D$54,MATCH(B55,Protocolo!$A$5:$A$54,0))="semanas",7,1)),""))</f>
      </c>
      <c r="H55" s="15">
        <f>IF(G55="","",G55-TODAY())</f>
      </c>
      <c r="I55" s="12">
        <f>IF(OR(A55="",B55="",D55=""),"",IF(D55=SUMPRODUCT(MAX(($A$5:$A$504=A55)*($B$5:$B$504=B55)*$D$5:$D$504)),"Sí","Reemplazada"))</f>
      </c>
      <c r="J55" s="12">
        <f>IF(I55="","",IF(I55="Reemplazada","Reemplazada",IF(H55="","Sin fecha",IF(H55&lt;0,"Vencida",IF(H55&lt;=IFERROR(IF(INDEX(Protocolo!$E$5:$E$54,MATCH(B55,Protocolo!$A$5:$A$54,0))="",30,INDEX(Protocolo!$E$5:$E$54,MATCH(B55,Protocolo!$A$5:$A$54,0))),30),"Por vencer","Vigente")))))</f>
      </c>
      <c r="K55" s="10"/>
    </row>
    <row r="56" spans="1:11" x14ac:dyDescent="0.25">
      <c r="A56" s="10"/>
      <c r="B56" s="10"/>
      <c r="C56" s="12">
        <f>IF(B56="","",IFERROR(INDEX(Protocolo!$B$5:$B$54,MATCH(B56,Protocolo!$A$5:$A$54,0)),""))</f>
      </c>
      <c r="D56" s="16"/>
      <c r="E56" s="10"/>
      <c r="F56" s="10"/>
      <c r="G56" s="14">
        <f>IF(OR(B56="",D56=""),"",IFERROR(IF(INDEX(Protocolo!$D$5:$D$54,MATCH(B56,Protocolo!$A$5:$A$54,0))="meses",EDATE(D56,INDEX(Protocolo!$C$5:$C$54,MATCH(B56,Protocolo!$A$5:$A$54,0))),D56+INDEX(Protocolo!$C$5:$C$54,MATCH(B56,Protocolo!$A$5:$A$54,0))*IF(INDEX(Protocolo!$D$5:$D$54,MATCH(B56,Protocolo!$A$5:$A$54,0))="semanas",7,1)),""))</f>
      </c>
      <c r="H56" s="15">
        <f>IF(G56="","",G56-TODAY())</f>
      </c>
      <c r="I56" s="12">
        <f>IF(OR(A56="",B56="",D56=""),"",IF(D56=SUMPRODUCT(MAX(($A$5:$A$504=A56)*($B$5:$B$504=B56)*$D$5:$D$504)),"Sí","Reemplazada"))</f>
      </c>
      <c r="J56" s="12">
        <f>IF(I56="","",IF(I56="Reemplazada","Reemplazada",IF(H56="","Sin fecha",IF(H56&lt;0,"Vencida",IF(H56&lt;=IFERROR(IF(INDEX(Protocolo!$E$5:$E$54,MATCH(B56,Protocolo!$A$5:$A$54,0))="",30,INDEX(Protocolo!$E$5:$E$54,MATCH(B56,Protocolo!$A$5:$A$54,0))),30),"Por vencer","Vigente")))))</f>
      </c>
      <c r="K56" s="10"/>
    </row>
    <row r="57" spans="1:11" x14ac:dyDescent="0.25">
      <c r="A57" s="10"/>
      <c r="B57" s="10"/>
      <c r="C57" s="12">
        <f>IF(B57="","",IFERROR(INDEX(Protocolo!$B$5:$B$54,MATCH(B57,Protocolo!$A$5:$A$54,0)),""))</f>
      </c>
      <c r="D57" s="16"/>
      <c r="E57" s="10"/>
      <c r="F57" s="10"/>
      <c r="G57" s="14">
        <f>IF(OR(B57="",D57=""),"",IFERROR(IF(INDEX(Protocolo!$D$5:$D$54,MATCH(B57,Protocolo!$A$5:$A$54,0))="meses",EDATE(D57,INDEX(Protocolo!$C$5:$C$54,MATCH(B57,Protocolo!$A$5:$A$54,0))),D57+INDEX(Protocolo!$C$5:$C$54,MATCH(B57,Protocolo!$A$5:$A$54,0))*IF(INDEX(Protocolo!$D$5:$D$54,MATCH(B57,Protocolo!$A$5:$A$54,0))="semanas",7,1)),""))</f>
      </c>
      <c r="H57" s="15">
        <f>IF(G57="","",G57-TODAY())</f>
      </c>
      <c r="I57" s="12">
        <f>IF(OR(A57="",B57="",D57=""),"",IF(D57=SUMPRODUCT(MAX(($A$5:$A$504=A57)*($B$5:$B$504=B57)*$D$5:$D$504)),"Sí","Reemplazada"))</f>
      </c>
      <c r="J57" s="12">
        <f>IF(I57="","",IF(I57="Reemplazada","Reemplazada",IF(H57="","Sin fecha",IF(H57&lt;0,"Vencida",IF(H57&lt;=IFERROR(IF(INDEX(Protocolo!$E$5:$E$54,MATCH(B57,Protocolo!$A$5:$A$54,0))="",30,INDEX(Protocolo!$E$5:$E$54,MATCH(B57,Protocolo!$A$5:$A$54,0))),30),"Por vencer","Vigente")))))</f>
      </c>
      <c r="K57" s="10"/>
    </row>
    <row r="58" spans="1:11" x14ac:dyDescent="0.25">
      <c r="A58" s="10"/>
      <c r="B58" s="10"/>
      <c r="C58" s="12">
        <f>IF(B58="","",IFERROR(INDEX(Protocolo!$B$5:$B$54,MATCH(B58,Protocolo!$A$5:$A$54,0)),""))</f>
      </c>
      <c r="D58" s="16"/>
      <c r="E58" s="10"/>
      <c r="F58" s="10"/>
      <c r="G58" s="14">
        <f>IF(OR(B58="",D58=""),"",IFERROR(IF(INDEX(Protocolo!$D$5:$D$54,MATCH(B58,Protocolo!$A$5:$A$54,0))="meses",EDATE(D58,INDEX(Protocolo!$C$5:$C$54,MATCH(B58,Protocolo!$A$5:$A$54,0))),D58+INDEX(Protocolo!$C$5:$C$54,MATCH(B58,Protocolo!$A$5:$A$54,0))*IF(INDEX(Protocolo!$D$5:$D$54,MATCH(B58,Protocolo!$A$5:$A$54,0))="semanas",7,1)),""))</f>
      </c>
      <c r="H58" s="15">
        <f>IF(G58="","",G58-TODAY())</f>
      </c>
      <c r="I58" s="12">
        <f>IF(OR(A58="",B58="",D58=""),"",IF(D58=SUMPRODUCT(MAX(($A$5:$A$504=A58)*($B$5:$B$504=B58)*$D$5:$D$504)),"Sí","Reemplazada"))</f>
      </c>
      <c r="J58" s="12">
        <f>IF(I58="","",IF(I58="Reemplazada","Reemplazada",IF(H58="","Sin fecha",IF(H58&lt;0,"Vencida",IF(H58&lt;=IFERROR(IF(INDEX(Protocolo!$E$5:$E$54,MATCH(B58,Protocolo!$A$5:$A$54,0))="",30,INDEX(Protocolo!$E$5:$E$54,MATCH(B58,Protocolo!$A$5:$A$54,0))),30),"Por vencer","Vigente")))))</f>
      </c>
      <c r="K58" s="10"/>
    </row>
    <row r="59" spans="1:11" x14ac:dyDescent="0.25">
      <c r="A59" s="10"/>
      <c r="B59" s="10"/>
      <c r="C59" s="12">
        <f>IF(B59="","",IFERROR(INDEX(Protocolo!$B$5:$B$54,MATCH(B59,Protocolo!$A$5:$A$54,0)),""))</f>
      </c>
      <c r="D59" s="16"/>
      <c r="E59" s="10"/>
      <c r="F59" s="10"/>
      <c r="G59" s="14">
        <f>IF(OR(B59="",D59=""),"",IFERROR(IF(INDEX(Protocolo!$D$5:$D$54,MATCH(B59,Protocolo!$A$5:$A$54,0))="meses",EDATE(D59,INDEX(Protocolo!$C$5:$C$54,MATCH(B59,Protocolo!$A$5:$A$54,0))),D59+INDEX(Protocolo!$C$5:$C$54,MATCH(B59,Protocolo!$A$5:$A$54,0))*IF(INDEX(Protocolo!$D$5:$D$54,MATCH(B59,Protocolo!$A$5:$A$54,0))="semanas",7,1)),""))</f>
      </c>
      <c r="H59" s="15">
        <f>IF(G59="","",G59-TODAY())</f>
      </c>
      <c r="I59" s="12">
        <f>IF(OR(A59="",B59="",D59=""),"",IF(D59=SUMPRODUCT(MAX(($A$5:$A$504=A59)*($B$5:$B$504=B59)*$D$5:$D$504)),"Sí","Reemplazada"))</f>
      </c>
      <c r="J59" s="12">
        <f>IF(I59="","",IF(I59="Reemplazada","Reemplazada",IF(H59="","Sin fecha",IF(H59&lt;0,"Vencida",IF(H59&lt;=IFERROR(IF(INDEX(Protocolo!$E$5:$E$54,MATCH(B59,Protocolo!$A$5:$A$54,0))="",30,INDEX(Protocolo!$E$5:$E$54,MATCH(B59,Protocolo!$A$5:$A$54,0))),30),"Por vencer","Vigente")))))</f>
      </c>
      <c r="K59" s="10"/>
    </row>
    <row r="60" spans="1:11" x14ac:dyDescent="0.25">
      <c r="A60" s="10"/>
      <c r="B60" s="10"/>
      <c r="C60" s="12">
        <f>IF(B60="","",IFERROR(INDEX(Protocolo!$B$5:$B$54,MATCH(B60,Protocolo!$A$5:$A$54,0)),""))</f>
      </c>
      <c r="D60" s="16"/>
      <c r="E60" s="10"/>
      <c r="F60" s="10"/>
      <c r="G60" s="14">
        <f>IF(OR(B60="",D60=""),"",IFERROR(IF(INDEX(Protocolo!$D$5:$D$54,MATCH(B60,Protocolo!$A$5:$A$54,0))="meses",EDATE(D60,INDEX(Protocolo!$C$5:$C$54,MATCH(B60,Protocolo!$A$5:$A$54,0))),D60+INDEX(Protocolo!$C$5:$C$54,MATCH(B60,Protocolo!$A$5:$A$54,0))*IF(INDEX(Protocolo!$D$5:$D$54,MATCH(B60,Protocolo!$A$5:$A$54,0))="semanas",7,1)),""))</f>
      </c>
      <c r="H60" s="15">
        <f>IF(G60="","",G60-TODAY())</f>
      </c>
      <c r="I60" s="12">
        <f>IF(OR(A60="",B60="",D60=""),"",IF(D60=SUMPRODUCT(MAX(($A$5:$A$504=A60)*($B$5:$B$504=B60)*$D$5:$D$504)),"Sí","Reemplazada"))</f>
      </c>
      <c r="J60" s="12">
        <f>IF(I60="","",IF(I60="Reemplazada","Reemplazada",IF(H60="","Sin fecha",IF(H60&lt;0,"Vencida",IF(H60&lt;=IFERROR(IF(INDEX(Protocolo!$E$5:$E$54,MATCH(B60,Protocolo!$A$5:$A$54,0))="",30,INDEX(Protocolo!$E$5:$E$54,MATCH(B60,Protocolo!$A$5:$A$54,0))),30),"Por vencer","Vigente")))))</f>
      </c>
      <c r="K60" s="10"/>
    </row>
    <row r="61" spans="1:11" x14ac:dyDescent="0.25">
      <c r="A61" s="10"/>
      <c r="B61" s="10"/>
      <c r="C61" s="12">
        <f>IF(B61="","",IFERROR(INDEX(Protocolo!$B$5:$B$54,MATCH(B61,Protocolo!$A$5:$A$54,0)),""))</f>
      </c>
      <c r="D61" s="16"/>
      <c r="E61" s="10"/>
      <c r="F61" s="10"/>
      <c r="G61" s="14">
        <f>IF(OR(B61="",D61=""),"",IFERROR(IF(INDEX(Protocolo!$D$5:$D$54,MATCH(B61,Protocolo!$A$5:$A$54,0))="meses",EDATE(D61,INDEX(Protocolo!$C$5:$C$54,MATCH(B61,Protocolo!$A$5:$A$54,0))),D61+INDEX(Protocolo!$C$5:$C$54,MATCH(B61,Protocolo!$A$5:$A$54,0))*IF(INDEX(Protocolo!$D$5:$D$54,MATCH(B61,Protocolo!$A$5:$A$54,0))="semanas",7,1)),""))</f>
      </c>
      <c r="H61" s="15">
        <f>IF(G61="","",G61-TODAY())</f>
      </c>
      <c r="I61" s="12">
        <f>IF(OR(A61="",B61="",D61=""),"",IF(D61=SUMPRODUCT(MAX(($A$5:$A$504=A61)*($B$5:$B$504=B61)*$D$5:$D$504)),"Sí","Reemplazada"))</f>
      </c>
      <c r="J61" s="12">
        <f>IF(I61="","",IF(I61="Reemplazada","Reemplazada",IF(H61="","Sin fecha",IF(H61&lt;0,"Vencida",IF(H61&lt;=IFERROR(IF(INDEX(Protocolo!$E$5:$E$54,MATCH(B61,Protocolo!$A$5:$A$54,0))="",30,INDEX(Protocolo!$E$5:$E$54,MATCH(B61,Protocolo!$A$5:$A$54,0))),30),"Por vencer","Vigente")))))</f>
      </c>
      <c r="K61" s="10"/>
    </row>
    <row r="62" spans="1:11" x14ac:dyDescent="0.25">
      <c r="A62" s="10"/>
      <c r="B62" s="10"/>
      <c r="C62" s="12">
        <f>IF(B62="","",IFERROR(INDEX(Protocolo!$B$5:$B$54,MATCH(B62,Protocolo!$A$5:$A$54,0)),""))</f>
      </c>
      <c r="D62" s="16"/>
      <c r="E62" s="10"/>
      <c r="F62" s="10"/>
      <c r="G62" s="14">
        <f>IF(OR(B62="",D62=""),"",IFERROR(IF(INDEX(Protocolo!$D$5:$D$54,MATCH(B62,Protocolo!$A$5:$A$54,0))="meses",EDATE(D62,INDEX(Protocolo!$C$5:$C$54,MATCH(B62,Protocolo!$A$5:$A$54,0))),D62+INDEX(Protocolo!$C$5:$C$54,MATCH(B62,Protocolo!$A$5:$A$54,0))*IF(INDEX(Protocolo!$D$5:$D$54,MATCH(B62,Protocolo!$A$5:$A$54,0))="semanas",7,1)),""))</f>
      </c>
      <c r="H62" s="15">
        <f>IF(G62="","",G62-TODAY())</f>
      </c>
      <c r="I62" s="12">
        <f>IF(OR(A62="",B62="",D62=""),"",IF(D62=SUMPRODUCT(MAX(($A$5:$A$504=A62)*($B$5:$B$504=B62)*$D$5:$D$504)),"Sí","Reemplazada"))</f>
      </c>
      <c r="J62" s="12">
        <f>IF(I62="","",IF(I62="Reemplazada","Reemplazada",IF(H62="","Sin fecha",IF(H62&lt;0,"Vencida",IF(H62&lt;=IFERROR(IF(INDEX(Protocolo!$E$5:$E$54,MATCH(B62,Protocolo!$A$5:$A$54,0))="",30,INDEX(Protocolo!$E$5:$E$54,MATCH(B62,Protocolo!$A$5:$A$54,0))),30),"Por vencer","Vigente")))))</f>
      </c>
      <c r="K62" s="10"/>
    </row>
    <row r="63" spans="1:11" x14ac:dyDescent="0.25">
      <c r="A63" s="10"/>
      <c r="B63" s="10"/>
      <c r="C63" s="12">
        <f>IF(B63="","",IFERROR(INDEX(Protocolo!$B$5:$B$54,MATCH(B63,Protocolo!$A$5:$A$54,0)),""))</f>
      </c>
      <c r="D63" s="16"/>
      <c r="E63" s="10"/>
      <c r="F63" s="10"/>
      <c r="G63" s="14">
        <f>IF(OR(B63="",D63=""),"",IFERROR(IF(INDEX(Protocolo!$D$5:$D$54,MATCH(B63,Protocolo!$A$5:$A$54,0))="meses",EDATE(D63,INDEX(Protocolo!$C$5:$C$54,MATCH(B63,Protocolo!$A$5:$A$54,0))),D63+INDEX(Protocolo!$C$5:$C$54,MATCH(B63,Protocolo!$A$5:$A$54,0))*IF(INDEX(Protocolo!$D$5:$D$54,MATCH(B63,Protocolo!$A$5:$A$54,0))="semanas",7,1)),""))</f>
      </c>
      <c r="H63" s="15">
        <f>IF(G63="","",G63-TODAY())</f>
      </c>
      <c r="I63" s="12">
        <f>IF(OR(A63="",B63="",D63=""),"",IF(D63=SUMPRODUCT(MAX(($A$5:$A$504=A63)*($B$5:$B$504=B63)*$D$5:$D$504)),"Sí","Reemplazada"))</f>
      </c>
      <c r="J63" s="12">
        <f>IF(I63="","",IF(I63="Reemplazada","Reemplazada",IF(H63="","Sin fecha",IF(H63&lt;0,"Vencida",IF(H63&lt;=IFERROR(IF(INDEX(Protocolo!$E$5:$E$54,MATCH(B63,Protocolo!$A$5:$A$54,0))="",30,INDEX(Protocolo!$E$5:$E$54,MATCH(B63,Protocolo!$A$5:$A$54,0))),30),"Por vencer","Vigente")))))</f>
      </c>
      <c r="K63" s="10"/>
    </row>
    <row r="64" spans="1:11" x14ac:dyDescent="0.25">
      <c r="A64" s="10"/>
      <c r="B64" s="10"/>
      <c r="C64" s="12">
        <f>IF(B64="","",IFERROR(INDEX(Protocolo!$B$5:$B$54,MATCH(B64,Protocolo!$A$5:$A$54,0)),""))</f>
      </c>
      <c r="D64" s="16"/>
      <c r="E64" s="10"/>
      <c r="F64" s="10"/>
      <c r="G64" s="14">
        <f>IF(OR(B64="",D64=""),"",IFERROR(IF(INDEX(Protocolo!$D$5:$D$54,MATCH(B64,Protocolo!$A$5:$A$54,0))="meses",EDATE(D64,INDEX(Protocolo!$C$5:$C$54,MATCH(B64,Protocolo!$A$5:$A$54,0))),D64+INDEX(Protocolo!$C$5:$C$54,MATCH(B64,Protocolo!$A$5:$A$54,0))*IF(INDEX(Protocolo!$D$5:$D$54,MATCH(B64,Protocolo!$A$5:$A$54,0))="semanas",7,1)),""))</f>
      </c>
      <c r="H64" s="15">
        <f>IF(G64="","",G64-TODAY())</f>
      </c>
      <c r="I64" s="12">
        <f>IF(OR(A64="",B64="",D64=""),"",IF(D64=SUMPRODUCT(MAX(($A$5:$A$504=A64)*($B$5:$B$504=B64)*$D$5:$D$504)),"Sí","Reemplazada"))</f>
      </c>
      <c r="J64" s="12">
        <f>IF(I64="","",IF(I64="Reemplazada","Reemplazada",IF(H64="","Sin fecha",IF(H64&lt;0,"Vencida",IF(H64&lt;=IFERROR(IF(INDEX(Protocolo!$E$5:$E$54,MATCH(B64,Protocolo!$A$5:$A$54,0))="",30,INDEX(Protocolo!$E$5:$E$54,MATCH(B64,Protocolo!$A$5:$A$54,0))),30),"Por vencer","Vigente")))))</f>
      </c>
      <c r="K64" s="10"/>
    </row>
    <row r="65" spans="1:11" x14ac:dyDescent="0.25">
      <c r="A65" s="10"/>
      <c r="B65" s="10"/>
      <c r="C65" s="12">
        <f>IF(B65="","",IFERROR(INDEX(Protocolo!$B$5:$B$54,MATCH(B65,Protocolo!$A$5:$A$54,0)),""))</f>
      </c>
      <c r="D65" s="16"/>
      <c r="E65" s="10"/>
      <c r="F65" s="10"/>
      <c r="G65" s="14">
        <f>IF(OR(B65="",D65=""),"",IFERROR(IF(INDEX(Protocolo!$D$5:$D$54,MATCH(B65,Protocolo!$A$5:$A$54,0))="meses",EDATE(D65,INDEX(Protocolo!$C$5:$C$54,MATCH(B65,Protocolo!$A$5:$A$54,0))),D65+INDEX(Protocolo!$C$5:$C$54,MATCH(B65,Protocolo!$A$5:$A$54,0))*IF(INDEX(Protocolo!$D$5:$D$54,MATCH(B65,Protocolo!$A$5:$A$54,0))="semanas",7,1)),""))</f>
      </c>
      <c r="H65" s="15">
        <f>IF(G65="","",G65-TODAY())</f>
      </c>
      <c r="I65" s="12">
        <f>IF(OR(A65="",B65="",D65=""),"",IF(D65=SUMPRODUCT(MAX(($A$5:$A$504=A65)*($B$5:$B$504=B65)*$D$5:$D$504)),"Sí","Reemplazada"))</f>
      </c>
      <c r="J65" s="12">
        <f>IF(I65="","",IF(I65="Reemplazada","Reemplazada",IF(H65="","Sin fecha",IF(H65&lt;0,"Vencida",IF(H65&lt;=IFERROR(IF(INDEX(Protocolo!$E$5:$E$54,MATCH(B65,Protocolo!$A$5:$A$54,0))="",30,INDEX(Protocolo!$E$5:$E$54,MATCH(B65,Protocolo!$A$5:$A$54,0))),30),"Por vencer","Vigente")))))</f>
      </c>
      <c r="K65" s="10"/>
    </row>
    <row r="66" spans="1:11" x14ac:dyDescent="0.25">
      <c r="A66" s="10"/>
      <c r="B66" s="10"/>
      <c r="C66" s="12">
        <f>IF(B66="","",IFERROR(INDEX(Protocolo!$B$5:$B$54,MATCH(B66,Protocolo!$A$5:$A$54,0)),""))</f>
      </c>
      <c r="D66" s="16"/>
      <c r="E66" s="10"/>
      <c r="F66" s="10"/>
      <c r="G66" s="14">
        <f>IF(OR(B66="",D66=""),"",IFERROR(IF(INDEX(Protocolo!$D$5:$D$54,MATCH(B66,Protocolo!$A$5:$A$54,0))="meses",EDATE(D66,INDEX(Protocolo!$C$5:$C$54,MATCH(B66,Protocolo!$A$5:$A$54,0))),D66+INDEX(Protocolo!$C$5:$C$54,MATCH(B66,Protocolo!$A$5:$A$54,0))*IF(INDEX(Protocolo!$D$5:$D$54,MATCH(B66,Protocolo!$A$5:$A$54,0))="semanas",7,1)),""))</f>
      </c>
      <c r="H66" s="15">
        <f>IF(G66="","",G66-TODAY())</f>
      </c>
      <c r="I66" s="12">
        <f>IF(OR(A66="",B66="",D66=""),"",IF(D66=SUMPRODUCT(MAX(($A$5:$A$504=A66)*($B$5:$B$504=B66)*$D$5:$D$504)),"Sí","Reemplazada"))</f>
      </c>
      <c r="J66" s="12">
        <f>IF(I66="","",IF(I66="Reemplazada","Reemplazada",IF(H66="","Sin fecha",IF(H66&lt;0,"Vencida",IF(H66&lt;=IFERROR(IF(INDEX(Protocolo!$E$5:$E$54,MATCH(B66,Protocolo!$A$5:$A$54,0))="",30,INDEX(Protocolo!$E$5:$E$54,MATCH(B66,Protocolo!$A$5:$A$54,0))),30),"Por vencer","Vigente")))))</f>
      </c>
      <c r="K66" s="10"/>
    </row>
    <row r="67" spans="1:11" x14ac:dyDescent="0.25">
      <c r="A67" s="10"/>
      <c r="B67" s="10"/>
      <c r="C67" s="12">
        <f>IF(B67="","",IFERROR(INDEX(Protocolo!$B$5:$B$54,MATCH(B67,Protocolo!$A$5:$A$54,0)),""))</f>
      </c>
      <c r="D67" s="16"/>
      <c r="E67" s="10"/>
      <c r="F67" s="10"/>
      <c r="G67" s="14">
        <f>IF(OR(B67="",D67=""),"",IFERROR(IF(INDEX(Protocolo!$D$5:$D$54,MATCH(B67,Protocolo!$A$5:$A$54,0))="meses",EDATE(D67,INDEX(Protocolo!$C$5:$C$54,MATCH(B67,Protocolo!$A$5:$A$54,0))),D67+INDEX(Protocolo!$C$5:$C$54,MATCH(B67,Protocolo!$A$5:$A$54,0))*IF(INDEX(Protocolo!$D$5:$D$54,MATCH(B67,Protocolo!$A$5:$A$54,0))="semanas",7,1)),""))</f>
      </c>
      <c r="H67" s="15">
        <f>IF(G67="","",G67-TODAY())</f>
      </c>
      <c r="I67" s="12">
        <f>IF(OR(A67="",B67="",D67=""),"",IF(D67=SUMPRODUCT(MAX(($A$5:$A$504=A67)*($B$5:$B$504=B67)*$D$5:$D$504)),"Sí","Reemplazada"))</f>
      </c>
      <c r="J67" s="12">
        <f>IF(I67="","",IF(I67="Reemplazada","Reemplazada",IF(H67="","Sin fecha",IF(H67&lt;0,"Vencida",IF(H67&lt;=IFERROR(IF(INDEX(Protocolo!$E$5:$E$54,MATCH(B67,Protocolo!$A$5:$A$54,0))="",30,INDEX(Protocolo!$E$5:$E$54,MATCH(B67,Protocolo!$A$5:$A$54,0))),30),"Por vencer","Vigente")))))</f>
      </c>
      <c r="K67" s="10"/>
    </row>
    <row r="68" spans="1:11" x14ac:dyDescent="0.25">
      <c r="A68" s="10"/>
      <c r="B68" s="10"/>
      <c r="C68" s="12">
        <f>IF(B68="","",IFERROR(INDEX(Protocolo!$B$5:$B$54,MATCH(B68,Protocolo!$A$5:$A$54,0)),""))</f>
      </c>
      <c r="D68" s="16"/>
      <c r="E68" s="10"/>
      <c r="F68" s="10"/>
      <c r="G68" s="14">
        <f>IF(OR(B68="",D68=""),"",IFERROR(IF(INDEX(Protocolo!$D$5:$D$54,MATCH(B68,Protocolo!$A$5:$A$54,0))="meses",EDATE(D68,INDEX(Protocolo!$C$5:$C$54,MATCH(B68,Protocolo!$A$5:$A$54,0))),D68+INDEX(Protocolo!$C$5:$C$54,MATCH(B68,Protocolo!$A$5:$A$54,0))*IF(INDEX(Protocolo!$D$5:$D$54,MATCH(B68,Protocolo!$A$5:$A$54,0))="semanas",7,1)),""))</f>
      </c>
      <c r="H68" s="15">
        <f>IF(G68="","",G68-TODAY())</f>
      </c>
      <c r="I68" s="12">
        <f>IF(OR(A68="",B68="",D68=""),"",IF(D68=SUMPRODUCT(MAX(($A$5:$A$504=A68)*($B$5:$B$504=B68)*$D$5:$D$504)),"Sí","Reemplazada"))</f>
      </c>
      <c r="J68" s="12">
        <f>IF(I68="","",IF(I68="Reemplazada","Reemplazada",IF(H68="","Sin fecha",IF(H68&lt;0,"Vencida",IF(H68&lt;=IFERROR(IF(INDEX(Protocolo!$E$5:$E$54,MATCH(B68,Protocolo!$A$5:$A$54,0))="",30,INDEX(Protocolo!$E$5:$E$54,MATCH(B68,Protocolo!$A$5:$A$54,0))),30),"Por vencer","Vigente")))))</f>
      </c>
      <c r="K68" s="10"/>
    </row>
    <row r="69" spans="1:11" x14ac:dyDescent="0.25">
      <c r="A69" s="10"/>
      <c r="B69" s="10"/>
      <c r="C69" s="12">
        <f>IF(B69="","",IFERROR(INDEX(Protocolo!$B$5:$B$54,MATCH(B69,Protocolo!$A$5:$A$54,0)),""))</f>
      </c>
      <c r="D69" s="16"/>
      <c r="E69" s="10"/>
      <c r="F69" s="10"/>
      <c r="G69" s="14">
        <f>IF(OR(B69="",D69=""),"",IFERROR(IF(INDEX(Protocolo!$D$5:$D$54,MATCH(B69,Protocolo!$A$5:$A$54,0))="meses",EDATE(D69,INDEX(Protocolo!$C$5:$C$54,MATCH(B69,Protocolo!$A$5:$A$54,0))),D69+INDEX(Protocolo!$C$5:$C$54,MATCH(B69,Protocolo!$A$5:$A$54,0))*IF(INDEX(Protocolo!$D$5:$D$54,MATCH(B69,Protocolo!$A$5:$A$54,0))="semanas",7,1)),""))</f>
      </c>
      <c r="H69" s="15">
        <f>IF(G69="","",G69-TODAY())</f>
      </c>
      <c r="I69" s="12">
        <f>IF(OR(A69="",B69="",D69=""),"",IF(D69=SUMPRODUCT(MAX(($A$5:$A$504=A69)*($B$5:$B$504=B69)*$D$5:$D$504)),"Sí","Reemplazada"))</f>
      </c>
      <c r="J69" s="12">
        <f>IF(I69="","",IF(I69="Reemplazada","Reemplazada",IF(H69="","Sin fecha",IF(H69&lt;0,"Vencida",IF(H69&lt;=IFERROR(IF(INDEX(Protocolo!$E$5:$E$54,MATCH(B69,Protocolo!$A$5:$A$54,0))="",30,INDEX(Protocolo!$E$5:$E$54,MATCH(B69,Protocolo!$A$5:$A$54,0))),30),"Por vencer","Vigente")))))</f>
      </c>
      <c r="K69" s="10"/>
    </row>
    <row r="70" spans="1:11" x14ac:dyDescent="0.25">
      <c r="A70" s="10"/>
      <c r="B70" s="10"/>
      <c r="C70" s="12">
        <f>IF(B70="","",IFERROR(INDEX(Protocolo!$B$5:$B$54,MATCH(B70,Protocolo!$A$5:$A$54,0)),""))</f>
      </c>
      <c r="D70" s="16"/>
      <c r="E70" s="10"/>
      <c r="F70" s="10"/>
      <c r="G70" s="14">
        <f>IF(OR(B70="",D70=""),"",IFERROR(IF(INDEX(Protocolo!$D$5:$D$54,MATCH(B70,Protocolo!$A$5:$A$54,0))="meses",EDATE(D70,INDEX(Protocolo!$C$5:$C$54,MATCH(B70,Protocolo!$A$5:$A$54,0))),D70+INDEX(Protocolo!$C$5:$C$54,MATCH(B70,Protocolo!$A$5:$A$54,0))*IF(INDEX(Protocolo!$D$5:$D$54,MATCH(B70,Protocolo!$A$5:$A$54,0))="semanas",7,1)),""))</f>
      </c>
      <c r="H70" s="15">
        <f>IF(G70="","",G70-TODAY())</f>
      </c>
      <c r="I70" s="12">
        <f>IF(OR(A70="",B70="",D70=""),"",IF(D70=SUMPRODUCT(MAX(($A$5:$A$504=A70)*($B$5:$B$504=B70)*$D$5:$D$504)),"Sí","Reemplazada"))</f>
      </c>
      <c r="J70" s="12">
        <f>IF(I70="","",IF(I70="Reemplazada","Reemplazada",IF(H70="","Sin fecha",IF(H70&lt;0,"Vencida",IF(H70&lt;=IFERROR(IF(INDEX(Protocolo!$E$5:$E$54,MATCH(B70,Protocolo!$A$5:$A$54,0))="",30,INDEX(Protocolo!$E$5:$E$54,MATCH(B70,Protocolo!$A$5:$A$54,0))),30),"Por vencer","Vigente")))))</f>
      </c>
      <c r="K70" s="10"/>
    </row>
    <row r="71" spans="1:11" x14ac:dyDescent="0.25">
      <c r="A71" s="10"/>
      <c r="B71" s="10"/>
      <c r="C71" s="12">
        <f>IF(B71="","",IFERROR(INDEX(Protocolo!$B$5:$B$54,MATCH(B71,Protocolo!$A$5:$A$54,0)),""))</f>
      </c>
      <c r="D71" s="16"/>
      <c r="E71" s="10"/>
      <c r="F71" s="10"/>
      <c r="G71" s="14">
        <f>IF(OR(B71="",D71=""),"",IFERROR(IF(INDEX(Protocolo!$D$5:$D$54,MATCH(B71,Protocolo!$A$5:$A$54,0))="meses",EDATE(D71,INDEX(Protocolo!$C$5:$C$54,MATCH(B71,Protocolo!$A$5:$A$54,0))),D71+INDEX(Protocolo!$C$5:$C$54,MATCH(B71,Protocolo!$A$5:$A$54,0))*IF(INDEX(Protocolo!$D$5:$D$54,MATCH(B71,Protocolo!$A$5:$A$54,0))="semanas",7,1)),""))</f>
      </c>
      <c r="H71" s="15">
        <f>IF(G71="","",G71-TODAY())</f>
      </c>
      <c r="I71" s="12">
        <f>IF(OR(A71="",B71="",D71=""),"",IF(D71=SUMPRODUCT(MAX(($A$5:$A$504=A71)*($B$5:$B$504=B71)*$D$5:$D$504)),"Sí","Reemplazada"))</f>
      </c>
      <c r="J71" s="12">
        <f>IF(I71="","",IF(I71="Reemplazada","Reemplazada",IF(H71="","Sin fecha",IF(H71&lt;0,"Vencida",IF(H71&lt;=IFERROR(IF(INDEX(Protocolo!$E$5:$E$54,MATCH(B71,Protocolo!$A$5:$A$54,0))="",30,INDEX(Protocolo!$E$5:$E$54,MATCH(B71,Protocolo!$A$5:$A$54,0))),30),"Por vencer","Vigente")))))</f>
      </c>
      <c r="K71" s="10"/>
    </row>
    <row r="72" spans="1:11" x14ac:dyDescent="0.25">
      <c r="A72" s="10"/>
      <c r="B72" s="10"/>
      <c r="C72" s="12">
        <f>IF(B72="","",IFERROR(INDEX(Protocolo!$B$5:$B$54,MATCH(B72,Protocolo!$A$5:$A$54,0)),""))</f>
      </c>
      <c r="D72" s="16"/>
      <c r="E72" s="10"/>
      <c r="F72" s="10"/>
      <c r="G72" s="14">
        <f>IF(OR(B72="",D72=""),"",IFERROR(IF(INDEX(Protocolo!$D$5:$D$54,MATCH(B72,Protocolo!$A$5:$A$54,0))="meses",EDATE(D72,INDEX(Protocolo!$C$5:$C$54,MATCH(B72,Protocolo!$A$5:$A$54,0))),D72+INDEX(Protocolo!$C$5:$C$54,MATCH(B72,Protocolo!$A$5:$A$54,0))*IF(INDEX(Protocolo!$D$5:$D$54,MATCH(B72,Protocolo!$A$5:$A$54,0))="semanas",7,1)),""))</f>
      </c>
      <c r="H72" s="15">
        <f>IF(G72="","",G72-TODAY())</f>
      </c>
      <c r="I72" s="12">
        <f>IF(OR(A72="",B72="",D72=""),"",IF(D72=SUMPRODUCT(MAX(($A$5:$A$504=A72)*($B$5:$B$504=B72)*$D$5:$D$504)),"Sí","Reemplazada"))</f>
      </c>
      <c r="J72" s="12">
        <f>IF(I72="","",IF(I72="Reemplazada","Reemplazada",IF(H72="","Sin fecha",IF(H72&lt;0,"Vencida",IF(H72&lt;=IFERROR(IF(INDEX(Protocolo!$E$5:$E$54,MATCH(B72,Protocolo!$A$5:$A$54,0))="",30,INDEX(Protocolo!$E$5:$E$54,MATCH(B72,Protocolo!$A$5:$A$54,0))),30),"Por vencer","Vigente")))))</f>
      </c>
      <c r="K72" s="10"/>
    </row>
    <row r="73" spans="1:11" x14ac:dyDescent="0.25">
      <c r="A73" s="10"/>
      <c r="B73" s="10"/>
      <c r="C73" s="12">
        <f>IF(B73="","",IFERROR(INDEX(Protocolo!$B$5:$B$54,MATCH(B73,Protocolo!$A$5:$A$54,0)),""))</f>
      </c>
      <c r="D73" s="16"/>
      <c r="E73" s="10"/>
      <c r="F73" s="10"/>
      <c r="G73" s="14">
        <f>IF(OR(B73="",D73=""),"",IFERROR(IF(INDEX(Protocolo!$D$5:$D$54,MATCH(B73,Protocolo!$A$5:$A$54,0))="meses",EDATE(D73,INDEX(Protocolo!$C$5:$C$54,MATCH(B73,Protocolo!$A$5:$A$54,0))),D73+INDEX(Protocolo!$C$5:$C$54,MATCH(B73,Protocolo!$A$5:$A$54,0))*IF(INDEX(Protocolo!$D$5:$D$54,MATCH(B73,Protocolo!$A$5:$A$54,0))="semanas",7,1)),""))</f>
      </c>
      <c r="H73" s="15">
        <f>IF(G73="","",G73-TODAY())</f>
      </c>
      <c r="I73" s="12">
        <f>IF(OR(A73="",B73="",D73=""),"",IF(D73=SUMPRODUCT(MAX(($A$5:$A$504=A73)*($B$5:$B$504=B73)*$D$5:$D$504)),"Sí","Reemplazada"))</f>
      </c>
      <c r="J73" s="12">
        <f>IF(I73="","",IF(I73="Reemplazada","Reemplazada",IF(H73="","Sin fecha",IF(H73&lt;0,"Vencida",IF(H73&lt;=IFERROR(IF(INDEX(Protocolo!$E$5:$E$54,MATCH(B73,Protocolo!$A$5:$A$54,0))="",30,INDEX(Protocolo!$E$5:$E$54,MATCH(B73,Protocolo!$A$5:$A$54,0))),30),"Por vencer","Vigente")))))</f>
      </c>
      <c r="K73" s="10"/>
    </row>
    <row r="74" spans="1:11" x14ac:dyDescent="0.25">
      <c r="A74" s="10"/>
      <c r="B74" s="10"/>
      <c r="C74" s="12">
        <f>IF(B74="","",IFERROR(INDEX(Protocolo!$B$5:$B$54,MATCH(B74,Protocolo!$A$5:$A$54,0)),""))</f>
      </c>
      <c r="D74" s="16"/>
      <c r="E74" s="10"/>
      <c r="F74" s="10"/>
      <c r="G74" s="14">
        <f>IF(OR(B74="",D74=""),"",IFERROR(IF(INDEX(Protocolo!$D$5:$D$54,MATCH(B74,Protocolo!$A$5:$A$54,0))="meses",EDATE(D74,INDEX(Protocolo!$C$5:$C$54,MATCH(B74,Protocolo!$A$5:$A$54,0))),D74+INDEX(Protocolo!$C$5:$C$54,MATCH(B74,Protocolo!$A$5:$A$54,0))*IF(INDEX(Protocolo!$D$5:$D$54,MATCH(B74,Protocolo!$A$5:$A$54,0))="semanas",7,1)),""))</f>
      </c>
      <c r="H74" s="15">
        <f>IF(G74="","",G74-TODAY())</f>
      </c>
      <c r="I74" s="12">
        <f>IF(OR(A74="",B74="",D74=""),"",IF(D74=SUMPRODUCT(MAX(($A$5:$A$504=A74)*($B$5:$B$504=B74)*$D$5:$D$504)),"Sí","Reemplazada"))</f>
      </c>
      <c r="J74" s="12">
        <f>IF(I74="","",IF(I74="Reemplazada","Reemplazada",IF(H74="","Sin fecha",IF(H74&lt;0,"Vencida",IF(H74&lt;=IFERROR(IF(INDEX(Protocolo!$E$5:$E$54,MATCH(B74,Protocolo!$A$5:$A$54,0))="",30,INDEX(Protocolo!$E$5:$E$54,MATCH(B74,Protocolo!$A$5:$A$54,0))),30),"Por vencer","Vigente")))))</f>
      </c>
      <c r="K74" s="10"/>
    </row>
    <row r="75" spans="1:11" x14ac:dyDescent="0.25">
      <c r="A75" s="10"/>
      <c r="B75" s="10"/>
      <c r="C75" s="12">
        <f>IF(B75="","",IFERROR(INDEX(Protocolo!$B$5:$B$54,MATCH(B75,Protocolo!$A$5:$A$54,0)),""))</f>
      </c>
      <c r="D75" s="16"/>
      <c r="E75" s="10"/>
      <c r="F75" s="10"/>
      <c r="G75" s="14">
        <f>IF(OR(B75="",D75=""),"",IFERROR(IF(INDEX(Protocolo!$D$5:$D$54,MATCH(B75,Protocolo!$A$5:$A$54,0))="meses",EDATE(D75,INDEX(Protocolo!$C$5:$C$54,MATCH(B75,Protocolo!$A$5:$A$54,0))),D75+INDEX(Protocolo!$C$5:$C$54,MATCH(B75,Protocolo!$A$5:$A$54,0))*IF(INDEX(Protocolo!$D$5:$D$54,MATCH(B75,Protocolo!$A$5:$A$54,0))="semanas",7,1)),""))</f>
      </c>
      <c r="H75" s="15">
        <f>IF(G75="","",G75-TODAY())</f>
      </c>
      <c r="I75" s="12">
        <f>IF(OR(A75="",B75="",D75=""),"",IF(D75=SUMPRODUCT(MAX(($A$5:$A$504=A75)*($B$5:$B$504=B75)*$D$5:$D$504)),"Sí","Reemplazada"))</f>
      </c>
      <c r="J75" s="12">
        <f>IF(I75="","",IF(I75="Reemplazada","Reemplazada",IF(H75="","Sin fecha",IF(H75&lt;0,"Vencida",IF(H75&lt;=IFERROR(IF(INDEX(Protocolo!$E$5:$E$54,MATCH(B75,Protocolo!$A$5:$A$54,0))="",30,INDEX(Protocolo!$E$5:$E$54,MATCH(B75,Protocolo!$A$5:$A$54,0))),30),"Por vencer","Vigente")))))</f>
      </c>
      <c r="K75" s="10"/>
    </row>
    <row r="76" spans="1:11" x14ac:dyDescent="0.25">
      <c r="A76" s="10"/>
      <c r="B76" s="10"/>
      <c r="C76" s="12">
        <f>IF(B76="","",IFERROR(INDEX(Protocolo!$B$5:$B$54,MATCH(B76,Protocolo!$A$5:$A$54,0)),""))</f>
      </c>
      <c r="D76" s="16"/>
      <c r="E76" s="10"/>
      <c r="F76" s="10"/>
      <c r="G76" s="14">
        <f>IF(OR(B76="",D76=""),"",IFERROR(IF(INDEX(Protocolo!$D$5:$D$54,MATCH(B76,Protocolo!$A$5:$A$54,0))="meses",EDATE(D76,INDEX(Protocolo!$C$5:$C$54,MATCH(B76,Protocolo!$A$5:$A$54,0))),D76+INDEX(Protocolo!$C$5:$C$54,MATCH(B76,Protocolo!$A$5:$A$54,0))*IF(INDEX(Protocolo!$D$5:$D$54,MATCH(B76,Protocolo!$A$5:$A$54,0))="semanas",7,1)),""))</f>
      </c>
      <c r="H76" s="15">
        <f>IF(G76="","",G76-TODAY())</f>
      </c>
      <c r="I76" s="12">
        <f>IF(OR(A76="",B76="",D76=""),"",IF(D76=SUMPRODUCT(MAX(($A$5:$A$504=A76)*($B$5:$B$504=B76)*$D$5:$D$504)),"Sí","Reemplazada"))</f>
      </c>
      <c r="J76" s="12">
        <f>IF(I76="","",IF(I76="Reemplazada","Reemplazada",IF(H76="","Sin fecha",IF(H76&lt;0,"Vencida",IF(H76&lt;=IFERROR(IF(INDEX(Protocolo!$E$5:$E$54,MATCH(B76,Protocolo!$A$5:$A$54,0))="",30,INDEX(Protocolo!$E$5:$E$54,MATCH(B76,Protocolo!$A$5:$A$54,0))),30),"Por vencer","Vigente")))))</f>
      </c>
      <c r="K76" s="10"/>
    </row>
    <row r="77" spans="1:11" x14ac:dyDescent="0.25">
      <c r="A77" s="10"/>
      <c r="B77" s="10"/>
      <c r="C77" s="12">
        <f>IF(B77="","",IFERROR(INDEX(Protocolo!$B$5:$B$54,MATCH(B77,Protocolo!$A$5:$A$54,0)),""))</f>
      </c>
      <c r="D77" s="16"/>
      <c r="E77" s="10"/>
      <c r="F77" s="10"/>
      <c r="G77" s="14">
        <f>IF(OR(B77="",D77=""),"",IFERROR(IF(INDEX(Protocolo!$D$5:$D$54,MATCH(B77,Protocolo!$A$5:$A$54,0))="meses",EDATE(D77,INDEX(Protocolo!$C$5:$C$54,MATCH(B77,Protocolo!$A$5:$A$54,0))),D77+INDEX(Protocolo!$C$5:$C$54,MATCH(B77,Protocolo!$A$5:$A$54,0))*IF(INDEX(Protocolo!$D$5:$D$54,MATCH(B77,Protocolo!$A$5:$A$54,0))="semanas",7,1)),""))</f>
      </c>
      <c r="H77" s="15">
        <f>IF(G77="","",G77-TODAY())</f>
      </c>
      <c r="I77" s="12">
        <f>IF(OR(A77="",B77="",D77=""),"",IF(D77=SUMPRODUCT(MAX(($A$5:$A$504=A77)*($B$5:$B$504=B77)*$D$5:$D$504)),"Sí","Reemplazada"))</f>
      </c>
      <c r="J77" s="12">
        <f>IF(I77="","",IF(I77="Reemplazada","Reemplazada",IF(H77="","Sin fecha",IF(H77&lt;0,"Vencida",IF(H77&lt;=IFERROR(IF(INDEX(Protocolo!$E$5:$E$54,MATCH(B77,Protocolo!$A$5:$A$54,0))="",30,INDEX(Protocolo!$E$5:$E$54,MATCH(B77,Protocolo!$A$5:$A$54,0))),30),"Por vencer","Vigente")))))</f>
      </c>
      <c r="K77" s="10"/>
    </row>
    <row r="78" spans="1:11" x14ac:dyDescent="0.25">
      <c r="A78" s="10"/>
      <c r="B78" s="10"/>
      <c r="C78" s="12">
        <f>IF(B78="","",IFERROR(INDEX(Protocolo!$B$5:$B$54,MATCH(B78,Protocolo!$A$5:$A$54,0)),""))</f>
      </c>
      <c r="D78" s="16"/>
      <c r="E78" s="10"/>
      <c r="F78" s="10"/>
      <c r="G78" s="14">
        <f>IF(OR(B78="",D78=""),"",IFERROR(IF(INDEX(Protocolo!$D$5:$D$54,MATCH(B78,Protocolo!$A$5:$A$54,0))="meses",EDATE(D78,INDEX(Protocolo!$C$5:$C$54,MATCH(B78,Protocolo!$A$5:$A$54,0))),D78+INDEX(Protocolo!$C$5:$C$54,MATCH(B78,Protocolo!$A$5:$A$54,0))*IF(INDEX(Protocolo!$D$5:$D$54,MATCH(B78,Protocolo!$A$5:$A$54,0))="semanas",7,1)),""))</f>
      </c>
      <c r="H78" s="15">
        <f>IF(G78="","",G78-TODAY())</f>
      </c>
      <c r="I78" s="12">
        <f>IF(OR(A78="",B78="",D78=""),"",IF(D78=SUMPRODUCT(MAX(($A$5:$A$504=A78)*($B$5:$B$504=B78)*$D$5:$D$504)),"Sí","Reemplazada"))</f>
      </c>
      <c r="J78" s="12">
        <f>IF(I78="","",IF(I78="Reemplazada","Reemplazada",IF(H78="","Sin fecha",IF(H78&lt;0,"Vencida",IF(H78&lt;=IFERROR(IF(INDEX(Protocolo!$E$5:$E$54,MATCH(B78,Protocolo!$A$5:$A$54,0))="",30,INDEX(Protocolo!$E$5:$E$54,MATCH(B78,Protocolo!$A$5:$A$54,0))),30),"Por vencer","Vigente")))))</f>
      </c>
      <c r="K78" s="10"/>
    </row>
    <row r="79" spans="1:11" x14ac:dyDescent="0.25">
      <c r="A79" s="10"/>
      <c r="B79" s="10"/>
      <c r="C79" s="12">
        <f>IF(B79="","",IFERROR(INDEX(Protocolo!$B$5:$B$54,MATCH(B79,Protocolo!$A$5:$A$54,0)),""))</f>
      </c>
      <c r="D79" s="16"/>
      <c r="E79" s="10"/>
      <c r="F79" s="10"/>
      <c r="G79" s="14">
        <f>IF(OR(B79="",D79=""),"",IFERROR(IF(INDEX(Protocolo!$D$5:$D$54,MATCH(B79,Protocolo!$A$5:$A$54,0))="meses",EDATE(D79,INDEX(Protocolo!$C$5:$C$54,MATCH(B79,Protocolo!$A$5:$A$54,0))),D79+INDEX(Protocolo!$C$5:$C$54,MATCH(B79,Protocolo!$A$5:$A$54,0))*IF(INDEX(Protocolo!$D$5:$D$54,MATCH(B79,Protocolo!$A$5:$A$54,0))="semanas",7,1)),""))</f>
      </c>
      <c r="H79" s="15">
        <f>IF(G79="","",G79-TODAY())</f>
      </c>
      <c r="I79" s="12">
        <f>IF(OR(A79="",B79="",D79=""),"",IF(D79=SUMPRODUCT(MAX(($A$5:$A$504=A79)*($B$5:$B$504=B79)*$D$5:$D$504)),"Sí","Reemplazada"))</f>
      </c>
      <c r="J79" s="12">
        <f>IF(I79="","",IF(I79="Reemplazada","Reemplazada",IF(H79="","Sin fecha",IF(H79&lt;0,"Vencida",IF(H79&lt;=IFERROR(IF(INDEX(Protocolo!$E$5:$E$54,MATCH(B79,Protocolo!$A$5:$A$54,0))="",30,INDEX(Protocolo!$E$5:$E$54,MATCH(B79,Protocolo!$A$5:$A$54,0))),30),"Por vencer","Vigente")))))</f>
      </c>
      <c r="K79" s="10"/>
    </row>
    <row r="80" spans="1:11" x14ac:dyDescent="0.25">
      <c r="A80" s="10"/>
      <c r="B80" s="10"/>
      <c r="C80" s="12">
        <f>IF(B80="","",IFERROR(INDEX(Protocolo!$B$5:$B$54,MATCH(B80,Protocolo!$A$5:$A$54,0)),""))</f>
      </c>
      <c r="D80" s="16"/>
      <c r="E80" s="10"/>
      <c r="F80" s="10"/>
      <c r="G80" s="14">
        <f>IF(OR(B80="",D80=""),"",IFERROR(IF(INDEX(Protocolo!$D$5:$D$54,MATCH(B80,Protocolo!$A$5:$A$54,0))="meses",EDATE(D80,INDEX(Protocolo!$C$5:$C$54,MATCH(B80,Protocolo!$A$5:$A$54,0))),D80+INDEX(Protocolo!$C$5:$C$54,MATCH(B80,Protocolo!$A$5:$A$54,0))*IF(INDEX(Protocolo!$D$5:$D$54,MATCH(B80,Protocolo!$A$5:$A$54,0))="semanas",7,1)),""))</f>
      </c>
      <c r="H80" s="15">
        <f>IF(G80="","",G80-TODAY())</f>
      </c>
      <c r="I80" s="12">
        <f>IF(OR(A80="",B80="",D80=""),"",IF(D80=SUMPRODUCT(MAX(($A$5:$A$504=A80)*($B$5:$B$504=B80)*$D$5:$D$504)),"Sí","Reemplazada"))</f>
      </c>
      <c r="J80" s="12">
        <f>IF(I80="","",IF(I80="Reemplazada","Reemplazada",IF(H80="","Sin fecha",IF(H80&lt;0,"Vencida",IF(H80&lt;=IFERROR(IF(INDEX(Protocolo!$E$5:$E$54,MATCH(B80,Protocolo!$A$5:$A$54,0))="",30,INDEX(Protocolo!$E$5:$E$54,MATCH(B80,Protocolo!$A$5:$A$54,0))),30),"Por vencer","Vigente")))))</f>
      </c>
      <c r="K80" s="10"/>
    </row>
    <row r="81" spans="1:11" x14ac:dyDescent="0.25">
      <c r="A81" s="10"/>
      <c r="B81" s="10"/>
      <c r="C81" s="12">
        <f>IF(B81="","",IFERROR(INDEX(Protocolo!$B$5:$B$54,MATCH(B81,Protocolo!$A$5:$A$54,0)),""))</f>
      </c>
      <c r="D81" s="16"/>
      <c r="E81" s="10"/>
      <c r="F81" s="10"/>
      <c r="G81" s="14">
        <f>IF(OR(B81="",D81=""),"",IFERROR(IF(INDEX(Protocolo!$D$5:$D$54,MATCH(B81,Protocolo!$A$5:$A$54,0))="meses",EDATE(D81,INDEX(Protocolo!$C$5:$C$54,MATCH(B81,Protocolo!$A$5:$A$54,0))),D81+INDEX(Protocolo!$C$5:$C$54,MATCH(B81,Protocolo!$A$5:$A$54,0))*IF(INDEX(Protocolo!$D$5:$D$54,MATCH(B81,Protocolo!$A$5:$A$54,0))="semanas",7,1)),""))</f>
      </c>
      <c r="H81" s="15">
        <f>IF(G81="","",G81-TODAY())</f>
      </c>
      <c r="I81" s="12">
        <f>IF(OR(A81="",B81="",D81=""),"",IF(D81=SUMPRODUCT(MAX(($A$5:$A$504=A81)*($B$5:$B$504=B81)*$D$5:$D$504)),"Sí","Reemplazada"))</f>
      </c>
      <c r="J81" s="12">
        <f>IF(I81="","",IF(I81="Reemplazada","Reemplazada",IF(H81="","Sin fecha",IF(H81&lt;0,"Vencida",IF(H81&lt;=IFERROR(IF(INDEX(Protocolo!$E$5:$E$54,MATCH(B81,Protocolo!$A$5:$A$54,0))="",30,INDEX(Protocolo!$E$5:$E$54,MATCH(B81,Protocolo!$A$5:$A$54,0))),30),"Por vencer","Vigente")))))</f>
      </c>
      <c r="K81" s="10"/>
    </row>
    <row r="82" spans="1:11" x14ac:dyDescent="0.25">
      <c r="A82" s="10"/>
      <c r="B82" s="10"/>
      <c r="C82" s="12">
        <f>IF(B82="","",IFERROR(INDEX(Protocolo!$B$5:$B$54,MATCH(B82,Protocolo!$A$5:$A$54,0)),""))</f>
      </c>
      <c r="D82" s="16"/>
      <c r="E82" s="10"/>
      <c r="F82" s="10"/>
      <c r="G82" s="14">
        <f>IF(OR(B82="",D82=""),"",IFERROR(IF(INDEX(Protocolo!$D$5:$D$54,MATCH(B82,Protocolo!$A$5:$A$54,0))="meses",EDATE(D82,INDEX(Protocolo!$C$5:$C$54,MATCH(B82,Protocolo!$A$5:$A$54,0))),D82+INDEX(Protocolo!$C$5:$C$54,MATCH(B82,Protocolo!$A$5:$A$54,0))*IF(INDEX(Protocolo!$D$5:$D$54,MATCH(B82,Protocolo!$A$5:$A$54,0))="semanas",7,1)),""))</f>
      </c>
      <c r="H82" s="15">
        <f>IF(G82="","",G82-TODAY())</f>
      </c>
      <c r="I82" s="12">
        <f>IF(OR(A82="",B82="",D82=""),"",IF(D82=SUMPRODUCT(MAX(($A$5:$A$504=A82)*($B$5:$B$504=B82)*$D$5:$D$504)),"Sí","Reemplazada"))</f>
      </c>
      <c r="J82" s="12">
        <f>IF(I82="","",IF(I82="Reemplazada","Reemplazada",IF(H82="","Sin fecha",IF(H82&lt;0,"Vencida",IF(H82&lt;=IFERROR(IF(INDEX(Protocolo!$E$5:$E$54,MATCH(B82,Protocolo!$A$5:$A$54,0))="",30,INDEX(Protocolo!$E$5:$E$54,MATCH(B82,Protocolo!$A$5:$A$54,0))),30),"Por vencer","Vigente")))))</f>
      </c>
      <c r="K82" s="10"/>
    </row>
    <row r="83" spans="1:11" x14ac:dyDescent="0.25">
      <c r="A83" s="10"/>
      <c r="B83" s="10"/>
      <c r="C83" s="12">
        <f>IF(B83="","",IFERROR(INDEX(Protocolo!$B$5:$B$54,MATCH(B83,Protocolo!$A$5:$A$54,0)),""))</f>
      </c>
      <c r="D83" s="16"/>
      <c r="E83" s="10"/>
      <c r="F83" s="10"/>
      <c r="G83" s="14">
        <f>IF(OR(B83="",D83=""),"",IFERROR(IF(INDEX(Protocolo!$D$5:$D$54,MATCH(B83,Protocolo!$A$5:$A$54,0))="meses",EDATE(D83,INDEX(Protocolo!$C$5:$C$54,MATCH(B83,Protocolo!$A$5:$A$54,0))),D83+INDEX(Protocolo!$C$5:$C$54,MATCH(B83,Protocolo!$A$5:$A$54,0))*IF(INDEX(Protocolo!$D$5:$D$54,MATCH(B83,Protocolo!$A$5:$A$54,0))="semanas",7,1)),""))</f>
      </c>
      <c r="H83" s="15">
        <f>IF(G83="","",G83-TODAY())</f>
      </c>
      <c r="I83" s="12">
        <f>IF(OR(A83="",B83="",D83=""),"",IF(D83=SUMPRODUCT(MAX(($A$5:$A$504=A83)*($B$5:$B$504=B83)*$D$5:$D$504)),"Sí","Reemplazada"))</f>
      </c>
      <c r="J83" s="12">
        <f>IF(I83="","",IF(I83="Reemplazada","Reemplazada",IF(H83="","Sin fecha",IF(H83&lt;0,"Vencida",IF(H83&lt;=IFERROR(IF(INDEX(Protocolo!$E$5:$E$54,MATCH(B83,Protocolo!$A$5:$A$54,0))="",30,INDEX(Protocolo!$E$5:$E$54,MATCH(B83,Protocolo!$A$5:$A$54,0))),30),"Por vencer","Vigente")))))</f>
      </c>
      <c r="K83" s="10"/>
    </row>
    <row r="84" spans="1:11" x14ac:dyDescent="0.25">
      <c r="A84" s="10"/>
      <c r="B84" s="10"/>
      <c r="C84" s="12">
        <f>IF(B84="","",IFERROR(INDEX(Protocolo!$B$5:$B$54,MATCH(B84,Protocolo!$A$5:$A$54,0)),""))</f>
      </c>
      <c r="D84" s="16"/>
      <c r="E84" s="10"/>
      <c r="F84" s="10"/>
      <c r="G84" s="14">
        <f>IF(OR(B84="",D84=""),"",IFERROR(IF(INDEX(Protocolo!$D$5:$D$54,MATCH(B84,Protocolo!$A$5:$A$54,0))="meses",EDATE(D84,INDEX(Protocolo!$C$5:$C$54,MATCH(B84,Protocolo!$A$5:$A$54,0))),D84+INDEX(Protocolo!$C$5:$C$54,MATCH(B84,Protocolo!$A$5:$A$54,0))*IF(INDEX(Protocolo!$D$5:$D$54,MATCH(B84,Protocolo!$A$5:$A$54,0))="semanas",7,1)),""))</f>
      </c>
      <c r="H84" s="15">
        <f>IF(G84="","",G84-TODAY())</f>
      </c>
      <c r="I84" s="12">
        <f>IF(OR(A84="",B84="",D84=""),"",IF(D84=SUMPRODUCT(MAX(($A$5:$A$504=A84)*($B$5:$B$504=B84)*$D$5:$D$504)),"Sí","Reemplazada"))</f>
      </c>
      <c r="J84" s="12">
        <f>IF(I84="","",IF(I84="Reemplazada","Reemplazada",IF(H84="","Sin fecha",IF(H84&lt;0,"Vencida",IF(H84&lt;=IFERROR(IF(INDEX(Protocolo!$E$5:$E$54,MATCH(B84,Protocolo!$A$5:$A$54,0))="",30,INDEX(Protocolo!$E$5:$E$54,MATCH(B84,Protocolo!$A$5:$A$54,0))),30),"Por vencer","Vigente")))))</f>
      </c>
      <c r="K84" s="10"/>
    </row>
    <row r="85" spans="1:11" x14ac:dyDescent="0.25">
      <c r="A85" s="10"/>
      <c r="B85" s="10"/>
      <c r="C85" s="12">
        <f>IF(B85="","",IFERROR(INDEX(Protocolo!$B$5:$B$54,MATCH(B85,Protocolo!$A$5:$A$54,0)),""))</f>
      </c>
      <c r="D85" s="16"/>
      <c r="E85" s="10"/>
      <c r="F85" s="10"/>
      <c r="G85" s="14">
        <f>IF(OR(B85="",D85=""),"",IFERROR(IF(INDEX(Protocolo!$D$5:$D$54,MATCH(B85,Protocolo!$A$5:$A$54,0))="meses",EDATE(D85,INDEX(Protocolo!$C$5:$C$54,MATCH(B85,Protocolo!$A$5:$A$54,0))),D85+INDEX(Protocolo!$C$5:$C$54,MATCH(B85,Protocolo!$A$5:$A$54,0))*IF(INDEX(Protocolo!$D$5:$D$54,MATCH(B85,Protocolo!$A$5:$A$54,0))="semanas",7,1)),""))</f>
      </c>
      <c r="H85" s="15">
        <f>IF(G85="","",G85-TODAY())</f>
      </c>
      <c r="I85" s="12">
        <f>IF(OR(A85="",B85="",D85=""),"",IF(D85=SUMPRODUCT(MAX(($A$5:$A$504=A85)*($B$5:$B$504=B85)*$D$5:$D$504)),"Sí","Reemplazada"))</f>
      </c>
      <c r="J85" s="12">
        <f>IF(I85="","",IF(I85="Reemplazada","Reemplazada",IF(H85="","Sin fecha",IF(H85&lt;0,"Vencida",IF(H85&lt;=IFERROR(IF(INDEX(Protocolo!$E$5:$E$54,MATCH(B85,Protocolo!$A$5:$A$54,0))="",30,INDEX(Protocolo!$E$5:$E$54,MATCH(B85,Protocolo!$A$5:$A$54,0))),30),"Por vencer","Vigente")))))</f>
      </c>
      <c r="K85" s="10"/>
    </row>
    <row r="86" spans="1:11" x14ac:dyDescent="0.25">
      <c r="A86" s="10"/>
      <c r="B86" s="10"/>
      <c r="C86" s="12">
        <f>IF(B86="","",IFERROR(INDEX(Protocolo!$B$5:$B$54,MATCH(B86,Protocolo!$A$5:$A$54,0)),""))</f>
      </c>
      <c r="D86" s="16"/>
      <c r="E86" s="10"/>
      <c r="F86" s="10"/>
      <c r="G86" s="14">
        <f>IF(OR(B86="",D86=""),"",IFERROR(IF(INDEX(Protocolo!$D$5:$D$54,MATCH(B86,Protocolo!$A$5:$A$54,0))="meses",EDATE(D86,INDEX(Protocolo!$C$5:$C$54,MATCH(B86,Protocolo!$A$5:$A$54,0))),D86+INDEX(Protocolo!$C$5:$C$54,MATCH(B86,Protocolo!$A$5:$A$54,0))*IF(INDEX(Protocolo!$D$5:$D$54,MATCH(B86,Protocolo!$A$5:$A$54,0))="semanas",7,1)),""))</f>
      </c>
      <c r="H86" s="15">
        <f>IF(G86="","",G86-TODAY())</f>
      </c>
      <c r="I86" s="12">
        <f>IF(OR(A86="",B86="",D86=""),"",IF(D86=SUMPRODUCT(MAX(($A$5:$A$504=A86)*($B$5:$B$504=B86)*$D$5:$D$504)),"Sí","Reemplazada"))</f>
      </c>
      <c r="J86" s="12">
        <f>IF(I86="","",IF(I86="Reemplazada","Reemplazada",IF(H86="","Sin fecha",IF(H86&lt;0,"Vencida",IF(H86&lt;=IFERROR(IF(INDEX(Protocolo!$E$5:$E$54,MATCH(B86,Protocolo!$A$5:$A$54,0))="",30,INDEX(Protocolo!$E$5:$E$54,MATCH(B86,Protocolo!$A$5:$A$54,0))),30),"Por vencer","Vigente")))))</f>
      </c>
      <c r="K86" s="10"/>
    </row>
    <row r="87" spans="1:11" x14ac:dyDescent="0.25">
      <c r="A87" s="10"/>
      <c r="B87" s="10"/>
      <c r="C87" s="12">
        <f>IF(B87="","",IFERROR(INDEX(Protocolo!$B$5:$B$54,MATCH(B87,Protocolo!$A$5:$A$54,0)),""))</f>
      </c>
      <c r="D87" s="16"/>
      <c r="E87" s="10"/>
      <c r="F87" s="10"/>
      <c r="G87" s="14">
        <f>IF(OR(B87="",D87=""),"",IFERROR(IF(INDEX(Protocolo!$D$5:$D$54,MATCH(B87,Protocolo!$A$5:$A$54,0))="meses",EDATE(D87,INDEX(Protocolo!$C$5:$C$54,MATCH(B87,Protocolo!$A$5:$A$54,0))),D87+INDEX(Protocolo!$C$5:$C$54,MATCH(B87,Protocolo!$A$5:$A$54,0))*IF(INDEX(Protocolo!$D$5:$D$54,MATCH(B87,Protocolo!$A$5:$A$54,0))="semanas",7,1)),""))</f>
      </c>
      <c r="H87" s="15">
        <f>IF(G87="","",G87-TODAY())</f>
      </c>
      <c r="I87" s="12">
        <f>IF(OR(A87="",B87="",D87=""),"",IF(D87=SUMPRODUCT(MAX(($A$5:$A$504=A87)*($B$5:$B$504=B87)*$D$5:$D$504)),"Sí","Reemplazada"))</f>
      </c>
      <c r="J87" s="12">
        <f>IF(I87="","",IF(I87="Reemplazada","Reemplazada",IF(H87="","Sin fecha",IF(H87&lt;0,"Vencida",IF(H87&lt;=IFERROR(IF(INDEX(Protocolo!$E$5:$E$54,MATCH(B87,Protocolo!$A$5:$A$54,0))="",30,INDEX(Protocolo!$E$5:$E$54,MATCH(B87,Protocolo!$A$5:$A$54,0))),30),"Por vencer","Vigente")))))</f>
      </c>
      <c r="K87" s="10"/>
    </row>
    <row r="88" spans="1:11" x14ac:dyDescent="0.25">
      <c r="A88" s="10"/>
      <c r="B88" s="10"/>
      <c r="C88" s="12">
        <f>IF(B88="","",IFERROR(INDEX(Protocolo!$B$5:$B$54,MATCH(B88,Protocolo!$A$5:$A$54,0)),""))</f>
      </c>
      <c r="D88" s="16"/>
      <c r="E88" s="10"/>
      <c r="F88" s="10"/>
      <c r="G88" s="14">
        <f>IF(OR(B88="",D88=""),"",IFERROR(IF(INDEX(Protocolo!$D$5:$D$54,MATCH(B88,Protocolo!$A$5:$A$54,0))="meses",EDATE(D88,INDEX(Protocolo!$C$5:$C$54,MATCH(B88,Protocolo!$A$5:$A$54,0))),D88+INDEX(Protocolo!$C$5:$C$54,MATCH(B88,Protocolo!$A$5:$A$54,0))*IF(INDEX(Protocolo!$D$5:$D$54,MATCH(B88,Protocolo!$A$5:$A$54,0))="semanas",7,1)),""))</f>
      </c>
      <c r="H88" s="15">
        <f>IF(G88="","",G88-TODAY())</f>
      </c>
      <c r="I88" s="12">
        <f>IF(OR(A88="",B88="",D88=""),"",IF(D88=SUMPRODUCT(MAX(($A$5:$A$504=A88)*($B$5:$B$504=B88)*$D$5:$D$504)),"Sí","Reemplazada"))</f>
      </c>
      <c r="J88" s="12">
        <f>IF(I88="","",IF(I88="Reemplazada","Reemplazada",IF(H88="","Sin fecha",IF(H88&lt;0,"Vencida",IF(H88&lt;=IFERROR(IF(INDEX(Protocolo!$E$5:$E$54,MATCH(B88,Protocolo!$A$5:$A$54,0))="",30,INDEX(Protocolo!$E$5:$E$54,MATCH(B88,Protocolo!$A$5:$A$54,0))),30),"Por vencer","Vigente")))))</f>
      </c>
      <c r="K88" s="10"/>
    </row>
    <row r="89" spans="1:11" x14ac:dyDescent="0.25">
      <c r="A89" s="10"/>
      <c r="B89" s="10"/>
      <c r="C89" s="12">
        <f>IF(B89="","",IFERROR(INDEX(Protocolo!$B$5:$B$54,MATCH(B89,Protocolo!$A$5:$A$54,0)),""))</f>
      </c>
      <c r="D89" s="16"/>
      <c r="E89" s="10"/>
      <c r="F89" s="10"/>
      <c r="G89" s="14">
        <f>IF(OR(B89="",D89=""),"",IFERROR(IF(INDEX(Protocolo!$D$5:$D$54,MATCH(B89,Protocolo!$A$5:$A$54,0))="meses",EDATE(D89,INDEX(Protocolo!$C$5:$C$54,MATCH(B89,Protocolo!$A$5:$A$54,0))),D89+INDEX(Protocolo!$C$5:$C$54,MATCH(B89,Protocolo!$A$5:$A$54,0))*IF(INDEX(Protocolo!$D$5:$D$54,MATCH(B89,Protocolo!$A$5:$A$54,0))="semanas",7,1)),""))</f>
      </c>
      <c r="H89" s="15">
        <f>IF(G89="","",G89-TODAY())</f>
      </c>
      <c r="I89" s="12">
        <f>IF(OR(A89="",B89="",D89=""),"",IF(D89=SUMPRODUCT(MAX(($A$5:$A$504=A89)*($B$5:$B$504=B89)*$D$5:$D$504)),"Sí","Reemplazada"))</f>
      </c>
      <c r="J89" s="12">
        <f>IF(I89="","",IF(I89="Reemplazada","Reemplazada",IF(H89="","Sin fecha",IF(H89&lt;0,"Vencida",IF(H89&lt;=IFERROR(IF(INDEX(Protocolo!$E$5:$E$54,MATCH(B89,Protocolo!$A$5:$A$54,0))="",30,INDEX(Protocolo!$E$5:$E$54,MATCH(B89,Protocolo!$A$5:$A$54,0))),30),"Por vencer","Vigente")))))</f>
      </c>
      <c r="K89" s="10"/>
    </row>
    <row r="90" spans="1:11" x14ac:dyDescent="0.25">
      <c r="A90" s="10"/>
      <c r="B90" s="10"/>
      <c r="C90" s="12">
        <f>IF(B90="","",IFERROR(INDEX(Protocolo!$B$5:$B$54,MATCH(B90,Protocolo!$A$5:$A$54,0)),""))</f>
      </c>
      <c r="D90" s="16"/>
      <c r="E90" s="10"/>
      <c r="F90" s="10"/>
      <c r="G90" s="14">
        <f>IF(OR(B90="",D90=""),"",IFERROR(IF(INDEX(Protocolo!$D$5:$D$54,MATCH(B90,Protocolo!$A$5:$A$54,0))="meses",EDATE(D90,INDEX(Protocolo!$C$5:$C$54,MATCH(B90,Protocolo!$A$5:$A$54,0))),D90+INDEX(Protocolo!$C$5:$C$54,MATCH(B90,Protocolo!$A$5:$A$54,0))*IF(INDEX(Protocolo!$D$5:$D$54,MATCH(B90,Protocolo!$A$5:$A$54,0))="semanas",7,1)),""))</f>
      </c>
      <c r="H90" s="15">
        <f>IF(G90="","",G90-TODAY())</f>
      </c>
      <c r="I90" s="12">
        <f>IF(OR(A90="",B90="",D90=""),"",IF(D90=SUMPRODUCT(MAX(($A$5:$A$504=A90)*($B$5:$B$504=B90)*$D$5:$D$504)),"Sí","Reemplazada"))</f>
      </c>
      <c r="J90" s="12">
        <f>IF(I90="","",IF(I90="Reemplazada","Reemplazada",IF(H90="","Sin fecha",IF(H90&lt;0,"Vencida",IF(H90&lt;=IFERROR(IF(INDEX(Protocolo!$E$5:$E$54,MATCH(B90,Protocolo!$A$5:$A$54,0))="",30,INDEX(Protocolo!$E$5:$E$54,MATCH(B90,Protocolo!$A$5:$A$54,0))),30),"Por vencer","Vigente")))))</f>
      </c>
      <c r="K90" s="10"/>
    </row>
    <row r="91" spans="1:11" x14ac:dyDescent="0.25">
      <c r="A91" s="10"/>
      <c r="B91" s="10"/>
      <c r="C91" s="12">
        <f>IF(B91="","",IFERROR(INDEX(Protocolo!$B$5:$B$54,MATCH(B91,Protocolo!$A$5:$A$54,0)),""))</f>
      </c>
      <c r="D91" s="16"/>
      <c r="E91" s="10"/>
      <c r="F91" s="10"/>
      <c r="G91" s="14">
        <f>IF(OR(B91="",D91=""),"",IFERROR(IF(INDEX(Protocolo!$D$5:$D$54,MATCH(B91,Protocolo!$A$5:$A$54,0))="meses",EDATE(D91,INDEX(Protocolo!$C$5:$C$54,MATCH(B91,Protocolo!$A$5:$A$54,0))),D91+INDEX(Protocolo!$C$5:$C$54,MATCH(B91,Protocolo!$A$5:$A$54,0))*IF(INDEX(Protocolo!$D$5:$D$54,MATCH(B91,Protocolo!$A$5:$A$54,0))="semanas",7,1)),""))</f>
      </c>
      <c r="H91" s="15">
        <f>IF(G91="","",G91-TODAY())</f>
      </c>
      <c r="I91" s="12">
        <f>IF(OR(A91="",B91="",D91=""),"",IF(D91=SUMPRODUCT(MAX(($A$5:$A$504=A91)*($B$5:$B$504=B91)*$D$5:$D$504)),"Sí","Reemplazada"))</f>
      </c>
      <c r="J91" s="12">
        <f>IF(I91="","",IF(I91="Reemplazada","Reemplazada",IF(H91="","Sin fecha",IF(H91&lt;0,"Vencida",IF(H91&lt;=IFERROR(IF(INDEX(Protocolo!$E$5:$E$54,MATCH(B91,Protocolo!$A$5:$A$54,0))="",30,INDEX(Protocolo!$E$5:$E$54,MATCH(B91,Protocolo!$A$5:$A$54,0))),30),"Por vencer","Vigente")))))</f>
      </c>
      <c r="K91" s="10"/>
    </row>
    <row r="92" spans="1:11" x14ac:dyDescent="0.25">
      <c r="A92" s="10"/>
      <c r="B92" s="10"/>
      <c r="C92" s="12">
        <f>IF(B92="","",IFERROR(INDEX(Protocolo!$B$5:$B$54,MATCH(B92,Protocolo!$A$5:$A$54,0)),""))</f>
      </c>
      <c r="D92" s="16"/>
      <c r="E92" s="10"/>
      <c r="F92" s="10"/>
      <c r="G92" s="14">
        <f>IF(OR(B92="",D92=""),"",IFERROR(IF(INDEX(Protocolo!$D$5:$D$54,MATCH(B92,Protocolo!$A$5:$A$54,0))="meses",EDATE(D92,INDEX(Protocolo!$C$5:$C$54,MATCH(B92,Protocolo!$A$5:$A$54,0))),D92+INDEX(Protocolo!$C$5:$C$54,MATCH(B92,Protocolo!$A$5:$A$54,0))*IF(INDEX(Protocolo!$D$5:$D$54,MATCH(B92,Protocolo!$A$5:$A$54,0))="semanas",7,1)),""))</f>
      </c>
      <c r="H92" s="15">
        <f>IF(G92="","",G92-TODAY())</f>
      </c>
      <c r="I92" s="12">
        <f>IF(OR(A92="",B92="",D92=""),"",IF(D92=SUMPRODUCT(MAX(($A$5:$A$504=A92)*($B$5:$B$504=B92)*$D$5:$D$504)),"Sí","Reemplazada"))</f>
      </c>
      <c r="J92" s="12">
        <f>IF(I92="","",IF(I92="Reemplazada","Reemplazada",IF(H92="","Sin fecha",IF(H92&lt;0,"Vencida",IF(H92&lt;=IFERROR(IF(INDEX(Protocolo!$E$5:$E$54,MATCH(B92,Protocolo!$A$5:$A$54,0))="",30,INDEX(Protocolo!$E$5:$E$54,MATCH(B92,Protocolo!$A$5:$A$54,0))),30),"Por vencer","Vigente")))))</f>
      </c>
      <c r="K92" s="10"/>
    </row>
    <row r="93" spans="1:11" x14ac:dyDescent="0.25">
      <c r="A93" s="10"/>
      <c r="B93" s="10"/>
      <c r="C93" s="12">
        <f>IF(B93="","",IFERROR(INDEX(Protocolo!$B$5:$B$54,MATCH(B93,Protocolo!$A$5:$A$54,0)),""))</f>
      </c>
      <c r="D93" s="16"/>
      <c r="E93" s="10"/>
      <c r="F93" s="10"/>
      <c r="G93" s="14">
        <f>IF(OR(B93="",D93=""),"",IFERROR(IF(INDEX(Protocolo!$D$5:$D$54,MATCH(B93,Protocolo!$A$5:$A$54,0))="meses",EDATE(D93,INDEX(Protocolo!$C$5:$C$54,MATCH(B93,Protocolo!$A$5:$A$54,0))),D93+INDEX(Protocolo!$C$5:$C$54,MATCH(B93,Protocolo!$A$5:$A$54,0))*IF(INDEX(Protocolo!$D$5:$D$54,MATCH(B93,Protocolo!$A$5:$A$54,0))="semanas",7,1)),""))</f>
      </c>
      <c r="H93" s="15">
        <f>IF(G93="","",G93-TODAY())</f>
      </c>
      <c r="I93" s="12">
        <f>IF(OR(A93="",B93="",D93=""),"",IF(D93=SUMPRODUCT(MAX(($A$5:$A$504=A93)*($B$5:$B$504=B93)*$D$5:$D$504)),"Sí","Reemplazada"))</f>
      </c>
      <c r="J93" s="12">
        <f>IF(I93="","",IF(I93="Reemplazada","Reemplazada",IF(H93="","Sin fecha",IF(H93&lt;0,"Vencida",IF(H93&lt;=IFERROR(IF(INDEX(Protocolo!$E$5:$E$54,MATCH(B93,Protocolo!$A$5:$A$54,0))="",30,INDEX(Protocolo!$E$5:$E$54,MATCH(B93,Protocolo!$A$5:$A$54,0))),30),"Por vencer","Vigente")))))</f>
      </c>
      <c r="K93" s="10"/>
    </row>
    <row r="94" spans="1:11" x14ac:dyDescent="0.25">
      <c r="A94" s="10"/>
      <c r="B94" s="10"/>
      <c r="C94" s="12">
        <f>IF(B94="","",IFERROR(INDEX(Protocolo!$B$5:$B$54,MATCH(B94,Protocolo!$A$5:$A$54,0)),""))</f>
      </c>
      <c r="D94" s="16"/>
      <c r="E94" s="10"/>
      <c r="F94" s="10"/>
      <c r="G94" s="14">
        <f>IF(OR(B94="",D94=""),"",IFERROR(IF(INDEX(Protocolo!$D$5:$D$54,MATCH(B94,Protocolo!$A$5:$A$54,0))="meses",EDATE(D94,INDEX(Protocolo!$C$5:$C$54,MATCH(B94,Protocolo!$A$5:$A$54,0))),D94+INDEX(Protocolo!$C$5:$C$54,MATCH(B94,Protocolo!$A$5:$A$54,0))*IF(INDEX(Protocolo!$D$5:$D$54,MATCH(B94,Protocolo!$A$5:$A$54,0))="semanas",7,1)),""))</f>
      </c>
      <c r="H94" s="15">
        <f>IF(G94="","",G94-TODAY())</f>
      </c>
      <c r="I94" s="12">
        <f>IF(OR(A94="",B94="",D94=""),"",IF(D94=SUMPRODUCT(MAX(($A$5:$A$504=A94)*($B$5:$B$504=B94)*$D$5:$D$504)),"Sí","Reemplazada"))</f>
      </c>
      <c r="J94" s="12">
        <f>IF(I94="","",IF(I94="Reemplazada","Reemplazada",IF(H94="","Sin fecha",IF(H94&lt;0,"Vencida",IF(H94&lt;=IFERROR(IF(INDEX(Protocolo!$E$5:$E$54,MATCH(B94,Protocolo!$A$5:$A$54,0))="",30,INDEX(Protocolo!$E$5:$E$54,MATCH(B94,Protocolo!$A$5:$A$54,0))),30),"Por vencer","Vigente")))))</f>
      </c>
      <c r="K94" s="10"/>
    </row>
    <row r="95" spans="1:11" x14ac:dyDescent="0.25">
      <c r="A95" s="10"/>
      <c r="B95" s="10"/>
      <c r="C95" s="12">
        <f>IF(B95="","",IFERROR(INDEX(Protocolo!$B$5:$B$54,MATCH(B95,Protocolo!$A$5:$A$54,0)),""))</f>
      </c>
      <c r="D95" s="16"/>
      <c r="E95" s="10"/>
      <c r="F95" s="10"/>
      <c r="G95" s="14">
        <f>IF(OR(B95="",D95=""),"",IFERROR(IF(INDEX(Protocolo!$D$5:$D$54,MATCH(B95,Protocolo!$A$5:$A$54,0))="meses",EDATE(D95,INDEX(Protocolo!$C$5:$C$54,MATCH(B95,Protocolo!$A$5:$A$54,0))),D95+INDEX(Protocolo!$C$5:$C$54,MATCH(B95,Protocolo!$A$5:$A$54,0))*IF(INDEX(Protocolo!$D$5:$D$54,MATCH(B95,Protocolo!$A$5:$A$54,0))="semanas",7,1)),""))</f>
      </c>
      <c r="H95" s="15">
        <f>IF(G95="","",G95-TODAY())</f>
      </c>
      <c r="I95" s="12">
        <f>IF(OR(A95="",B95="",D95=""),"",IF(D95=SUMPRODUCT(MAX(($A$5:$A$504=A95)*($B$5:$B$504=B95)*$D$5:$D$504)),"Sí","Reemplazada"))</f>
      </c>
      <c r="J95" s="12">
        <f>IF(I95="","",IF(I95="Reemplazada","Reemplazada",IF(H95="","Sin fecha",IF(H95&lt;0,"Vencida",IF(H95&lt;=IFERROR(IF(INDEX(Protocolo!$E$5:$E$54,MATCH(B95,Protocolo!$A$5:$A$54,0))="",30,INDEX(Protocolo!$E$5:$E$54,MATCH(B95,Protocolo!$A$5:$A$54,0))),30),"Por vencer","Vigente")))))</f>
      </c>
      <c r="K95" s="10"/>
    </row>
    <row r="96" spans="1:11" x14ac:dyDescent="0.25">
      <c r="A96" s="10"/>
      <c r="B96" s="10"/>
      <c r="C96" s="12">
        <f>IF(B96="","",IFERROR(INDEX(Protocolo!$B$5:$B$54,MATCH(B96,Protocolo!$A$5:$A$54,0)),""))</f>
      </c>
      <c r="D96" s="16"/>
      <c r="E96" s="10"/>
      <c r="F96" s="10"/>
      <c r="G96" s="14">
        <f>IF(OR(B96="",D96=""),"",IFERROR(IF(INDEX(Protocolo!$D$5:$D$54,MATCH(B96,Protocolo!$A$5:$A$54,0))="meses",EDATE(D96,INDEX(Protocolo!$C$5:$C$54,MATCH(B96,Protocolo!$A$5:$A$54,0))),D96+INDEX(Protocolo!$C$5:$C$54,MATCH(B96,Protocolo!$A$5:$A$54,0))*IF(INDEX(Protocolo!$D$5:$D$54,MATCH(B96,Protocolo!$A$5:$A$54,0))="semanas",7,1)),""))</f>
      </c>
      <c r="H96" s="15">
        <f>IF(G96="","",G96-TODAY())</f>
      </c>
      <c r="I96" s="12">
        <f>IF(OR(A96="",B96="",D96=""),"",IF(D96=SUMPRODUCT(MAX(($A$5:$A$504=A96)*($B$5:$B$504=B96)*$D$5:$D$504)),"Sí","Reemplazada"))</f>
      </c>
      <c r="J96" s="12">
        <f>IF(I96="","",IF(I96="Reemplazada","Reemplazada",IF(H96="","Sin fecha",IF(H96&lt;0,"Vencida",IF(H96&lt;=IFERROR(IF(INDEX(Protocolo!$E$5:$E$54,MATCH(B96,Protocolo!$A$5:$A$54,0))="",30,INDEX(Protocolo!$E$5:$E$54,MATCH(B96,Protocolo!$A$5:$A$54,0))),30),"Por vencer","Vigente")))))</f>
      </c>
      <c r="K96" s="10"/>
    </row>
    <row r="97" spans="1:11" x14ac:dyDescent="0.25">
      <c r="A97" s="10"/>
      <c r="B97" s="10"/>
      <c r="C97" s="12">
        <f>IF(B97="","",IFERROR(INDEX(Protocolo!$B$5:$B$54,MATCH(B97,Protocolo!$A$5:$A$54,0)),""))</f>
      </c>
      <c r="D97" s="16"/>
      <c r="E97" s="10"/>
      <c r="F97" s="10"/>
      <c r="G97" s="14">
        <f>IF(OR(B97="",D97=""),"",IFERROR(IF(INDEX(Protocolo!$D$5:$D$54,MATCH(B97,Protocolo!$A$5:$A$54,0))="meses",EDATE(D97,INDEX(Protocolo!$C$5:$C$54,MATCH(B97,Protocolo!$A$5:$A$54,0))),D97+INDEX(Protocolo!$C$5:$C$54,MATCH(B97,Protocolo!$A$5:$A$54,0))*IF(INDEX(Protocolo!$D$5:$D$54,MATCH(B97,Protocolo!$A$5:$A$54,0))="semanas",7,1)),""))</f>
      </c>
      <c r="H97" s="15">
        <f>IF(G97="","",G97-TODAY())</f>
      </c>
      <c r="I97" s="12">
        <f>IF(OR(A97="",B97="",D97=""),"",IF(D97=SUMPRODUCT(MAX(($A$5:$A$504=A97)*($B$5:$B$504=B97)*$D$5:$D$504)),"Sí","Reemplazada"))</f>
      </c>
      <c r="J97" s="12">
        <f>IF(I97="","",IF(I97="Reemplazada","Reemplazada",IF(H97="","Sin fecha",IF(H97&lt;0,"Vencida",IF(H97&lt;=IFERROR(IF(INDEX(Protocolo!$E$5:$E$54,MATCH(B97,Protocolo!$A$5:$A$54,0))="",30,INDEX(Protocolo!$E$5:$E$54,MATCH(B97,Protocolo!$A$5:$A$54,0))),30),"Por vencer","Vigente")))))</f>
      </c>
      <c r="K97" s="10"/>
    </row>
    <row r="98" spans="1:11" x14ac:dyDescent="0.25">
      <c r="A98" s="10"/>
      <c r="B98" s="10"/>
      <c r="C98" s="12">
        <f>IF(B98="","",IFERROR(INDEX(Protocolo!$B$5:$B$54,MATCH(B98,Protocolo!$A$5:$A$54,0)),""))</f>
      </c>
      <c r="D98" s="16"/>
      <c r="E98" s="10"/>
      <c r="F98" s="10"/>
      <c r="G98" s="14">
        <f>IF(OR(B98="",D98=""),"",IFERROR(IF(INDEX(Protocolo!$D$5:$D$54,MATCH(B98,Protocolo!$A$5:$A$54,0))="meses",EDATE(D98,INDEX(Protocolo!$C$5:$C$54,MATCH(B98,Protocolo!$A$5:$A$54,0))),D98+INDEX(Protocolo!$C$5:$C$54,MATCH(B98,Protocolo!$A$5:$A$54,0))*IF(INDEX(Protocolo!$D$5:$D$54,MATCH(B98,Protocolo!$A$5:$A$54,0))="semanas",7,1)),""))</f>
      </c>
      <c r="H98" s="15">
        <f>IF(G98="","",G98-TODAY())</f>
      </c>
      <c r="I98" s="12">
        <f>IF(OR(A98="",B98="",D98=""),"",IF(D98=SUMPRODUCT(MAX(($A$5:$A$504=A98)*($B$5:$B$504=B98)*$D$5:$D$504)),"Sí","Reemplazada"))</f>
      </c>
      <c r="J98" s="12">
        <f>IF(I98="","",IF(I98="Reemplazada","Reemplazada",IF(H98="","Sin fecha",IF(H98&lt;0,"Vencida",IF(H98&lt;=IFERROR(IF(INDEX(Protocolo!$E$5:$E$54,MATCH(B98,Protocolo!$A$5:$A$54,0))="",30,INDEX(Protocolo!$E$5:$E$54,MATCH(B98,Protocolo!$A$5:$A$54,0))),30),"Por vencer","Vigente")))))</f>
      </c>
      <c r="K98" s="10"/>
    </row>
    <row r="99" spans="1:11" x14ac:dyDescent="0.25">
      <c r="A99" s="10"/>
      <c r="B99" s="10"/>
      <c r="C99" s="12">
        <f>IF(B99="","",IFERROR(INDEX(Protocolo!$B$5:$B$54,MATCH(B99,Protocolo!$A$5:$A$54,0)),""))</f>
      </c>
      <c r="D99" s="16"/>
      <c r="E99" s="10"/>
      <c r="F99" s="10"/>
      <c r="G99" s="14">
        <f>IF(OR(B99="",D99=""),"",IFERROR(IF(INDEX(Protocolo!$D$5:$D$54,MATCH(B99,Protocolo!$A$5:$A$54,0))="meses",EDATE(D99,INDEX(Protocolo!$C$5:$C$54,MATCH(B99,Protocolo!$A$5:$A$54,0))),D99+INDEX(Protocolo!$C$5:$C$54,MATCH(B99,Protocolo!$A$5:$A$54,0))*IF(INDEX(Protocolo!$D$5:$D$54,MATCH(B99,Protocolo!$A$5:$A$54,0))="semanas",7,1)),""))</f>
      </c>
      <c r="H99" s="15">
        <f>IF(G99="","",G99-TODAY())</f>
      </c>
      <c r="I99" s="12">
        <f>IF(OR(A99="",B99="",D99=""),"",IF(D99=SUMPRODUCT(MAX(($A$5:$A$504=A99)*($B$5:$B$504=B99)*$D$5:$D$504)),"Sí","Reemplazada"))</f>
      </c>
      <c r="J99" s="12">
        <f>IF(I99="","",IF(I99="Reemplazada","Reemplazada",IF(H99="","Sin fecha",IF(H99&lt;0,"Vencida",IF(H99&lt;=IFERROR(IF(INDEX(Protocolo!$E$5:$E$54,MATCH(B99,Protocolo!$A$5:$A$54,0))="",30,INDEX(Protocolo!$E$5:$E$54,MATCH(B99,Protocolo!$A$5:$A$54,0))),30),"Por vencer","Vigente")))))</f>
      </c>
      <c r="K99" s="10"/>
    </row>
    <row r="100" spans="1:11" x14ac:dyDescent="0.25">
      <c r="A100" s="10"/>
      <c r="B100" s="10"/>
      <c r="C100" s="12">
        <f>IF(B100="","",IFERROR(INDEX(Protocolo!$B$5:$B$54,MATCH(B100,Protocolo!$A$5:$A$54,0)),""))</f>
      </c>
      <c r="D100" s="16"/>
      <c r="E100" s="10"/>
      <c r="F100" s="10"/>
      <c r="G100" s="14">
        <f>IF(OR(B100="",D100=""),"",IFERROR(IF(INDEX(Protocolo!$D$5:$D$54,MATCH(B100,Protocolo!$A$5:$A$54,0))="meses",EDATE(D100,INDEX(Protocolo!$C$5:$C$54,MATCH(B100,Protocolo!$A$5:$A$54,0))),D100+INDEX(Protocolo!$C$5:$C$54,MATCH(B100,Protocolo!$A$5:$A$54,0))*IF(INDEX(Protocolo!$D$5:$D$54,MATCH(B100,Protocolo!$A$5:$A$54,0))="semanas",7,1)),""))</f>
      </c>
      <c r="H100" s="15">
        <f>IF(G100="","",G100-TODAY())</f>
      </c>
      <c r="I100" s="12">
        <f>IF(OR(A100="",B100="",D100=""),"",IF(D100=SUMPRODUCT(MAX(($A$5:$A$504=A100)*($B$5:$B$504=B100)*$D$5:$D$504)),"Sí","Reemplazada"))</f>
      </c>
      <c r="J100" s="12">
        <f>IF(I100="","",IF(I100="Reemplazada","Reemplazada",IF(H100="","Sin fecha",IF(H100&lt;0,"Vencida",IF(H100&lt;=IFERROR(IF(INDEX(Protocolo!$E$5:$E$54,MATCH(B100,Protocolo!$A$5:$A$54,0))="",30,INDEX(Protocolo!$E$5:$E$54,MATCH(B100,Protocolo!$A$5:$A$54,0))),30),"Por vencer","Vigente")))))</f>
      </c>
      <c r="K100" s="10"/>
    </row>
    <row r="101" spans="1:11" x14ac:dyDescent="0.25">
      <c r="A101" s="10"/>
      <c r="B101" s="10"/>
      <c r="C101" s="12">
        <f>IF(B101="","",IFERROR(INDEX(Protocolo!$B$5:$B$54,MATCH(B101,Protocolo!$A$5:$A$54,0)),""))</f>
      </c>
      <c r="D101" s="16"/>
      <c r="E101" s="10"/>
      <c r="F101" s="10"/>
      <c r="G101" s="14">
        <f>IF(OR(B101="",D101=""),"",IFERROR(IF(INDEX(Protocolo!$D$5:$D$54,MATCH(B101,Protocolo!$A$5:$A$54,0))="meses",EDATE(D101,INDEX(Protocolo!$C$5:$C$54,MATCH(B101,Protocolo!$A$5:$A$54,0))),D101+INDEX(Protocolo!$C$5:$C$54,MATCH(B101,Protocolo!$A$5:$A$54,0))*IF(INDEX(Protocolo!$D$5:$D$54,MATCH(B101,Protocolo!$A$5:$A$54,0))="semanas",7,1)),""))</f>
      </c>
      <c r="H101" s="15">
        <f>IF(G101="","",G101-TODAY())</f>
      </c>
      <c r="I101" s="12">
        <f>IF(OR(A101="",B101="",D101=""),"",IF(D101=SUMPRODUCT(MAX(($A$5:$A$504=A101)*($B$5:$B$504=B101)*$D$5:$D$504)),"Sí","Reemplazada"))</f>
      </c>
      <c r="J101" s="12">
        <f>IF(I101="","",IF(I101="Reemplazada","Reemplazada",IF(H101="","Sin fecha",IF(H101&lt;0,"Vencida",IF(H101&lt;=IFERROR(IF(INDEX(Protocolo!$E$5:$E$54,MATCH(B101,Protocolo!$A$5:$A$54,0))="",30,INDEX(Protocolo!$E$5:$E$54,MATCH(B101,Protocolo!$A$5:$A$54,0))),30),"Por vencer","Vigente")))))</f>
      </c>
      <c r="K101" s="10"/>
    </row>
    <row r="102" spans="1:11" x14ac:dyDescent="0.25">
      <c r="A102" s="10"/>
      <c r="B102" s="10"/>
      <c r="C102" s="12">
        <f>IF(B102="","",IFERROR(INDEX(Protocolo!$B$5:$B$54,MATCH(B102,Protocolo!$A$5:$A$54,0)),""))</f>
      </c>
      <c r="D102" s="16"/>
      <c r="E102" s="10"/>
      <c r="F102" s="10"/>
      <c r="G102" s="14">
        <f>IF(OR(B102="",D102=""),"",IFERROR(IF(INDEX(Protocolo!$D$5:$D$54,MATCH(B102,Protocolo!$A$5:$A$54,0))="meses",EDATE(D102,INDEX(Protocolo!$C$5:$C$54,MATCH(B102,Protocolo!$A$5:$A$54,0))),D102+INDEX(Protocolo!$C$5:$C$54,MATCH(B102,Protocolo!$A$5:$A$54,0))*IF(INDEX(Protocolo!$D$5:$D$54,MATCH(B102,Protocolo!$A$5:$A$54,0))="semanas",7,1)),""))</f>
      </c>
      <c r="H102" s="15">
        <f>IF(G102="","",G102-TODAY())</f>
      </c>
      <c r="I102" s="12">
        <f>IF(OR(A102="",B102="",D102=""),"",IF(D102=SUMPRODUCT(MAX(($A$5:$A$504=A102)*($B$5:$B$504=B102)*$D$5:$D$504)),"Sí","Reemplazada"))</f>
      </c>
      <c r="J102" s="12">
        <f>IF(I102="","",IF(I102="Reemplazada","Reemplazada",IF(H102="","Sin fecha",IF(H102&lt;0,"Vencida",IF(H102&lt;=IFERROR(IF(INDEX(Protocolo!$E$5:$E$54,MATCH(B102,Protocolo!$A$5:$A$54,0))="",30,INDEX(Protocolo!$E$5:$E$54,MATCH(B102,Protocolo!$A$5:$A$54,0))),30),"Por vencer","Vigente")))))</f>
      </c>
      <c r="K102" s="10"/>
    </row>
    <row r="103" spans="1:11" x14ac:dyDescent="0.25">
      <c r="A103" s="10"/>
      <c r="B103" s="10"/>
      <c r="C103" s="12">
        <f>IF(B103="","",IFERROR(INDEX(Protocolo!$B$5:$B$54,MATCH(B103,Protocolo!$A$5:$A$54,0)),""))</f>
      </c>
      <c r="D103" s="16"/>
      <c r="E103" s="10"/>
      <c r="F103" s="10"/>
      <c r="G103" s="14">
        <f>IF(OR(B103="",D103=""),"",IFERROR(IF(INDEX(Protocolo!$D$5:$D$54,MATCH(B103,Protocolo!$A$5:$A$54,0))="meses",EDATE(D103,INDEX(Protocolo!$C$5:$C$54,MATCH(B103,Protocolo!$A$5:$A$54,0))),D103+INDEX(Protocolo!$C$5:$C$54,MATCH(B103,Protocolo!$A$5:$A$54,0))*IF(INDEX(Protocolo!$D$5:$D$54,MATCH(B103,Protocolo!$A$5:$A$54,0))="semanas",7,1)),""))</f>
      </c>
      <c r="H103" s="15">
        <f>IF(G103="","",G103-TODAY())</f>
      </c>
      <c r="I103" s="12">
        <f>IF(OR(A103="",B103="",D103=""),"",IF(D103=SUMPRODUCT(MAX(($A$5:$A$504=A103)*($B$5:$B$504=B103)*$D$5:$D$504)),"Sí","Reemplazada"))</f>
      </c>
      <c r="J103" s="12">
        <f>IF(I103="","",IF(I103="Reemplazada","Reemplazada",IF(H103="","Sin fecha",IF(H103&lt;0,"Vencida",IF(H103&lt;=IFERROR(IF(INDEX(Protocolo!$E$5:$E$54,MATCH(B103,Protocolo!$A$5:$A$54,0))="",30,INDEX(Protocolo!$E$5:$E$54,MATCH(B103,Protocolo!$A$5:$A$54,0))),30),"Por vencer","Vigente")))))</f>
      </c>
      <c r="K103" s="10"/>
    </row>
    <row r="104" spans="1:11" x14ac:dyDescent="0.25">
      <c r="A104" s="10"/>
      <c r="B104" s="10"/>
      <c r="C104" s="12">
        <f>IF(B104="","",IFERROR(INDEX(Protocolo!$B$5:$B$54,MATCH(B104,Protocolo!$A$5:$A$54,0)),""))</f>
      </c>
      <c r="D104" s="16"/>
      <c r="E104" s="10"/>
      <c r="F104" s="10"/>
      <c r="G104" s="14">
        <f>IF(OR(B104="",D104=""),"",IFERROR(IF(INDEX(Protocolo!$D$5:$D$54,MATCH(B104,Protocolo!$A$5:$A$54,0))="meses",EDATE(D104,INDEX(Protocolo!$C$5:$C$54,MATCH(B104,Protocolo!$A$5:$A$54,0))),D104+INDEX(Protocolo!$C$5:$C$54,MATCH(B104,Protocolo!$A$5:$A$54,0))*IF(INDEX(Protocolo!$D$5:$D$54,MATCH(B104,Protocolo!$A$5:$A$54,0))="semanas",7,1)),""))</f>
      </c>
      <c r="H104" s="15">
        <f>IF(G104="","",G104-TODAY())</f>
      </c>
      <c r="I104" s="12">
        <f>IF(OR(A104="",B104="",D104=""),"",IF(D104=SUMPRODUCT(MAX(($A$5:$A$504=A104)*($B$5:$B$504=B104)*$D$5:$D$504)),"Sí","Reemplazada"))</f>
      </c>
      <c r="J104" s="12">
        <f>IF(I104="","",IF(I104="Reemplazada","Reemplazada",IF(H104="","Sin fecha",IF(H104&lt;0,"Vencida",IF(H104&lt;=IFERROR(IF(INDEX(Protocolo!$E$5:$E$54,MATCH(B104,Protocolo!$A$5:$A$54,0))="",30,INDEX(Protocolo!$E$5:$E$54,MATCH(B104,Protocolo!$A$5:$A$54,0))),30),"Por vencer","Vigente")))))</f>
      </c>
      <c r="K104" s="10"/>
    </row>
    <row r="105" spans="1:11" x14ac:dyDescent="0.25">
      <c r="A105" s="10"/>
      <c r="B105" s="10"/>
      <c r="C105" s="12">
        <f>IF(B105="","",IFERROR(INDEX(Protocolo!$B$5:$B$54,MATCH(B105,Protocolo!$A$5:$A$54,0)),""))</f>
      </c>
      <c r="D105" s="16"/>
      <c r="E105" s="10"/>
      <c r="F105" s="10"/>
      <c r="G105" s="14">
        <f>IF(OR(B105="",D105=""),"",IFERROR(IF(INDEX(Protocolo!$D$5:$D$54,MATCH(B105,Protocolo!$A$5:$A$54,0))="meses",EDATE(D105,INDEX(Protocolo!$C$5:$C$54,MATCH(B105,Protocolo!$A$5:$A$54,0))),D105+INDEX(Protocolo!$C$5:$C$54,MATCH(B105,Protocolo!$A$5:$A$54,0))*IF(INDEX(Protocolo!$D$5:$D$54,MATCH(B105,Protocolo!$A$5:$A$54,0))="semanas",7,1)),""))</f>
      </c>
      <c r="H105" s="15">
        <f>IF(G105="","",G105-TODAY())</f>
      </c>
      <c r="I105" s="12">
        <f>IF(OR(A105="",B105="",D105=""),"",IF(D105=SUMPRODUCT(MAX(($A$5:$A$504=A105)*($B$5:$B$504=B105)*$D$5:$D$504)),"Sí","Reemplazada"))</f>
      </c>
      <c r="J105" s="12">
        <f>IF(I105="","",IF(I105="Reemplazada","Reemplazada",IF(H105="","Sin fecha",IF(H105&lt;0,"Vencida",IF(H105&lt;=IFERROR(IF(INDEX(Protocolo!$E$5:$E$54,MATCH(B105,Protocolo!$A$5:$A$54,0))="",30,INDEX(Protocolo!$E$5:$E$54,MATCH(B105,Protocolo!$A$5:$A$54,0))),30),"Por vencer","Vigente")))))</f>
      </c>
      <c r="K105" s="10"/>
    </row>
    <row r="106" spans="1:11" x14ac:dyDescent="0.25">
      <c r="A106" s="10"/>
      <c r="B106" s="10"/>
      <c r="C106" s="12">
        <f>IF(B106="","",IFERROR(INDEX(Protocolo!$B$5:$B$54,MATCH(B106,Protocolo!$A$5:$A$54,0)),""))</f>
      </c>
      <c r="D106" s="16"/>
      <c r="E106" s="10"/>
      <c r="F106" s="10"/>
      <c r="G106" s="14">
        <f>IF(OR(B106="",D106=""),"",IFERROR(IF(INDEX(Protocolo!$D$5:$D$54,MATCH(B106,Protocolo!$A$5:$A$54,0))="meses",EDATE(D106,INDEX(Protocolo!$C$5:$C$54,MATCH(B106,Protocolo!$A$5:$A$54,0))),D106+INDEX(Protocolo!$C$5:$C$54,MATCH(B106,Protocolo!$A$5:$A$54,0))*IF(INDEX(Protocolo!$D$5:$D$54,MATCH(B106,Protocolo!$A$5:$A$54,0))="semanas",7,1)),""))</f>
      </c>
      <c r="H106" s="15">
        <f>IF(G106="","",G106-TODAY())</f>
      </c>
      <c r="I106" s="12">
        <f>IF(OR(A106="",B106="",D106=""),"",IF(D106=SUMPRODUCT(MAX(($A$5:$A$504=A106)*($B$5:$B$504=B106)*$D$5:$D$504)),"Sí","Reemplazada"))</f>
      </c>
      <c r="J106" s="12">
        <f>IF(I106="","",IF(I106="Reemplazada","Reemplazada",IF(H106="","Sin fecha",IF(H106&lt;0,"Vencida",IF(H106&lt;=IFERROR(IF(INDEX(Protocolo!$E$5:$E$54,MATCH(B106,Protocolo!$A$5:$A$54,0))="",30,INDEX(Protocolo!$E$5:$E$54,MATCH(B106,Protocolo!$A$5:$A$54,0))),30),"Por vencer","Vigente")))))</f>
      </c>
      <c r="K106" s="10"/>
    </row>
    <row r="107" spans="1:11" x14ac:dyDescent="0.25">
      <c r="A107" s="10"/>
      <c r="B107" s="10"/>
      <c r="C107" s="12">
        <f>IF(B107="","",IFERROR(INDEX(Protocolo!$B$5:$B$54,MATCH(B107,Protocolo!$A$5:$A$54,0)),""))</f>
      </c>
      <c r="D107" s="16"/>
      <c r="E107" s="10"/>
      <c r="F107" s="10"/>
      <c r="G107" s="14">
        <f>IF(OR(B107="",D107=""),"",IFERROR(IF(INDEX(Protocolo!$D$5:$D$54,MATCH(B107,Protocolo!$A$5:$A$54,0))="meses",EDATE(D107,INDEX(Protocolo!$C$5:$C$54,MATCH(B107,Protocolo!$A$5:$A$54,0))),D107+INDEX(Protocolo!$C$5:$C$54,MATCH(B107,Protocolo!$A$5:$A$54,0))*IF(INDEX(Protocolo!$D$5:$D$54,MATCH(B107,Protocolo!$A$5:$A$54,0))="semanas",7,1)),""))</f>
      </c>
      <c r="H107" s="15">
        <f>IF(G107="","",G107-TODAY())</f>
      </c>
      <c r="I107" s="12">
        <f>IF(OR(A107="",B107="",D107=""),"",IF(D107=SUMPRODUCT(MAX(($A$5:$A$504=A107)*($B$5:$B$504=B107)*$D$5:$D$504)),"Sí","Reemplazada"))</f>
      </c>
      <c r="J107" s="12">
        <f>IF(I107="","",IF(I107="Reemplazada","Reemplazada",IF(H107="","Sin fecha",IF(H107&lt;0,"Vencida",IF(H107&lt;=IFERROR(IF(INDEX(Protocolo!$E$5:$E$54,MATCH(B107,Protocolo!$A$5:$A$54,0))="",30,INDEX(Protocolo!$E$5:$E$54,MATCH(B107,Protocolo!$A$5:$A$54,0))),30),"Por vencer","Vigente")))))</f>
      </c>
      <c r="K107" s="10"/>
    </row>
    <row r="108" spans="1:11" x14ac:dyDescent="0.25">
      <c r="A108" s="10"/>
      <c r="B108" s="10"/>
      <c r="C108" s="12">
        <f>IF(B108="","",IFERROR(INDEX(Protocolo!$B$5:$B$54,MATCH(B108,Protocolo!$A$5:$A$54,0)),""))</f>
      </c>
      <c r="D108" s="16"/>
      <c r="E108" s="10"/>
      <c r="F108" s="10"/>
      <c r="G108" s="14">
        <f>IF(OR(B108="",D108=""),"",IFERROR(IF(INDEX(Protocolo!$D$5:$D$54,MATCH(B108,Protocolo!$A$5:$A$54,0))="meses",EDATE(D108,INDEX(Protocolo!$C$5:$C$54,MATCH(B108,Protocolo!$A$5:$A$54,0))),D108+INDEX(Protocolo!$C$5:$C$54,MATCH(B108,Protocolo!$A$5:$A$54,0))*IF(INDEX(Protocolo!$D$5:$D$54,MATCH(B108,Protocolo!$A$5:$A$54,0))="semanas",7,1)),""))</f>
      </c>
      <c r="H108" s="15">
        <f>IF(G108="","",G108-TODAY())</f>
      </c>
      <c r="I108" s="12">
        <f>IF(OR(A108="",B108="",D108=""),"",IF(D108=SUMPRODUCT(MAX(($A$5:$A$504=A108)*($B$5:$B$504=B108)*$D$5:$D$504)),"Sí","Reemplazada"))</f>
      </c>
      <c r="J108" s="12">
        <f>IF(I108="","",IF(I108="Reemplazada","Reemplazada",IF(H108="","Sin fecha",IF(H108&lt;0,"Vencida",IF(H108&lt;=IFERROR(IF(INDEX(Protocolo!$E$5:$E$54,MATCH(B108,Protocolo!$A$5:$A$54,0))="",30,INDEX(Protocolo!$E$5:$E$54,MATCH(B108,Protocolo!$A$5:$A$54,0))),30),"Por vencer","Vigente")))))</f>
      </c>
      <c r="K108" s="10"/>
    </row>
    <row r="109" spans="1:11" x14ac:dyDescent="0.25">
      <c r="A109" s="10"/>
      <c r="B109" s="10"/>
      <c r="C109" s="12">
        <f>IF(B109="","",IFERROR(INDEX(Protocolo!$B$5:$B$54,MATCH(B109,Protocolo!$A$5:$A$54,0)),""))</f>
      </c>
      <c r="D109" s="16"/>
      <c r="E109" s="10"/>
      <c r="F109" s="10"/>
      <c r="G109" s="14">
        <f>IF(OR(B109="",D109=""),"",IFERROR(IF(INDEX(Protocolo!$D$5:$D$54,MATCH(B109,Protocolo!$A$5:$A$54,0))="meses",EDATE(D109,INDEX(Protocolo!$C$5:$C$54,MATCH(B109,Protocolo!$A$5:$A$54,0))),D109+INDEX(Protocolo!$C$5:$C$54,MATCH(B109,Protocolo!$A$5:$A$54,0))*IF(INDEX(Protocolo!$D$5:$D$54,MATCH(B109,Protocolo!$A$5:$A$54,0))="semanas",7,1)),""))</f>
      </c>
      <c r="H109" s="15">
        <f>IF(G109="","",G109-TODAY())</f>
      </c>
      <c r="I109" s="12">
        <f>IF(OR(A109="",B109="",D109=""),"",IF(D109=SUMPRODUCT(MAX(($A$5:$A$504=A109)*($B$5:$B$504=B109)*$D$5:$D$504)),"Sí","Reemplazada"))</f>
      </c>
      <c r="J109" s="12">
        <f>IF(I109="","",IF(I109="Reemplazada","Reemplazada",IF(H109="","Sin fecha",IF(H109&lt;0,"Vencida",IF(H109&lt;=IFERROR(IF(INDEX(Protocolo!$E$5:$E$54,MATCH(B109,Protocolo!$A$5:$A$54,0))="",30,INDEX(Protocolo!$E$5:$E$54,MATCH(B109,Protocolo!$A$5:$A$54,0))),30),"Por vencer","Vigente")))))</f>
      </c>
      <c r="K109" s="10"/>
    </row>
    <row r="110" spans="1:11" x14ac:dyDescent="0.25">
      <c r="A110" s="10"/>
      <c r="B110" s="10"/>
      <c r="C110" s="12">
        <f>IF(B110="","",IFERROR(INDEX(Protocolo!$B$5:$B$54,MATCH(B110,Protocolo!$A$5:$A$54,0)),""))</f>
      </c>
      <c r="D110" s="16"/>
      <c r="E110" s="10"/>
      <c r="F110" s="10"/>
      <c r="G110" s="14">
        <f>IF(OR(B110="",D110=""),"",IFERROR(IF(INDEX(Protocolo!$D$5:$D$54,MATCH(B110,Protocolo!$A$5:$A$54,0))="meses",EDATE(D110,INDEX(Protocolo!$C$5:$C$54,MATCH(B110,Protocolo!$A$5:$A$54,0))),D110+INDEX(Protocolo!$C$5:$C$54,MATCH(B110,Protocolo!$A$5:$A$54,0))*IF(INDEX(Protocolo!$D$5:$D$54,MATCH(B110,Protocolo!$A$5:$A$54,0))="semanas",7,1)),""))</f>
      </c>
      <c r="H110" s="15">
        <f>IF(G110="","",G110-TODAY())</f>
      </c>
      <c r="I110" s="12">
        <f>IF(OR(A110="",B110="",D110=""),"",IF(D110=SUMPRODUCT(MAX(($A$5:$A$504=A110)*($B$5:$B$504=B110)*$D$5:$D$504)),"Sí","Reemplazada"))</f>
      </c>
      <c r="J110" s="12">
        <f>IF(I110="","",IF(I110="Reemplazada","Reemplazada",IF(H110="","Sin fecha",IF(H110&lt;0,"Vencida",IF(H110&lt;=IFERROR(IF(INDEX(Protocolo!$E$5:$E$54,MATCH(B110,Protocolo!$A$5:$A$54,0))="",30,INDEX(Protocolo!$E$5:$E$54,MATCH(B110,Protocolo!$A$5:$A$54,0))),30),"Por vencer","Vigente")))))</f>
      </c>
      <c r="K110" s="10"/>
    </row>
    <row r="111" spans="1:11" x14ac:dyDescent="0.25">
      <c r="A111" s="10"/>
      <c r="B111" s="10"/>
      <c r="C111" s="12">
        <f>IF(B111="","",IFERROR(INDEX(Protocolo!$B$5:$B$54,MATCH(B111,Protocolo!$A$5:$A$54,0)),""))</f>
      </c>
      <c r="D111" s="16"/>
      <c r="E111" s="10"/>
      <c r="F111" s="10"/>
      <c r="G111" s="14">
        <f>IF(OR(B111="",D111=""),"",IFERROR(IF(INDEX(Protocolo!$D$5:$D$54,MATCH(B111,Protocolo!$A$5:$A$54,0))="meses",EDATE(D111,INDEX(Protocolo!$C$5:$C$54,MATCH(B111,Protocolo!$A$5:$A$54,0))),D111+INDEX(Protocolo!$C$5:$C$54,MATCH(B111,Protocolo!$A$5:$A$54,0))*IF(INDEX(Protocolo!$D$5:$D$54,MATCH(B111,Protocolo!$A$5:$A$54,0))="semanas",7,1)),""))</f>
      </c>
      <c r="H111" s="15">
        <f>IF(G111="","",G111-TODAY())</f>
      </c>
      <c r="I111" s="12">
        <f>IF(OR(A111="",B111="",D111=""),"",IF(D111=SUMPRODUCT(MAX(($A$5:$A$504=A111)*($B$5:$B$504=B111)*$D$5:$D$504)),"Sí","Reemplazada"))</f>
      </c>
      <c r="J111" s="12">
        <f>IF(I111="","",IF(I111="Reemplazada","Reemplazada",IF(H111="","Sin fecha",IF(H111&lt;0,"Vencida",IF(H111&lt;=IFERROR(IF(INDEX(Protocolo!$E$5:$E$54,MATCH(B111,Protocolo!$A$5:$A$54,0))="",30,INDEX(Protocolo!$E$5:$E$54,MATCH(B111,Protocolo!$A$5:$A$54,0))),30),"Por vencer","Vigente")))))</f>
      </c>
      <c r="K111" s="10"/>
    </row>
    <row r="112" spans="1:11" x14ac:dyDescent="0.25">
      <c r="A112" s="10"/>
      <c r="B112" s="10"/>
      <c r="C112" s="12">
        <f>IF(B112="","",IFERROR(INDEX(Protocolo!$B$5:$B$54,MATCH(B112,Protocolo!$A$5:$A$54,0)),""))</f>
      </c>
      <c r="D112" s="16"/>
      <c r="E112" s="10"/>
      <c r="F112" s="10"/>
      <c r="G112" s="14">
        <f>IF(OR(B112="",D112=""),"",IFERROR(IF(INDEX(Protocolo!$D$5:$D$54,MATCH(B112,Protocolo!$A$5:$A$54,0))="meses",EDATE(D112,INDEX(Protocolo!$C$5:$C$54,MATCH(B112,Protocolo!$A$5:$A$54,0))),D112+INDEX(Protocolo!$C$5:$C$54,MATCH(B112,Protocolo!$A$5:$A$54,0))*IF(INDEX(Protocolo!$D$5:$D$54,MATCH(B112,Protocolo!$A$5:$A$54,0))="semanas",7,1)),""))</f>
      </c>
      <c r="H112" s="15">
        <f>IF(G112="","",G112-TODAY())</f>
      </c>
      <c r="I112" s="12">
        <f>IF(OR(A112="",B112="",D112=""),"",IF(D112=SUMPRODUCT(MAX(($A$5:$A$504=A112)*($B$5:$B$504=B112)*$D$5:$D$504)),"Sí","Reemplazada"))</f>
      </c>
      <c r="J112" s="12">
        <f>IF(I112="","",IF(I112="Reemplazada","Reemplazada",IF(H112="","Sin fecha",IF(H112&lt;0,"Vencida",IF(H112&lt;=IFERROR(IF(INDEX(Protocolo!$E$5:$E$54,MATCH(B112,Protocolo!$A$5:$A$54,0))="",30,INDEX(Protocolo!$E$5:$E$54,MATCH(B112,Protocolo!$A$5:$A$54,0))),30),"Por vencer","Vigente")))))</f>
      </c>
      <c r="K112" s="10"/>
    </row>
    <row r="113" spans="1:11" x14ac:dyDescent="0.25">
      <c r="A113" s="10"/>
      <c r="B113" s="10"/>
      <c r="C113" s="12">
        <f>IF(B113="","",IFERROR(INDEX(Protocolo!$B$5:$B$54,MATCH(B113,Protocolo!$A$5:$A$54,0)),""))</f>
      </c>
      <c r="D113" s="16"/>
      <c r="E113" s="10"/>
      <c r="F113" s="10"/>
      <c r="G113" s="14">
        <f>IF(OR(B113="",D113=""),"",IFERROR(IF(INDEX(Protocolo!$D$5:$D$54,MATCH(B113,Protocolo!$A$5:$A$54,0))="meses",EDATE(D113,INDEX(Protocolo!$C$5:$C$54,MATCH(B113,Protocolo!$A$5:$A$54,0))),D113+INDEX(Protocolo!$C$5:$C$54,MATCH(B113,Protocolo!$A$5:$A$54,0))*IF(INDEX(Protocolo!$D$5:$D$54,MATCH(B113,Protocolo!$A$5:$A$54,0))="semanas",7,1)),""))</f>
      </c>
      <c r="H113" s="15">
        <f>IF(G113="","",G113-TODAY())</f>
      </c>
      <c r="I113" s="12">
        <f>IF(OR(A113="",B113="",D113=""),"",IF(D113=SUMPRODUCT(MAX(($A$5:$A$504=A113)*($B$5:$B$504=B113)*$D$5:$D$504)),"Sí","Reemplazada"))</f>
      </c>
      <c r="J113" s="12">
        <f>IF(I113="","",IF(I113="Reemplazada","Reemplazada",IF(H113="","Sin fecha",IF(H113&lt;0,"Vencida",IF(H113&lt;=IFERROR(IF(INDEX(Protocolo!$E$5:$E$54,MATCH(B113,Protocolo!$A$5:$A$54,0))="",30,INDEX(Protocolo!$E$5:$E$54,MATCH(B113,Protocolo!$A$5:$A$54,0))),30),"Por vencer","Vigente")))))</f>
      </c>
      <c r="K113" s="10"/>
    </row>
    <row r="114" spans="1:11" x14ac:dyDescent="0.25">
      <c r="A114" s="10"/>
      <c r="B114" s="10"/>
      <c r="C114" s="12">
        <f>IF(B114="","",IFERROR(INDEX(Protocolo!$B$5:$B$54,MATCH(B114,Protocolo!$A$5:$A$54,0)),""))</f>
      </c>
      <c r="D114" s="16"/>
      <c r="E114" s="10"/>
      <c r="F114" s="10"/>
      <c r="G114" s="14">
        <f>IF(OR(B114="",D114=""),"",IFERROR(IF(INDEX(Protocolo!$D$5:$D$54,MATCH(B114,Protocolo!$A$5:$A$54,0))="meses",EDATE(D114,INDEX(Protocolo!$C$5:$C$54,MATCH(B114,Protocolo!$A$5:$A$54,0))),D114+INDEX(Protocolo!$C$5:$C$54,MATCH(B114,Protocolo!$A$5:$A$54,0))*IF(INDEX(Protocolo!$D$5:$D$54,MATCH(B114,Protocolo!$A$5:$A$54,0))="semanas",7,1)),""))</f>
      </c>
      <c r="H114" s="15">
        <f>IF(G114="","",G114-TODAY())</f>
      </c>
      <c r="I114" s="12">
        <f>IF(OR(A114="",B114="",D114=""),"",IF(D114=SUMPRODUCT(MAX(($A$5:$A$504=A114)*($B$5:$B$504=B114)*$D$5:$D$504)),"Sí","Reemplazada"))</f>
      </c>
      <c r="J114" s="12">
        <f>IF(I114="","",IF(I114="Reemplazada","Reemplazada",IF(H114="","Sin fecha",IF(H114&lt;0,"Vencida",IF(H114&lt;=IFERROR(IF(INDEX(Protocolo!$E$5:$E$54,MATCH(B114,Protocolo!$A$5:$A$54,0))="",30,INDEX(Protocolo!$E$5:$E$54,MATCH(B114,Protocolo!$A$5:$A$54,0))),30),"Por vencer","Vigente")))))</f>
      </c>
      <c r="K114" s="10"/>
    </row>
    <row r="115" spans="1:11" x14ac:dyDescent="0.25">
      <c r="A115" s="10"/>
      <c r="B115" s="10"/>
      <c r="C115" s="12">
        <f>IF(B115="","",IFERROR(INDEX(Protocolo!$B$5:$B$54,MATCH(B115,Protocolo!$A$5:$A$54,0)),""))</f>
      </c>
      <c r="D115" s="16"/>
      <c r="E115" s="10"/>
      <c r="F115" s="10"/>
      <c r="G115" s="14">
        <f>IF(OR(B115="",D115=""),"",IFERROR(IF(INDEX(Protocolo!$D$5:$D$54,MATCH(B115,Protocolo!$A$5:$A$54,0))="meses",EDATE(D115,INDEX(Protocolo!$C$5:$C$54,MATCH(B115,Protocolo!$A$5:$A$54,0))),D115+INDEX(Protocolo!$C$5:$C$54,MATCH(B115,Protocolo!$A$5:$A$54,0))*IF(INDEX(Protocolo!$D$5:$D$54,MATCH(B115,Protocolo!$A$5:$A$54,0))="semanas",7,1)),""))</f>
      </c>
      <c r="H115" s="15">
        <f>IF(G115="","",G115-TODAY())</f>
      </c>
      <c r="I115" s="12">
        <f>IF(OR(A115="",B115="",D115=""),"",IF(D115=SUMPRODUCT(MAX(($A$5:$A$504=A115)*($B$5:$B$504=B115)*$D$5:$D$504)),"Sí","Reemplazada"))</f>
      </c>
      <c r="J115" s="12">
        <f>IF(I115="","",IF(I115="Reemplazada","Reemplazada",IF(H115="","Sin fecha",IF(H115&lt;0,"Vencida",IF(H115&lt;=IFERROR(IF(INDEX(Protocolo!$E$5:$E$54,MATCH(B115,Protocolo!$A$5:$A$54,0))="",30,INDEX(Protocolo!$E$5:$E$54,MATCH(B115,Protocolo!$A$5:$A$54,0))),30),"Por vencer","Vigente")))))</f>
      </c>
      <c r="K115" s="10"/>
    </row>
    <row r="116" spans="1:11" x14ac:dyDescent="0.25">
      <c r="A116" s="10"/>
      <c r="B116" s="10"/>
      <c r="C116" s="12">
        <f>IF(B116="","",IFERROR(INDEX(Protocolo!$B$5:$B$54,MATCH(B116,Protocolo!$A$5:$A$54,0)),""))</f>
      </c>
      <c r="D116" s="16"/>
      <c r="E116" s="10"/>
      <c r="F116" s="10"/>
      <c r="G116" s="14">
        <f>IF(OR(B116="",D116=""),"",IFERROR(IF(INDEX(Protocolo!$D$5:$D$54,MATCH(B116,Protocolo!$A$5:$A$54,0))="meses",EDATE(D116,INDEX(Protocolo!$C$5:$C$54,MATCH(B116,Protocolo!$A$5:$A$54,0))),D116+INDEX(Protocolo!$C$5:$C$54,MATCH(B116,Protocolo!$A$5:$A$54,0))*IF(INDEX(Protocolo!$D$5:$D$54,MATCH(B116,Protocolo!$A$5:$A$54,0))="semanas",7,1)),""))</f>
      </c>
      <c r="H116" s="15">
        <f>IF(G116="","",G116-TODAY())</f>
      </c>
      <c r="I116" s="12">
        <f>IF(OR(A116="",B116="",D116=""),"",IF(D116=SUMPRODUCT(MAX(($A$5:$A$504=A116)*($B$5:$B$504=B116)*$D$5:$D$504)),"Sí","Reemplazada"))</f>
      </c>
      <c r="J116" s="12">
        <f>IF(I116="","",IF(I116="Reemplazada","Reemplazada",IF(H116="","Sin fecha",IF(H116&lt;0,"Vencida",IF(H116&lt;=IFERROR(IF(INDEX(Protocolo!$E$5:$E$54,MATCH(B116,Protocolo!$A$5:$A$54,0))="",30,INDEX(Protocolo!$E$5:$E$54,MATCH(B116,Protocolo!$A$5:$A$54,0))),30),"Por vencer","Vigente")))))</f>
      </c>
      <c r="K116" s="10"/>
    </row>
    <row r="117" spans="1:11" x14ac:dyDescent="0.25">
      <c r="A117" s="10"/>
      <c r="B117" s="10"/>
      <c r="C117" s="12">
        <f>IF(B117="","",IFERROR(INDEX(Protocolo!$B$5:$B$54,MATCH(B117,Protocolo!$A$5:$A$54,0)),""))</f>
      </c>
      <c r="D117" s="16"/>
      <c r="E117" s="10"/>
      <c r="F117" s="10"/>
      <c r="G117" s="14">
        <f>IF(OR(B117="",D117=""),"",IFERROR(IF(INDEX(Protocolo!$D$5:$D$54,MATCH(B117,Protocolo!$A$5:$A$54,0))="meses",EDATE(D117,INDEX(Protocolo!$C$5:$C$54,MATCH(B117,Protocolo!$A$5:$A$54,0))),D117+INDEX(Protocolo!$C$5:$C$54,MATCH(B117,Protocolo!$A$5:$A$54,0))*IF(INDEX(Protocolo!$D$5:$D$54,MATCH(B117,Protocolo!$A$5:$A$54,0))="semanas",7,1)),""))</f>
      </c>
      <c r="H117" s="15">
        <f>IF(G117="","",G117-TODAY())</f>
      </c>
      <c r="I117" s="12">
        <f>IF(OR(A117="",B117="",D117=""),"",IF(D117=SUMPRODUCT(MAX(($A$5:$A$504=A117)*($B$5:$B$504=B117)*$D$5:$D$504)),"Sí","Reemplazada"))</f>
      </c>
      <c r="J117" s="12">
        <f>IF(I117="","",IF(I117="Reemplazada","Reemplazada",IF(H117="","Sin fecha",IF(H117&lt;0,"Vencida",IF(H117&lt;=IFERROR(IF(INDEX(Protocolo!$E$5:$E$54,MATCH(B117,Protocolo!$A$5:$A$54,0))="",30,INDEX(Protocolo!$E$5:$E$54,MATCH(B117,Protocolo!$A$5:$A$54,0))),30),"Por vencer","Vigente")))))</f>
      </c>
      <c r="K117" s="10"/>
    </row>
    <row r="118" spans="1:11" x14ac:dyDescent="0.25">
      <c r="A118" s="10"/>
      <c r="B118" s="10"/>
      <c r="C118" s="12">
        <f>IF(B118="","",IFERROR(INDEX(Protocolo!$B$5:$B$54,MATCH(B118,Protocolo!$A$5:$A$54,0)),""))</f>
      </c>
      <c r="D118" s="16"/>
      <c r="E118" s="10"/>
      <c r="F118" s="10"/>
      <c r="G118" s="14">
        <f>IF(OR(B118="",D118=""),"",IFERROR(IF(INDEX(Protocolo!$D$5:$D$54,MATCH(B118,Protocolo!$A$5:$A$54,0))="meses",EDATE(D118,INDEX(Protocolo!$C$5:$C$54,MATCH(B118,Protocolo!$A$5:$A$54,0))),D118+INDEX(Protocolo!$C$5:$C$54,MATCH(B118,Protocolo!$A$5:$A$54,0))*IF(INDEX(Protocolo!$D$5:$D$54,MATCH(B118,Protocolo!$A$5:$A$54,0))="semanas",7,1)),""))</f>
      </c>
      <c r="H118" s="15">
        <f>IF(G118="","",G118-TODAY())</f>
      </c>
      <c r="I118" s="12">
        <f>IF(OR(A118="",B118="",D118=""),"",IF(D118=SUMPRODUCT(MAX(($A$5:$A$504=A118)*($B$5:$B$504=B118)*$D$5:$D$504)),"Sí","Reemplazada"))</f>
      </c>
      <c r="J118" s="12">
        <f>IF(I118="","",IF(I118="Reemplazada","Reemplazada",IF(H118="","Sin fecha",IF(H118&lt;0,"Vencida",IF(H118&lt;=IFERROR(IF(INDEX(Protocolo!$E$5:$E$54,MATCH(B118,Protocolo!$A$5:$A$54,0))="",30,INDEX(Protocolo!$E$5:$E$54,MATCH(B118,Protocolo!$A$5:$A$54,0))),30),"Por vencer","Vigente")))))</f>
      </c>
      <c r="K118" s="10"/>
    </row>
    <row r="119" spans="1:11" x14ac:dyDescent="0.25">
      <c r="A119" s="10"/>
      <c r="B119" s="10"/>
      <c r="C119" s="12">
        <f>IF(B119="","",IFERROR(INDEX(Protocolo!$B$5:$B$54,MATCH(B119,Protocolo!$A$5:$A$54,0)),""))</f>
      </c>
      <c r="D119" s="16"/>
      <c r="E119" s="10"/>
      <c r="F119" s="10"/>
      <c r="G119" s="14">
        <f>IF(OR(B119="",D119=""),"",IFERROR(IF(INDEX(Protocolo!$D$5:$D$54,MATCH(B119,Protocolo!$A$5:$A$54,0))="meses",EDATE(D119,INDEX(Protocolo!$C$5:$C$54,MATCH(B119,Protocolo!$A$5:$A$54,0))),D119+INDEX(Protocolo!$C$5:$C$54,MATCH(B119,Protocolo!$A$5:$A$54,0))*IF(INDEX(Protocolo!$D$5:$D$54,MATCH(B119,Protocolo!$A$5:$A$54,0))="semanas",7,1)),""))</f>
      </c>
      <c r="H119" s="15">
        <f>IF(G119="","",G119-TODAY())</f>
      </c>
      <c r="I119" s="12">
        <f>IF(OR(A119="",B119="",D119=""),"",IF(D119=SUMPRODUCT(MAX(($A$5:$A$504=A119)*($B$5:$B$504=B119)*$D$5:$D$504)),"Sí","Reemplazada"))</f>
      </c>
      <c r="J119" s="12">
        <f>IF(I119="","",IF(I119="Reemplazada","Reemplazada",IF(H119="","Sin fecha",IF(H119&lt;0,"Vencida",IF(H119&lt;=IFERROR(IF(INDEX(Protocolo!$E$5:$E$54,MATCH(B119,Protocolo!$A$5:$A$54,0))="",30,INDEX(Protocolo!$E$5:$E$54,MATCH(B119,Protocolo!$A$5:$A$54,0))),30),"Por vencer","Vigente")))))</f>
      </c>
      <c r="K119" s="10"/>
    </row>
    <row r="120" spans="1:11" x14ac:dyDescent="0.25">
      <c r="A120" s="10"/>
      <c r="B120" s="10"/>
      <c r="C120" s="12">
        <f>IF(B120="","",IFERROR(INDEX(Protocolo!$B$5:$B$54,MATCH(B120,Protocolo!$A$5:$A$54,0)),""))</f>
      </c>
      <c r="D120" s="16"/>
      <c r="E120" s="10"/>
      <c r="F120" s="10"/>
      <c r="G120" s="14">
        <f>IF(OR(B120="",D120=""),"",IFERROR(IF(INDEX(Protocolo!$D$5:$D$54,MATCH(B120,Protocolo!$A$5:$A$54,0))="meses",EDATE(D120,INDEX(Protocolo!$C$5:$C$54,MATCH(B120,Protocolo!$A$5:$A$54,0))),D120+INDEX(Protocolo!$C$5:$C$54,MATCH(B120,Protocolo!$A$5:$A$54,0))*IF(INDEX(Protocolo!$D$5:$D$54,MATCH(B120,Protocolo!$A$5:$A$54,0))="semanas",7,1)),""))</f>
      </c>
      <c r="H120" s="15">
        <f>IF(G120="","",G120-TODAY())</f>
      </c>
      <c r="I120" s="12">
        <f>IF(OR(A120="",B120="",D120=""),"",IF(D120=SUMPRODUCT(MAX(($A$5:$A$504=A120)*($B$5:$B$504=B120)*$D$5:$D$504)),"Sí","Reemplazada"))</f>
      </c>
      <c r="J120" s="12">
        <f>IF(I120="","",IF(I120="Reemplazada","Reemplazada",IF(H120="","Sin fecha",IF(H120&lt;0,"Vencida",IF(H120&lt;=IFERROR(IF(INDEX(Protocolo!$E$5:$E$54,MATCH(B120,Protocolo!$A$5:$A$54,0))="",30,INDEX(Protocolo!$E$5:$E$54,MATCH(B120,Protocolo!$A$5:$A$54,0))),30),"Por vencer","Vigente")))))</f>
      </c>
      <c r="K120" s="10"/>
    </row>
    <row r="121" spans="1:11" x14ac:dyDescent="0.25">
      <c r="A121" s="10"/>
      <c r="B121" s="10"/>
      <c r="C121" s="12">
        <f>IF(B121="","",IFERROR(INDEX(Protocolo!$B$5:$B$54,MATCH(B121,Protocolo!$A$5:$A$54,0)),""))</f>
      </c>
      <c r="D121" s="16"/>
      <c r="E121" s="10"/>
      <c r="F121" s="10"/>
      <c r="G121" s="14">
        <f>IF(OR(B121="",D121=""),"",IFERROR(IF(INDEX(Protocolo!$D$5:$D$54,MATCH(B121,Protocolo!$A$5:$A$54,0))="meses",EDATE(D121,INDEX(Protocolo!$C$5:$C$54,MATCH(B121,Protocolo!$A$5:$A$54,0))),D121+INDEX(Protocolo!$C$5:$C$54,MATCH(B121,Protocolo!$A$5:$A$54,0))*IF(INDEX(Protocolo!$D$5:$D$54,MATCH(B121,Protocolo!$A$5:$A$54,0))="semanas",7,1)),""))</f>
      </c>
      <c r="H121" s="15">
        <f>IF(G121="","",G121-TODAY())</f>
      </c>
      <c r="I121" s="12">
        <f>IF(OR(A121="",B121="",D121=""),"",IF(D121=SUMPRODUCT(MAX(($A$5:$A$504=A121)*($B$5:$B$504=B121)*$D$5:$D$504)),"Sí","Reemplazada"))</f>
      </c>
      <c r="J121" s="12">
        <f>IF(I121="","",IF(I121="Reemplazada","Reemplazada",IF(H121="","Sin fecha",IF(H121&lt;0,"Vencida",IF(H121&lt;=IFERROR(IF(INDEX(Protocolo!$E$5:$E$54,MATCH(B121,Protocolo!$A$5:$A$54,0))="",30,INDEX(Protocolo!$E$5:$E$54,MATCH(B121,Protocolo!$A$5:$A$54,0))),30),"Por vencer","Vigente")))))</f>
      </c>
      <c r="K121" s="10"/>
    </row>
    <row r="122" spans="1:11" x14ac:dyDescent="0.25">
      <c r="A122" s="10"/>
      <c r="B122" s="10"/>
      <c r="C122" s="12">
        <f>IF(B122="","",IFERROR(INDEX(Protocolo!$B$5:$B$54,MATCH(B122,Protocolo!$A$5:$A$54,0)),""))</f>
      </c>
      <c r="D122" s="16"/>
      <c r="E122" s="10"/>
      <c r="F122" s="10"/>
      <c r="G122" s="14">
        <f>IF(OR(B122="",D122=""),"",IFERROR(IF(INDEX(Protocolo!$D$5:$D$54,MATCH(B122,Protocolo!$A$5:$A$54,0))="meses",EDATE(D122,INDEX(Protocolo!$C$5:$C$54,MATCH(B122,Protocolo!$A$5:$A$54,0))),D122+INDEX(Protocolo!$C$5:$C$54,MATCH(B122,Protocolo!$A$5:$A$54,0))*IF(INDEX(Protocolo!$D$5:$D$54,MATCH(B122,Protocolo!$A$5:$A$54,0))="semanas",7,1)),""))</f>
      </c>
      <c r="H122" s="15">
        <f>IF(G122="","",G122-TODAY())</f>
      </c>
      <c r="I122" s="12">
        <f>IF(OR(A122="",B122="",D122=""),"",IF(D122=SUMPRODUCT(MAX(($A$5:$A$504=A122)*($B$5:$B$504=B122)*$D$5:$D$504)),"Sí","Reemplazada"))</f>
      </c>
      <c r="J122" s="12">
        <f>IF(I122="","",IF(I122="Reemplazada","Reemplazada",IF(H122="","Sin fecha",IF(H122&lt;0,"Vencida",IF(H122&lt;=IFERROR(IF(INDEX(Protocolo!$E$5:$E$54,MATCH(B122,Protocolo!$A$5:$A$54,0))="",30,INDEX(Protocolo!$E$5:$E$54,MATCH(B122,Protocolo!$A$5:$A$54,0))),30),"Por vencer","Vigente")))))</f>
      </c>
      <c r="K122" s="10"/>
    </row>
    <row r="123" spans="1:11" x14ac:dyDescent="0.25">
      <c r="A123" s="10"/>
      <c r="B123" s="10"/>
      <c r="C123" s="12">
        <f>IF(B123="","",IFERROR(INDEX(Protocolo!$B$5:$B$54,MATCH(B123,Protocolo!$A$5:$A$54,0)),""))</f>
      </c>
      <c r="D123" s="16"/>
      <c r="E123" s="10"/>
      <c r="F123" s="10"/>
      <c r="G123" s="14">
        <f>IF(OR(B123="",D123=""),"",IFERROR(IF(INDEX(Protocolo!$D$5:$D$54,MATCH(B123,Protocolo!$A$5:$A$54,0))="meses",EDATE(D123,INDEX(Protocolo!$C$5:$C$54,MATCH(B123,Protocolo!$A$5:$A$54,0))),D123+INDEX(Protocolo!$C$5:$C$54,MATCH(B123,Protocolo!$A$5:$A$54,0))*IF(INDEX(Protocolo!$D$5:$D$54,MATCH(B123,Protocolo!$A$5:$A$54,0))="semanas",7,1)),""))</f>
      </c>
      <c r="H123" s="15">
        <f>IF(G123="","",G123-TODAY())</f>
      </c>
      <c r="I123" s="12">
        <f>IF(OR(A123="",B123="",D123=""),"",IF(D123=SUMPRODUCT(MAX(($A$5:$A$504=A123)*($B$5:$B$504=B123)*$D$5:$D$504)),"Sí","Reemplazada"))</f>
      </c>
      <c r="J123" s="12">
        <f>IF(I123="","",IF(I123="Reemplazada","Reemplazada",IF(H123="","Sin fecha",IF(H123&lt;0,"Vencida",IF(H123&lt;=IFERROR(IF(INDEX(Protocolo!$E$5:$E$54,MATCH(B123,Protocolo!$A$5:$A$54,0))="",30,INDEX(Protocolo!$E$5:$E$54,MATCH(B123,Protocolo!$A$5:$A$54,0))),30),"Por vencer","Vigente")))))</f>
      </c>
      <c r="K123" s="10"/>
    </row>
    <row r="124" spans="1:11" x14ac:dyDescent="0.25">
      <c r="A124" s="10"/>
      <c r="B124" s="10"/>
      <c r="C124" s="12">
        <f>IF(B124="","",IFERROR(INDEX(Protocolo!$B$5:$B$54,MATCH(B124,Protocolo!$A$5:$A$54,0)),""))</f>
      </c>
      <c r="D124" s="16"/>
      <c r="E124" s="10"/>
      <c r="F124" s="10"/>
      <c r="G124" s="14">
        <f>IF(OR(B124="",D124=""),"",IFERROR(IF(INDEX(Protocolo!$D$5:$D$54,MATCH(B124,Protocolo!$A$5:$A$54,0))="meses",EDATE(D124,INDEX(Protocolo!$C$5:$C$54,MATCH(B124,Protocolo!$A$5:$A$54,0))),D124+INDEX(Protocolo!$C$5:$C$54,MATCH(B124,Protocolo!$A$5:$A$54,0))*IF(INDEX(Protocolo!$D$5:$D$54,MATCH(B124,Protocolo!$A$5:$A$54,0))="semanas",7,1)),""))</f>
      </c>
      <c r="H124" s="15">
        <f>IF(G124="","",G124-TODAY())</f>
      </c>
      <c r="I124" s="12">
        <f>IF(OR(A124="",B124="",D124=""),"",IF(D124=SUMPRODUCT(MAX(($A$5:$A$504=A124)*($B$5:$B$504=B124)*$D$5:$D$504)),"Sí","Reemplazada"))</f>
      </c>
      <c r="J124" s="12">
        <f>IF(I124="","",IF(I124="Reemplazada","Reemplazada",IF(H124="","Sin fecha",IF(H124&lt;0,"Vencida",IF(H124&lt;=IFERROR(IF(INDEX(Protocolo!$E$5:$E$54,MATCH(B124,Protocolo!$A$5:$A$54,0))="",30,INDEX(Protocolo!$E$5:$E$54,MATCH(B124,Protocolo!$A$5:$A$54,0))),30),"Por vencer","Vigente")))))</f>
      </c>
      <c r="K124" s="10"/>
    </row>
    <row r="125" spans="1:11" x14ac:dyDescent="0.25">
      <c r="A125" s="10"/>
      <c r="B125" s="10"/>
      <c r="C125" s="12">
        <f>IF(B125="","",IFERROR(INDEX(Protocolo!$B$5:$B$54,MATCH(B125,Protocolo!$A$5:$A$54,0)),""))</f>
      </c>
      <c r="D125" s="16"/>
      <c r="E125" s="10"/>
      <c r="F125" s="10"/>
      <c r="G125" s="14">
        <f>IF(OR(B125="",D125=""),"",IFERROR(IF(INDEX(Protocolo!$D$5:$D$54,MATCH(B125,Protocolo!$A$5:$A$54,0))="meses",EDATE(D125,INDEX(Protocolo!$C$5:$C$54,MATCH(B125,Protocolo!$A$5:$A$54,0))),D125+INDEX(Protocolo!$C$5:$C$54,MATCH(B125,Protocolo!$A$5:$A$54,0))*IF(INDEX(Protocolo!$D$5:$D$54,MATCH(B125,Protocolo!$A$5:$A$54,0))="semanas",7,1)),""))</f>
      </c>
      <c r="H125" s="15">
        <f>IF(G125="","",G125-TODAY())</f>
      </c>
      <c r="I125" s="12">
        <f>IF(OR(A125="",B125="",D125=""),"",IF(D125=SUMPRODUCT(MAX(($A$5:$A$504=A125)*($B$5:$B$504=B125)*$D$5:$D$504)),"Sí","Reemplazada"))</f>
      </c>
      <c r="J125" s="12">
        <f>IF(I125="","",IF(I125="Reemplazada","Reemplazada",IF(H125="","Sin fecha",IF(H125&lt;0,"Vencida",IF(H125&lt;=IFERROR(IF(INDEX(Protocolo!$E$5:$E$54,MATCH(B125,Protocolo!$A$5:$A$54,0))="",30,INDEX(Protocolo!$E$5:$E$54,MATCH(B125,Protocolo!$A$5:$A$54,0))),30),"Por vencer","Vigente")))))</f>
      </c>
      <c r="K125" s="10"/>
    </row>
    <row r="126" spans="1:11" x14ac:dyDescent="0.25">
      <c r="A126" s="10"/>
      <c r="B126" s="10"/>
      <c r="C126" s="12">
        <f>IF(B126="","",IFERROR(INDEX(Protocolo!$B$5:$B$54,MATCH(B126,Protocolo!$A$5:$A$54,0)),""))</f>
      </c>
      <c r="D126" s="16"/>
      <c r="E126" s="10"/>
      <c r="F126" s="10"/>
      <c r="G126" s="14">
        <f>IF(OR(B126="",D126=""),"",IFERROR(IF(INDEX(Protocolo!$D$5:$D$54,MATCH(B126,Protocolo!$A$5:$A$54,0))="meses",EDATE(D126,INDEX(Protocolo!$C$5:$C$54,MATCH(B126,Protocolo!$A$5:$A$54,0))),D126+INDEX(Protocolo!$C$5:$C$54,MATCH(B126,Protocolo!$A$5:$A$54,0))*IF(INDEX(Protocolo!$D$5:$D$54,MATCH(B126,Protocolo!$A$5:$A$54,0))="semanas",7,1)),""))</f>
      </c>
      <c r="H126" s="15">
        <f>IF(G126="","",G126-TODAY())</f>
      </c>
      <c r="I126" s="12">
        <f>IF(OR(A126="",B126="",D126=""),"",IF(D126=SUMPRODUCT(MAX(($A$5:$A$504=A126)*($B$5:$B$504=B126)*$D$5:$D$504)),"Sí","Reemplazada"))</f>
      </c>
      <c r="J126" s="12">
        <f>IF(I126="","",IF(I126="Reemplazada","Reemplazada",IF(H126="","Sin fecha",IF(H126&lt;0,"Vencida",IF(H126&lt;=IFERROR(IF(INDEX(Protocolo!$E$5:$E$54,MATCH(B126,Protocolo!$A$5:$A$54,0))="",30,INDEX(Protocolo!$E$5:$E$54,MATCH(B126,Protocolo!$A$5:$A$54,0))),30),"Por vencer","Vigente")))))</f>
      </c>
      <c r="K126" s="10"/>
    </row>
    <row r="127" spans="1:11" x14ac:dyDescent="0.25">
      <c r="A127" s="10"/>
      <c r="B127" s="10"/>
      <c r="C127" s="12">
        <f>IF(B127="","",IFERROR(INDEX(Protocolo!$B$5:$B$54,MATCH(B127,Protocolo!$A$5:$A$54,0)),""))</f>
      </c>
      <c r="D127" s="16"/>
      <c r="E127" s="10"/>
      <c r="F127" s="10"/>
      <c r="G127" s="14">
        <f>IF(OR(B127="",D127=""),"",IFERROR(IF(INDEX(Protocolo!$D$5:$D$54,MATCH(B127,Protocolo!$A$5:$A$54,0))="meses",EDATE(D127,INDEX(Protocolo!$C$5:$C$54,MATCH(B127,Protocolo!$A$5:$A$54,0))),D127+INDEX(Protocolo!$C$5:$C$54,MATCH(B127,Protocolo!$A$5:$A$54,0))*IF(INDEX(Protocolo!$D$5:$D$54,MATCH(B127,Protocolo!$A$5:$A$54,0))="semanas",7,1)),""))</f>
      </c>
      <c r="H127" s="15">
        <f>IF(G127="","",G127-TODAY())</f>
      </c>
      <c r="I127" s="12">
        <f>IF(OR(A127="",B127="",D127=""),"",IF(D127=SUMPRODUCT(MAX(($A$5:$A$504=A127)*($B$5:$B$504=B127)*$D$5:$D$504)),"Sí","Reemplazada"))</f>
      </c>
      <c r="J127" s="12">
        <f>IF(I127="","",IF(I127="Reemplazada","Reemplazada",IF(H127="","Sin fecha",IF(H127&lt;0,"Vencida",IF(H127&lt;=IFERROR(IF(INDEX(Protocolo!$E$5:$E$54,MATCH(B127,Protocolo!$A$5:$A$54,0))="",30,INDEX(Protocolo!$E$5:$E$54,MATCH(B127,Protocolo!$A$5:$A$54,0))),30),"Por vencer","Vigente")))))</f>
      </c>
      <c r="K127" s="10"/>
    </row>
    <row r="128" spans="1:11" x14ac:dyDescent="0.25">
      <c r="A128" s="10"/>
      <c r="B128" s="10"/>
      <c r="C128" s="12">
        <f>IF(B128="","",IFERROR(INDEX(Protocolo!$B$5:$B$54,MATCH(B128,Protocolo!$A$5:$A$54,0)),""))</f>
      </c>
      <c r="D128" s="16"/>
      <c r="E128" s="10"/>
      <c r="F128" s="10"/>
      <c r="G128" s="14">
        <f>IF(OR(B128="",D128=""),"",IFERROR(IF(INDEX(Protocolo!$D$5:$D$54,MATCH(B128,Protocolo!$A$5:$A$54,0))="meses",EDATE(D128,INDEX(Protocolo!$C$5:$C$54,MATCH(B128,Protocolo!$A$5:$A$54,0))),D128+INDEX(Protocolo!$C$5:$C$54,MATCH(B128,Protocolo!$A$5:$A$54,0))*IF(INDEX(Protocolo!$D$5:$D$54,MATCH(B128,Protocolo!$A$5:$A$54,0))="semanas",7,1)),""))</f>
      </c>
      <c r="H128" s="15">
        <f>IF(G128="","",G128-TODAY())</f>
      </c>
      <c r="I128" s="12">
        <f>IF(OR(A128="",B128="",D128=""),"",IF(D128=SUMPRODUCT(MAX(($A$5:$A$504=A128)*($B$5:$B$504=B128)*$D$5:$D$504)),"Sí","Reemplazada"))</f>
      </c>
      <c r="J128" s="12">
        <f>IF(I128="","",IF(I128="Reemplazada","Reemplazada",IF(H128="","Sin fecha",IF(H128&lt;0,"Vencida",IF(H128&lt;=IFERROR(IF(INDEX(Protocolo!$E$5:$E$54,MATCH(B128,Protocolo!$A$5:$A$54,0))="",30,INDEX(Protocolo!$E$5:$E$54,MATCH(B128,Protocolo!$A$5:$A$54,0))),30),"Por vencer","Vigente")))))</f>
      </c>
      <c r="K128" s="10"/>
    </row>
    <row r="129" spans="1:11" x14ac:dyDescent="0.25">
      <c r="A129" s="10"/>
      <c r="B129" s="10"/>
      <c r="C129" s="12">
        <f>IF(B129="","",IFERROR(INDEX(Protocolo!$B$5:$B$54,MATCH(B129,Protocolo!$A$5:$A$54,0)),""))</f>
      </c>
      <c r="D129" s="16"/>
      <c r="E129" s="10"/>
      <c r="F129" s="10"/>
      <c r="G129" s="14">
        <f>IF(OR(B129="",D129=""),"",IFERROR(IF(INDEX(Protocolo!$D$5:$D$54,MATCH(B129,Protocolo!$A$5:$A$54,0))="meses",EDATE(D129,INDEX(Protocolo!$C$5:$C$54,MATCH(B129,Protocolo!$A$5:$A$54,0))),D129+INDEX(Protocolo!$C$5:$C$54,MATCH(B129,Protocolo!$A$5:$A$54,0))*IF(INDEX(Protocolo!$D$5:$D$54,MATCH(B129,Protocolo!$A$5:$A$54,0))="semanas",7,1)),""))</f>
      </c>
      <c r="H129" s="15">
        <f>IF(G129="","",G129-TODAY())</f>
      </c>
      <c r="I129" s="12">
        <f>IF(OR(A129="",B129="",D129=""),"",IF(D129=SUMPRODUCT(MAX(($A$5:$A$504=A129)*($B$5:$B$504=B129)*$D$5:$D$504)),"Sí","Reemplazada"))</f>
      </c>
      <c r="J129" s="12">
        <f>IF(I129="","",IF(I129="Reemplazada","Reemplazada",IF(H129="","Sin fecha",IF(H129&lt;0,"Vencida",IF(H129&lt;=IFERROR(IF(INDEX(Protocolo!$E$5:$E$54,MATCH(B129,Protocolo!$A$5:$A$54,0))="",30,INDEX(Protocolo!$E$5:$E$54,MATCH(B129,Protocolo!$A$5:$A$54,0))),30),"Por vencer","Vigente")))))</f>
      </c>
      <c r="K129" s="10"/>
    </row>
    <row r="130" spans="1:11" x14ac:dyDescent="0.25">
      <c r="A130" s="10"/>
      <c r="B130" s="10"/>
      <c r="C130" s="12">
        <f>IF(B130="","",IFERROR(INDEX(Protocolo!$B$5:$B$54,MATCH(B130,Protocolo!$A$5:$A$54,0)),""))</f>
      </c>
      <c r="D130" s="16"/>
      <c r="E130" s="10"/>
      <c r="F130" s="10"/>
      <c r="G130" s="14">
        <f>IF(OR(B130="",D130=""),"",IFERROR(IF(INDEX(Protocolo!$D$5:$D$54,MATCH(B130,Protocolo!$A$5:$A$54,0))="meses",EDATE(D130,INDEX(Protocolo!$C$5:$C$54,MATCH(B130,Protocolo!$A$5:$A$54,0))),D130+INDEX(Protocolo!$C$5:$C$54,MATCH(B130,Protocolo!$A$5:$A$54,0))*IF(INDEX(Protocolo!$D$5:$D$54,MATCH(B130,Protocolo!$A$5:$A$54,0))="semanas",7,1)),""))</f>
      </c>
      <c r="H130" s="15">
        <f>IF(G130="","",G130-TODAY())</f>
      </c>
      <c r="I130" s="12">
        <f>IF(OR(A130="",B130="",D130=""),"",IF(D130=SUMPRODUCT(MAX(($A$5:$A$504=A130)*($B$5:$B$504=B130)*$D$5:$D$504)),"Sí","Reemplazada"))</f>
      </c>
      <c r="J130" s="12">
        <f>IF(I130="","",IF(I130="Reemplazada","Reemplazada",IF(H130="","Sin fecha",IF(H130&lt;0,"Vencida",IF(H130&lt;=IFERROR(IF(INDEX(Protocolo!$E$5:$E$54,MATCH(B130,Protocolo!$A$5:$A$54,0))="",30,INDEX(Protocolo!$E$5:$E$54,MATCH(B130,Protocolo!$A$5:$A$54,0))),30),"Por vencer","Vigente")))))</f>
      </c>
      <c r="K130" s="10"/>
    </row>
    <row r="131" spans="1:11" x14ac:dyDescent="0.25">
      <c r="A131" s="10"/>
      <c r="B131" s="10"/>
      <c r="C131" s="12">
        <f>IF(B131="","",IFERROR(INDEX(Protocolo!$B$5:$B$54,MATCH(B131,Protocolo!$A$5:$A$54,0)),""))</f>
      </c>
      <c r="D131" s="16"/>
      <c r="E131" s="10"/>
      <c r="F131" s="10"/>
      <c r="G131" s="14">
        <f>IF(OR(B131="",D131=""),"",IFERROR(IF(INDEX(Protocolo!$D$5:$D$54,MATCH(B131,Protocolo!$A$5:$A$54,0))="meses",EDATE(D131,INDEX(Protocolo!$C$5:$C$54,MATCH(B131,Protocolo!$A$5:$A$54,0))),D131+INDEX(Protocolo!$C$5:$C$54,MATCH(B131,Protocolo!$A$5:$A$54,0))*IF(INDEX(Protocolo!$D$5:$D$54,MATCH(B131,Protocolo!$A$5:$A$54,0))="semanas",7,1)),""))</f>
      </c>
      <c r="H131" s="15">
        <f>IF(G131="","",G131-TODAY())</f>
      </c>
      <c r="I131" s="12">
        <f>IF(OR(A131="",B131="",D131=""),"",IF(D131=SUMPRODUCT(MAX(($A$5:$A$504=A131)*($B$5:$B$504=B131)*$D$5:$D$504)),"Sí","Reemplazada"))</f>
      </c>
      <c r="J131" s="12">
        <f>IF(I131="","",IF(I131="Reemplazada","Reemplazada",IF(H131="","Sin fecha",IF(H131&lt;0,"Vencida",IF(H131&lt;=IFERROR(IF(INDEX(Protocolo!$E$5:$E$54,MATCH(B131,Protocolo!$A$5:$A$54,0))="",30,INDEX(Protocolo!$E$5:$E$54,MATCH(B131,Protocolo!$A$5:$A$54,0))),30),"Por vencer","Vigente")))))</f>
      </c>
      <c r="K131" s="10"/>
    </row>
    <row r="132" spans="1:11" x14ac:dyDescent="0.25">
      <c r="A132" s="10"/>
      <c r="B132" s="10"/>
      <c r="C132" s="12">
        <f>IF(B132="","",IFERROR(INDEX(Protocolo!$B$5:$B$54,MATCH(B132,Protocolo!$A$5:$A$54,0)),""))</f>
      </c>
      <c r="D132" s="16"/>
      <c r="E132" s="10"/>
      <c r="F132" s="10"/>
      <c r="G132" s="14">
        <f>IF(OR(B132="",D132=""),"",IFERROR(IF(INDEX(Protocolo!$D$5:$D$54,MATCH(B132,Protocolo!$A$5:$A$54,0))="meses",EDATE(D132,INDEX(Protocolo!$C$5:$C$54,MATCH(B132,Protocolo!$A$5:$A$54,0))),D132+INDEX(Protocolo!$C$5:$C$54,MATCH(B132,Protocolo!$A$5:$A$54,0))*IF(INDEX(Protocolo!$D$5:$D$54,MATCH(B132,Protocolo!$A$5:$A$54,0))="semanas",7,1)),""))</f>
      </c>
      <c r="H132" s="15">
        <f>IF(G132="","",G132-TODAY())</f>
      </c>
      <c r="I132" s="12">
        <f>IF(OR(A132="",B132="",D132=""),"",IF(D132=SUMPRODUCT(MAX(($A$5:$A$504=A132)*($B$5:$B$504=B132)*$D$5:$D$504)),"Sí","Reemplazada"))</f>
      </c>
      <c r="J132" s="12">
        <f>IF(I132="","",IF(I132="Reemplazada","Reemplazada",IF(H132="","Sin fecha",IF(H132&lt;0,"Vencida",IF(H132&lt;=IFERROR(IF(INDEX(Protocolo!$E$5:$E$54,MATCH(B132,Protocolo!$A$5:$A$54,0))="",30,INDEX(Protocolo!$E$5:$E$54,MATCH(B132,Protocolo!$A$5:$A$54,0))),30),"Por vencer","Vigente")))))</f>
      </c>
      <c r="K132" s="10"/>
    </row>
    <row r="133" spans="1:11" x14ac:dyDescent="0.25">
      <c r="A133" s="10"/>
      <c r="B133" s="10"/>
      <c r="C133" s="12">
        <f>IF(B133="","",IFERROR(INDEX(Protocolo!$B$5:$B$54,MATCH(B133,Protocolo!$A$5:$A$54,0)),""))</f>
      </c>
      <c r="D133" s="16"/>
      <c r="E133" s="10"/>
      <c r="F133" s="10"/>
      <c r="G133" s="14">
        <f>IF(OR(B133="",D133=""),"",IFERROR(IF(INDEX(Protocolo!$D$5:$D$54,MATCH(B133,Protocolo!$A$5:$A$54,0))="meses",EDATE(D133,INDEX(Protocolo!$C$5:$C$54,MATCH(B133,Protocolo!$A$5:$A$54,0))),D133+INDEX(Protocolo!$C$5:$C$54,MATCH(B133,Protocolo!$A$5:$A$54,0))*IF(INDEX(Protocolo!$D$5:$D$54,MATCH(B133,Protocolo!$A$5:$A$54,0))="semanas",7,1)),""))</f>
      </c>
      <c r="H133" s="15">
        <f>IF(G133="","",G133-TODAY())</f>
      </c>
      <c r="I133" s="12">
        <f>IF(OR(A133="",B133="",D133=""),"",IF(D133=SUMPRODUCT(MAX(($A$5:$A$504=A133)*($B$5:$B$504=B133)*$D$5:$D$504)),"Sí","Reemplazada"))</f>
      </c>
      <c r="J133" s="12">
        <f>IF(I133="","",IF(I133="Reemplazada","Reemplazada",IF(H133="","Sin fecha",IF(H133&lt;0,"Vencida",IF(H133&lt;=IFERROR(IF(INDEX(Protocolo!$E$5:$E$54,MATCH(B133,Protocolo!$A$5:$A$54,0))="",30,INDEX(Protocolo!$E$5:$E$54,MATCH(B133,Protocolo!$A$5:$A$54,0))),30),"Por vencer","Vigente")))))</f>
      </c>
      <c r="K133" s="10"/>
    </row>
    <row r="134" spans="1:11" x14ac:dyDescent="0.25">
      <c r="A134" s="10"/>
      <c r="B134" s="10"/>
      <c r="C134" s="12">
        <f>IF(B134="","",IFERROR(INDEX(Protocolo!$B$5:$B$54,MATCH(B134,Protocolo!$A$5:$A$54,0)),""))</f>
      </c>
      <c r="D134" s="16"/>
      <c r="E134" s="10"/>
      <c r="F134" s="10"/>
      <c r="G134" s="14">
        <f>IF(OR(B134="",D134=""),"",IFERROR(IF(INDEX(Protocolo!$D$5:$D$54,MATCH(B134,Protocolo!$A$5:$A$54,0))="meses",EDATE(D134,INDEX(Protocolo!$C$5:$C$54,MATCH(B134,Protocolo!$A$5:$A$54,0))),D134+INDEX(Protocolo!$C$5:$C$54,MATCH(B134,Protocolo!$A$5:$A$54,0))*IF(INDEX(Protocolo!$D$5:$D$54,MATCH(B134,Protocolo!$A$5:$A$54,0))="semanas",7,1)),""))</f>
      </c>
      <c r="H134" s="15">
        <f>IF(G134="","",G134-TODAY())</f>
      </c>
      <c r="I134" s="12">
        <f>IF(OR(A134="",B134="",D134=""),"",IF(D134=SUMPRODUCT(MAX(($A$5:$A$504=A134)*($B$5:$B$504=B134)*$D$5:$D$504)),"Sí","Reemplazada"))</f>
      </c>
      <c r="J134" s="12">
        <f>IF(I134="","",IF(I134="Reemplazada","Reemplazada",IF(H134="","Sin fecha",IF(H134&lt;0,"Vencida",IF(H134&lt;=IFERROR(IF(INDEX(Protocolo!$E$5:$E$54,MATCH(B134,Protocolo!$A$5:$A$54,0))="",30,INDEX(Protocolo!$E$5:$E$54,MATCH(B134,Protocolo!$A$5:$A$54,0))),30),"Por vencer","Vigente")))))</f>
      </c>
      <c r="K134" s="10"/>
    </row>
    <row r="135" spans="1:11" x14ac:dyDescent="0.25">
      <c r="A135" s="10"/>
      <c r="B135" s="10"/>
      <c r="C135" s="12">
        <f>IF(B135="","",IFERROR(INDEX(Protocolo!$B$5:$B$54,MATCH(B135,Protocolo!$A$5:$A$54,0)),""))</f>
      </c>
      <c r="D135" s="16"/>
      <c r="E135" s="10"/>
      <c r="F135" s="10"/>
      <c r="G135" s="14">
        <f>IF(OR(B135="",D135=""),"",IFERROR(IF(INDEX(Protocolo!$D$5:$D$54,MATCH(B135,Protocolo!$A$5:$A$54,0))="meses",EDATE(D135,INDEX(Protocolo!$C$5:$C$54,MATCH(B135,Protocolo!$A$5:$A$54,0))),D135+INDEX(Protocolo!$C$5:$C$54,MATCH(B135,Protocolo!$A$5:$A$54,0))*IF(INDEX(Protocolo!$D$5:$D$54,MATCH(B135,Protocolo!$A$5:$A$54,0))="semanas",7,1)),""))</f>
      </c>
      <c r="H135" s="15">
        <f>IF(G135="","",G135-TODAY())</f>
      </c>
      <c r="I135" s="12">
        <f>IF(OR(A135="",B135="",D135=""),"",IF(D135=SUMPRODUCT(MAX(($A$5:$A$504=A135)*($B$5:$B$504=B135)*$D$5:$D$504)),"Sí","Reemplazada"))</f>
      </c>
      <c r="J135" s="12">
        <f>IF(I135="","",IF(I135="Reemplazada","Reemplazada",IF(H135="","Sin fecha",IF(H135&lt;0,"Vencida",IF(H135&lt;=IFERROR(IF(INDEX(Protocolo!$E$5:$E$54,MATCH(B135,Protocolo!$A$5:$A$54,0))="",30,INDEX(Protocolo!$E$5:$E$54,MATCH(B135,Protocolo!$A$5:$A$54,0))),30),"Por vencer","Vigente")))))</f>
      </c>
      <c r="K135" s="10"/>
    </row>
    <row r="136" spans="1:11" x14ac:dyDescent="0.25">
      <c r="A136" s="10"/>
      <c r="B136" s="10"/>
      <c r="C136" s="12">
        <f>IF(B136="","",IFERROR(INDEX(Protocolo!$B$5:$B$54,MATCH(B136,Protocolo!$A$5:$A$54,0)),""))</f>
      </c>
      <c r="D136" s="16"/>
      <c r="E136" s="10"/>
      <c r="F136" s="10"/>
      <c r="G136" s="14">
        <f>IF(OR(B136="",D136=""),"",IFERROR(IF(INDEX(Protocolo!$D$5:$D$54,MATCH(B136,Protocolo!$A$5:$A$54,0))="meses",EDATE(D136,INDEX(Protocolo!$C$5:$C$54,MATCH(B136,Protocolo!$A$5:$A$54,0))),D136+INDEX(Protocolo!$C$5:$C$54,MATCH(B136,Protocolo!$A$5:$A$54,0))*IF(INDEX(Protocolo!$D$5:$D$54,MATCH(B136,Protocolo!$A$5:$A$54,0))="semanas",7,1)),""))</f>
      </c>
      <c r="H136" s="15">
        <f>IF(G136="","",G136-TODAY())</f>
      </c>
      <c r="I136" s="12">
        <f>IF(OR(A136="",B136="",D136=""),"",IF(D136=SUMPRODUCT(MAX(($A$5:$A$504=A136)*($B$5:$B$504=B136)*$D$5:$D$504)),"Sí","Reemplazada"))</f>
      </c>
      <c r="J136" s="12">
        <f>IF(I136="","",IF(I136="Reemplazada","Reemplazada",IF(H136="","Sin fecha",IF(H136&lt;0,"Vencida",IF(H136&lt;=IFERROR(IF(INDEX(Protocolo!$E$5:$E$54,MATCH(B136,Protocolo!$A$5:$A$54,0))="",30,INDEX(Protocolo!$E$5:$E$54,MATCH(B136,Protocolo!$A$5:$A$54,0))),30),"Por vencer","Vigente")))))</f>
      </c>
      <c r="K136" s="10"/>
    </row>
    <row r="137" spans="1:11" x14ac:dyDescent="0.25">
      <c r="A137" s="10"/>
      <c r="B137" s="10"/>
      <c r="C137" s="12">
        <f>IF(B137="","",IFERROR(INDEX(Protocolo!$B$5:$B$54,MATCH(B137,Protocolo!$A$5:$A$54,0)),""))</f>
      </c>
      <c r="D137" s="16"/>
      <c r="E137" s="10"/>
      <c r="F137" s="10"/>
      <c r="G137" s="14">
        <f>IF(OR(B137="",D137=""),"",IFERROR(IF(INDEX(Protocolo!$D$5:$D$54,MATCH(B137,Protocolo!$A$5:$A$54,0))="meses",EDATE(D137,INDEX(Protocolo!$C$5:$C$54,MATCH(B137,Protocolo!$A$5:$A$54,0))),D137+INDEX(Protocolo!$C$5:$C$54,MATCH(B137,Protocolo!$A$5:$A$54,0))*IF(INDEX(Protocolo!$D$5:$D$54,MATCH(B137,Protocolo!$A$5:$A$54,0))="semanas",7,1)),""))</f>
      </c>
      <c r="H137" s="15">
        <f>IF(G137="","",G137-TODAY())</f>
      </c>
      <c r="I137" s="12">
        <f>IF(OR(A137="",B137="",D137=""),"",IF(D137=SUMPRODUCT(MAX(($A$5:$A$504=A137)*($B$5:$B$504=B137)*$D$5:$D$504)),"Sí","Reemplazada"))</f>
      </c>
      <c r="J137" s="12">
        <f>IF(I137="","",IF(I137="Reemplazada","Reemplazada",IF(H137="","Sin fecha",IF(H137&lt;0,"Vencida",IF(H137&lt;=IFERROR(IF(INDEX(Protocolo!$E$5:$E$54,MATCH(B137,Protocolo!$A$5:$A$54,0))="",30,INDEX(Protocolo!$E$5:$E$54,MATCH(B137,Protocolo!$A$5:$A$54,0))),30),"Por vencer","Vigente")))))</f>
      </c>
      <c r="K137" s="10"/>
    </row>
    <row r="138" spans="1:11" x14ac:dyDescent="0.25">
      <c r="A138" s="10"/>
      <c r="B138" s="10"/>
      <c r="C138" s="12">
        <f>IF(B138="","",IFERROR(INDEX(Protocolo!$B$5:$B$54,MATCH(B138,Protocolo!$A$5:$A$54,0)),""))</f>
      </c>
      <c r="D138" s="16"/>
      <c r="E138" s="10"/>
      <c r="F138" s="10"/>
      <c r="G138" s="14">
        <f>IF(OR(B138="",D138=""),"",IFERROR(IF(INDEX(Protocolo!$D$5:$D$54,MATCH(B138,Protocolo!$A$5:$A$54,0))="meses",EDATE(D138,INDEX(Protocolo!$C$5:$C$54,MATCH(B138,Protocolo!$A$5:$A$54,0))),D138+INDEX(Protocolo!$C$5:$C$54,MATCH(B138,Protocolo!$A$5:$A$54,0))*IF(INDEX(Protocolo!$D$5:$D$54,MATCH(B138,Protocolo!$A$5:$A$54,0))="semanas",7,1)),""))</f>
      </c>
      <c r="H138" s="15">
        <f>IF(G138="","",G138-TODAY())</f>
      </c>
      <c r="I138" s="12">
        <f>IF(OR(A138="",B138="",D138=""),"",IF(D138=SUMPRODUCT(MAX(($A$5:$A$504=A138)*($B$5:$B$504=B138)*$D$5:$D$504)),"Sí","Reemplazada"))</f>
      </c>
      <c r="J138" s="12">
        <f>IF(I138="","",IF(I138="Reemplazada","Reemplazada",IF(H138="","Sin fecha",IF(H138&lt;0,"Vencida",IF(H138&lt;=IFERROR(IF(INDEX(Protocolo!$E$5:$E$54,MATCH(B138,Protocolo!$A$5:$A$54,0))="",30,INDEX(Protocolo!$E$5:$E$54,MATCH(B138,Protocolo!$A$5:$A$54,0))),30),"Por vencer","Vigente")))))</f>
      </c>
      <c r="K138" s="10"/>
    </row>
    <row r="139" spans="1:11" x14ac:dyDescent="0.25">
      <c r="A139" s="10"/>
      <c r="B139" s="10"/>
      <c r="C139" s="12">
        <f>IF(B139="","",IFERROR(INDEX(Protocolo!$B$5:$B$54,MATCH(B139,Protocolo!$A$5:$A$54,0)),""))</f>
      </c>
      <c r="D139" s="16"/>
      <c r="E139" s="10"/>
      <c r="F139" s="10"/>
      <c r="G139" s="14">
        <f>IF(OR(B139="",D139=""),"",IFERROR(IF(INDEX(Protocolo!$D$5:$D$54,MATCH(B139,Protocolo!$A$5:$A$54,0))="meses",EDATE(D139,INDEX(Protocolo!$C$5:$C$54,MATCH(B139,Protocolo!$A$5:$A$54,0))),D139+INDEX(Protocolo!$C$5:$C$54,MATCH(B139,Protocolo!$A$5:$A$54,0))*IF(INDEX(Protocolo!$D$5:$D$54,MATCH(B139,Protocolo!$A$5:$A$54,0))="semanas",7,1)),""))</f>
      </c>
      <c r="H139" s="15">
        <f>IF(G139="","",G139-TODAY())</f>
      </c>
      <c r="I139" s="12">
        <f>IF(OR(A139="",B139="",D139=""),"",IF(D139=SUMPRODUCT(MAX(($A$5:$A$504=A139)*($B$5:$B$504=B139)*$D$5:$D$504)),"Sí","Reemplazada"))</f>
      </c>
      <c r="J139" s="12">
        <f>IF(I139="","",IF(I139="Reemplazada","Reemplazada",IF(H139="","Sin fecha",IF(H139&lt;0,"Vencida",IF(H139&lt;=IFERROR(IF(INDEX(Protocolo!$E$5:$E$54,MATCH(B139,Protocolo!$A$5:$A$54,0))="",30,INDEX(Protocolo!$E$5:$E$54,MATCH(B139,Protocolo!$A$5:$A$54,0))),30),"Por vencer","Vigente")))))</f>
      </c>
      <c r="K139" s="10"/>
    </row>
    <row r="140" spans="1:11" x14ac:dyDescent="0.25">
      <c r="A140" s="10"/>
      <c r="B140" s="10"/>
      <c r="C140" s="12">
        <f>IF(B140="","",IFERROR(INDEX(Protocolo!$B$5:$B$54,MATCH(B140,Protocolo!$A$5:$A$54,0)),""))</f>
      </c>
      <c r="D140" s="16"/>
      <c r="E140" s="10"/>
      <c r="F140" s="10"/>
      <c r="G140" s="14">
        <f>IF(OR(B140="",D140=""),"",IFERROR(IF(INDEX(Protocolo!$D$5:$D$54,MATCH(B140,Protocolo!$A$5:$A$54,0))="meses",EDATE(D140,INDEX(Protocolo!$C$5:$C$54,MATCH(B140,Protocolo!$A$5:$A$54,0))),D140+INDEX(Protocolo!$C$5:$C$54,MATCH(B140,Protocolo!$A$5:$A$54,0))*IF(INDEX(Protocolo!$D$5:$D$54,MATCH(B140,Protocolo!$A$5:$A$54,0))="semanas",7,1)),""))</f>
      </c>
      <c r="H140" s="15">
        <f>IF(G140="","",G140-TODAY())</f>
      </c>
      <c r="I140" s="12">
        <f>IF(OR(A140="",B140="",D140=""),"",IF(D140=SUMPRODUCT(MAX(($A$5:$A$504=A140)*($B$5:$B$504=B140)*$D$5:$D$504)),"Sí","Reemplazada"))</f>
      </c>
      <c r="J140" s="12">
        <f>IF(I140="","",IF(I140="Reemplazada","Reemplazada",IF(H140="","Sin fecha",IF(H140&lt;0,"Vencida",IF(H140&lt;=IFERROR(IF(INDEX(Protocolo!$E$5:$E$54,MATCH(B140,Protocolo!$A$5:$A$54,0))="",30,INDEX(Protocolo!$E$5:$E$54,MATCH(B140,Protocolo!$A$5:$A$54,0))),30),"Por vencer","Vigente")))))</f>
      </c>
      <c r="K140" s="10"/>
    </row>
    <row r="141" spans="1:11" x14ac:dyDescent="0.25">
      <c r="A141" s="10"/>
      <c r="B141" s="10"/>
      <c r="C141" s="12">
        <f>IF(B141="","",IFERROR(INDEX(Protocolo!$B$5:$B$54,MATCH(B141,Protocolo!$A$5:$A$54,0)),""))</f>
      </c>
      <c r="D141" s="16"/>
      <c r="E141" s="10"/>
      <c r="F141" s="10"/>
      <c r="G141" s="14">
        <f>IF(OR(B141="",D141=""),"",IFERROR(IF(INDEX(Protocolo!$D$5:$D$54,MATCH(B141,Protocolo!$A$5:$A$54,0))="meses",EDATE(D141,INDEX(Protocolo!$C$5:$C$54,MATCH(B141,Protocolo!$A$5:$A$54,0))),D141+INDEX(Protocolo!$C$5:$C$54,MATCH(B141,Protocolo!$A$5:$A$54,0))*IF(INDEX(Protocolo!$D$5:$D$54,MATCH(B141,Protocolo!$A$5:$A$54,0))="semanas",7,1)),""))</f>
      </c>
      <c r="H141" s="15">
        <f>IF(G141="","",G141-TODAY())</f>
      </c>
      <c r="I141" s="12">
        <f>IF(OR(A141="",B141="",D141=""),"",IF(D141=SUMPRODUCT(MAX(($A$5:$A$504=A141)*($B$5:$B$504=B141)*$D$5:$D$504)),"Sí","Reemplazada"))</f>
      </c>
      <c r="J141" s="12">
        <f>IF(I141="","",IF(I141="Reemplazada","Reemplazada",IF(H141="","Sin fecha",IF(H141&lt;0,"Vencida",IF(H141&lt;=IFERROR(IF(INDEX(Protocolo!$E$5:$E$54,MATCH(B141,Protocolo!$A$5:$A$54,0))="",30,INDEX(Protocolo!$E$5:$E$54,MATCH(B141,Protocolo!$A$5:$A$54,0))),30),"Por vencer","Vigente")))))</f>
      </c>
      <c r="K141" s="10"/>
    </row>
    <row r="142" spans="1:11" x14ac:dyDescent="0.25">
      <c r="A142" s="10"/>
      <c r="B142" s="10"/>
      <c r="C142" s="12">
        <f>IF(B142="","",IFERROR(INDEX(Protocolo!$B$5:$B$54,MATCH(B142,Protocolo!$A$5:$A$54,0)),""))</f>
      </c>
      <c r="D142" s="16"/>
      <c r="E142" s="10"/>
      <c r="F142" s="10"/>
      <c r="G142" s="14">
        <f>IF(OR(B142="",D142=""),"",IFERROR(IF(INDEX(Protocolo!$D$5:$D$54,MATCH(B142,Protocolo!$A$5:$A$54,0))="meses",EDATE(D142,INDEX(Protocolo!$C$5:$C$54,MATCH(B142,Protocolo!$A$5:$A$54,0))),D142+INDEX(Protocolo!$C$5:$C$54,MATCH(B142,Protocolo!$A$5:$A$54,0))*IF(INDEX(Protocolo!$D$5:$D$54,MATCH(B142,Protocolo!$A$5:$A$54,0))="semanas",7,1)),""))</f>
      </c>
      <c r="H142" s="15">
        <f>IF(G142="","",G142-TODAY())</f>
      </c>
      <c r="I142" s="12">
        <f>IF(OR(A142="",B142="",D142=""),"",IF(D142=SUMPRODUCT(MAX(($A$5:$A$504=A142)*($B$5:$B$504=B142)*$D$5:$D$504)),"Sí","Reemplazada"))</f>
      </c>
      <c r="J142" s="12">
        <f>IF(I142="","",IF(I142="Reemplazada","Reemplazada",IF(H142="","Sin fecha",IF(H142&lt;0,"Vencida",IF(H142&lt;=IFERROR(IF(INDEX(Protocolo!$E$5:$E$54,MATCH(B142,Protocolo!$A$5:$A$54,0))="",30,INDEX(Protocolo!$E$5:$E$54,MATCH(B142,Protocolo!$A$5:$A$54,0))),30),"Por vencer","Vigente")))))</f>
      </c>
      <c r="K142" s="10"/>
    </row>
    <row r="143" spans="1:11" x14ac:dyDescent="0.25">
      <c r="A143" s="10"/>
      <c r="B143" s="10"/>
      <c r="C143" s="12">
        <f>IF(B143="","",IFERROR(INDEX(Protocolo!$B$5:$B$54,MATCH(B143,Protocolo!$A$5:$A$54,0)),""))</f>
      </c>
      <c r="D143" s="16"/>
      <c r="E143" s="10"/>
      <c r="F143" s="10"/>
      <c r="G143" s="14">
        <f>IF(OR(B143="",D143=""),"",IFERROR(IF(INDEX(Protocolo!$D$5:$D$54,MATCH(B143,Protocolo!$A$5:$A$54,0))="meses",EDATE(D143,INDEX(Protocolo!$C$5:$C$54,MATCH(B143,Protocolo!$A$5:$A$54,0))),D143+INDEX(Protocolo!$C$5:$C$54,MATCH(B143,Protocolo!$A$5:$A$54,0))*IF(INDEX(Protocolo!$D$5:$D$54,MATCH(B143,Protocolo!$A$5:$A$54,0))="semanas",7,1)),""))</f>
      </c>
      <c r="H143" s="15">
        <f>IF(G143="","",G143-TODAY())</f>
      </c>
      <c r="I143" s="12">
        <f>IF(OR(A143="",B143="",D143=""),"",IF(D143=SUMPRODUCT(MAX(($A$5:$A$504=A143)*($B$5:$B$504=B143)*$D$5:$D$504)),"Sí","Reemplazada"))</f>
      </c>
      <c r="J143" s="12">
        <f>IF(I143="","",IF(I143="Reemplazada","Reemplazada",IF(H143="","Sin fecha",IF(H143&lt;0,"Vencida",IF(H143&lt;=IFERROR(IF(INDEX(Protocolo!$E$5:$E$54,MATCH(B143,Protocolo!$A$5:$A$54,0))="",30,INDEX(Protocolo!$E$5:$E$54,MATCH(B143,Protocolo!$A$5:$A$54,0))),30),"Por vencer","Vigente")))))</f>
      </c>
      <c r="K143" s="10"/>
    </row>
    <row r="144" spans="1:11" x14ac:dyDescent="0.25">
      <c r="A144" s="10"/>
      <c r="B144" s="10"/>
      <c r="C144" s="12">
        <f>IF(B144="","",IFERROR(INDEX(Protocolo!$B$5:$B$54,MATCH(B144,Protocolo!$A$5:$A$54,0)),""))</f>
      </c>
      <c r="D144" s="16"/>
      <c r="E144" s="10"/>
      <c r="F144" s="10"/>
      <c r="G144" s="14">
        <f>IF(OR(B144="",D144=""),"",IFERROR(IF(INDEX(Protocolo!$D$5:$D$54,MATCH(B144,Protocolo!$A$5:$A$54,0))="meses",EDATE(D144,INDEX(Protocolo!$C$5:$C$54,MATCH(B144,Protocolo!$A$5:$A$54,0))),D144+INDEX(Protocolo!$C$5:$C$54,MATCH(B144,Protocolo!$A$5:$A$54,0))*IF(INDEX(Protocolo!$D$5:$D$54,MATCH(B144,Protocolo!$A$5:$A$54,0))="semanas",7,1)),""))</f>
      </c>
      <c r="H144" s="15">
        <f>IF(G144="","",G144-TODAY())</f>
      </c>
      <c r="I144" s="12">
        <f>IF(OR(A144="",B144="",D144=""),"",IF(D144=SUMPRODUCT(MAX(($A$5:$A$504=A144)*($B$5:$B$504=B144)*$D$5:$D$504)),"Sí","Reemplazada"))</f>
      </c>
      <c r="J144" s="12">
        <f>IF(I144="","",IF(I144="Reemplazada","Reemplazada",IF(H144="","Sin fecha",IF(H144&lt;0,"Vencida",IF(H144&lt;=IFERROR(IF(INDEX(Protocolo!$E$5:$E$54,MATCH(B144,Protocolo!$A$5:$A$54,0))="",30,INDEX(Protocolo!$E$5:$E$54,MATCH(B144,Protocolo!$A$5:$A$54,0))),30),"Por vencer","Vigente")))))</f>
      </c>
      <c r="K144" s="10"/>
    </row>
    <row r="145" spans="1:11" x14ac:dyDescent="0.25">
      <c r="A145" s="10"/>
      <c r="B145" s="10"/>
      <c r="C145" s="12">
        <f>IF(B145="","",IFERROR(INDEX(Protocolo!$B$5:$B$54,MATCH(B145,Protocolo!$A$5:$A$54,0)),""))</f>
      </c>
      <c r="D145" s="16"/>
      <c r="E145" s="10"/>
      <c r="F145" s="10"/>
      <c r="G145" s="14">
        <f>IF(OR(B145="",D145=""),"",IFERROR(IF(INDEX(Protocolo!$D$5:$D$54,MATCH(B145,Protocolo!$A$5:$A$54,0))="meses",EDATE(D145,INDEX(Protocolo!$C$5:$C$54,MATCH(B145,Protocolo!$A$5:$A$54,0))),D145+INDEX(Protocolo!$C$5:$C$54,MATCH(B145,Protocolo!$A$5:$A$54,0))*IF(INDEX(Protocolo!$D$5:$D$54,MATCH(B145,Protocolo!$A$5:$A$54,0))="semanas",7,1)),""))</f>
      </c>
      <c r="H145" s="15">
        <f>IF(G145="","",G145-TODAY())</f>
      </c>
      <c r="I145" s="12">
        <f>IF(OR(A145="",B145="",D145=""),"",IF(D145=SUMPRODUCT(MAX(($A$5:$A$504=A145)*($B$5:$B$504=B145)*$D$5:$D$504)),"Sí","Reemplazada"))</f>
      </c>
      <c r="J145" s="12">
        <f>IF(I145="","",IF(I145="Reemplazada","Reemplazada",IF(H145="","Sin fecha",IF(H145&lt;0,"Vencida",IF(H145&lt;=IFERROR(IF(INDEX(Protocolo!$E$5:$E$54,MATCH(B145,Protocolo!$A$5:$A$54,0))="",30,INDEX(Protocolo!$E$5:$E$54,MATCH(B145,Protocolo!$A$5:$A$54,0))),30),"Por vencer","Vigente")))))</f>
      </c>
      <c r="K145" s="10"/>
    </row>
    <row r="146" spans="1:11" x14ac:dyDescent="0.25">
      <c r="A146" s="10"/>
      <c r="B146" s="10"/>
      <c r="C146" s="12">
        <f>IF(B146="","",IFERROR(INDEX(Protocolo!$B$5:$B$54,MATCH(B146,Protocolo!$A$5:$A$54,0)),""))</f>
      </c>
      <c r="D146" s="16"/>
      <c r="E146" s="10"/>
      <c r="F146" s="10"/>
      <c r="G146" s="14">
        <f>IF(OR(B146="",D146=""),"",IFERROR(IF(INDEX(Protocolo!$D$5:$D$54,MATCH(B146,Protocolo!$A$5:$A$54,0))="meses",EDATE(D146,INDEX(Protocolo!$C$5:$C$54,MATCH(B146,Protocolo!$A$5:$A$54,0))),D146+INDEX(Protocolo!$C$5:$C$54,MATCH(B146,Protocolo!$A$5:$A$54,0))*IF(INDEX(Protocolo!$D$5:$D$54,MATCH(B146,Protocolo!$A$5:$A$54,0))="semanas",7,1)),""))</f>
      </c>
      <c r="H146" s="15">
        <f>IF(G146="","",G146-TODAY())</f>
      </c>
      <c r="I146" s="12">
        <f>IF(OR(A146="",B146="",D146=""),"",IF(D146=SUMPRODUCT(MAX(($A$5:$A$504=A146)*($B$5:$B$504=B146)*$D$5:$D$504)),"Sí","Reemplazada"))</f>
      </c>
      <c r="J146" s="12">
        <f>IF(I146="","",IF(I146="Reemplazada","Reemplazada",IF(H146="","Sin fecha",IF(H146&lt;0,"Vencida",IF(H146&lt;=IFERROR(IF(INDEX(Protocolo!$E$5:$E$54,MATCH(B146,Protocolo!$A$5:$A$54,0))="",30,INDEX(Protocolo!$E$5:$E$54,MATCH(B146,Protocolo!$A$5:$A$54,0))),30),"Por vencer","Vigente")))))</f>
      </c>
      <c r="K146" s="10"/>
    </row>
    <row r="147" spans="1:11" x14ac:dyDescent="0.25">
      <c r="A147" s="10"/>
      <c r="B147" s="10"/>
      <c r="C147" s="12">
        <f>IF(B147="","",IFERROR(INDEX(Protocolo!$B$5:$B$54,MATCH(B147,Protocolo!$A$5:$A$54,0)),""))</f>
      </c>
      <c r="D147" s="16"/>
      <c r="E147" s="10"/>
      <c r="F147" s="10"/>
      <c r="G147" s="14">
        <f>IF(OR(B147="",D147=""),"",IFERROR(IF(INDEX(Protocolo!$D$5:$D$54,MATCH(B147,Protocolo!$A$5:$A$54,0))="meses",EDATE(D147,INDEX(Protocolo!$C$5:$C$54,MATCH(B147,Protocolo!$A$5:$A$54,0))),D147+INDEX(Protocolo!$C$5:$C$54,MATCH(B147,Protocolo!$A$5:$A$54,0))*IF(INDEX(Protocolo!$D$5:$D$54,MATCH(B147,Protocolo!$A$5:$A$54,0))="semanas",7,1)),""))</f>
      </c>
      <c r="H147" s="15">
        <f>IF(G147="","",G147-TODAY())</f>
      </c>
      <c r="I147" s="12">
        <f>IF(OR(A147="",B147="",D147=""),"",IF(D147=SUMPRODUCT(MAX(($A$5:$A$504=A147)*($B$5:$B$504=B147)*$D$5:$D$504)),"Sí","Reemplazada"))</f>
      </c>
      <c r="J147" s="12">
        <f>IF(I147="","",IF(I147="Reemplazada","Reemplazada",IF(H147="","Sin fecha",IF(H147&lt;0,"Vencida",IF(H147&lt;=IFERROR(IF(INDEX(Protocolo!$E$5:$E$54,MATCH(B147,Protocolo!$A$5:$A$54,0))="",30,INDEX(Protocolo!$E$5:$E$54,MATCH(B147,Protocolo!$A$5:$A$54,0))),30),"Por vencer","Vigente")))))</f>
      </c>
      <c r="K147" s="10"/>
    </row>
    <row r="148" spans="1:11" x14ac:dyDescent="0.25">
      <c r="A148" s="10"/>
      <c r="B148" s="10"/>
      <c r="C148" s="12">
        <f>IF(B148="","",IFERROR(INDEX(Protocolo!$B$5:$B$54,MATCH(B148,Protocolo!$A$5:$A$54,0)),""))</f>
      </c>
      <c r="D148" s="16"/>
      <c r="E148" s="10"/>
      <c r="F148" s="10"/>
      <c r="G148" s="14">
        <f>IF(OR(B148="",D148=""),"",IFERROR(IF(INDEX(Protocolo!$D$5:$D$54,MATCH(B148,Protocolo!$A$5:$A$54,0))="meses",EDATE(D148,INDEX(Protocolo!$C$5:$C$54,MATCH(B148,Protocolo!$A$5:$A$54,0))),D148+INDEX(Protocolo!$C$5:$C$54,MATCH(B148,Protocolo!$A$5:$A$54,0))*IF(INDEX(Protocolo!$D$5:$D$54,MATCH(B148,Protocolo!$A$5:$A$54,0))="semanas",7,1)),""))</f>
      </c>
      <c r="H148" s="15">
        <f>IF(G148="","",G148-TODAY())</f>
      </c>
      <c r="I148" s="12">
        <f>IF(OR(A148="",B148="",D148=""),"",IF(D148=SUMPRODUCT(MAX(($A$5:$A$504=A148)*($B$5:$B$504=B148)*$D$5:$D$504)),"Sí","Reemplazada"))</f>
      </c>
      <c r="J148" s="12">
        <f>IF(I148="","",IF(I148="Reemplazada","Reemplazada",IF(H148="","Sin fecha",IF(H148&lt;0,"Vencida",IF(H148&lt;=IFERROR(IF(INDEX(Protocolo!$E$5:$E$54,MATCH(B148,Protocolo!$A$5:$A$54,0))="",30,INDEX(Protocolo!$E$5:$E$54,MATCH(B148,Protocolo!$A$5:$A$54,0))),30),"Por vencer","Vigente")))))</f>
      </c>
      <c r="K148" s="10"/>
    </row>
    <row r="149" spans="1:11" x14ac:dyDescent="0.25">
      <c r="A149" s="10"/>
      <c r="B149" s="10"/>
      <c r="C149" s="12">
        <f>IF(B149="","",IFERROR(INDEX(Protocolo!$B$5:$B$54,MATCH(B149,Protocolo!$A$5:$A$54,0)),""))</f>
      </c>
      <c r="D149" s="16"/>
      <c r="E149" s="10"/>
      <c r="F149" s="10"/>
      <c r="G149" s="14">
        <f>IF(OR(B149="",D149=""),"",IFERROR(IF(INDEX(Protocolo!$D$5:$D$54,MATCH(B149,Protocolo!$A$5:$A$54,0))="meses",EDATE(D149,INDEX(Protocolo!$C$5:$C$54,MATCH(B149,Protocolo!$A$5:$A$54,0))),D149+INDEX(Protocolo!$C$5:$C$54,MATCH(B149,Protocolo!$A$5:$A$54,0))*IF(INDEX(Protocolo!$D$5:$D$54,MATCH(B149,Protocolo!$A$5:$A$54,0))="semanas",7,1)),""))</f>
      </c>
      <c r="H149" s="15">
        <f>IF(G149="","",G149-TODAY())</f>
      </c>
      <c r="I149" s="12">
        <f>IF(OR(A149="",B149="",D149=""),"",IF(D149=SUMPRODUCT(MAX(($A$5:$A$504=A149)*($B$5:$B$504=B149)*$D$5:$D$504)),"Sí","Reemplazada"))</f>
      </c>
      <c r="J149" s="12">
        <f>IF(I149="","",IF(I149="Reemplazada","Reemplazada",IF(H149="","Sin fecha",IF(H149&lt;0,"Vencida",IF(H149&lt;=IFERROR(IF(INDEX(Protocolo!$E$5:$E$54,MATCH(B149,Protocolo!$A$5:$A$54,0))="",30,INDEX(Protocolo!$E$5:$E$54,MATCH(B149,Protocolo!$A$5:$A$54,0))),30),"Por vencer","Vigente")))))</f>
      </c>
      <c r="K149" s="10"/>
    </row>
    <row r="150" spans="1:11" x14ac:dyDescent="0.25">
      <c r="A150" s="10"/>
      <c r="B150" s="10"/>
      <c r="C150" s="12">
        <f>IF(B150="","",IFERROR(INDEX(Protocolo!$B$5:$B$54,MATCH(B150,Protocolo!$A$5:$A$54,0)),""))</f>
      </c>
      <c r="D150" s="16"/>
      <c r="E150" s="10"/>
      <c r="F150" s="10"/>
      <c r="G150" s="14">
        <f>IF(OR(B150="",D150=""),"",IFERROR(IF(INDEX(Protocolo!$D$5:$D$54,MATCH(B150,Protocolo!$A$5:$A$54,0))="meses",EDATE(D150,INDEX(Protocolo!$C$5:$C$54,MATCH(B150,Protocolo!$A$5:$A$54,0))),D150+INDEX(Protocolo!$C$5:$C$54,MATCH(B150,Protocolo!$A$5:$A$54,0))*IF(INDEX(Protocolo!$D$5:$D$54,MATCH(B150,Protocolo!$A$5:$A$54,0))="semanas",7,1)),""))</f>
      </c>
      <c r="H150" s="15">
        <f>IF(G150="","",G150-TODAY())</f>
      </c>
      <c r="I150" s="12">
        <f>IF(OR(A150="",B150="",D150=""),"",IF(D150=SUMPRODUCT(MAX(($A$5:$A$504=A150)*($B$5:$B$504=B150)*$D$5:$D$504)),"Sí","Reemplazada"))</f>
      </c>
      <c r="J150" s="12">
        <f>IF(I150="","",IF(I150="Reemplazada","Reemplazada",IF(H150="","Sin fecha",IF(H150&lt;0,"Vencida",IF(H150&lt;=IFERROR(IF(INDEX(Protocolo!$E$5:$E$54,MATCH(B150,Protocolo!$A$5:$A$54,0))="",30,INDEX(Protocolo!$E$5:$E$54,MATCH(B150,Protocolo!$A$5:$A$54,0))),30),"Por vencer","Vigente")))))</f>
      </c>
      <c r="K150" s="10"/>
    </row>
    <row r="151" spans="1:11" x14ac:dyDescent="0.25">
      <c r="A151" s="10"/>
      <c r="B151" s="10"/>
      <c r="C151" s="12">
        <f>IF(B151="","",IFERROR(INDEX(Protocolo!$B$5:$B$54,MATCH(B151,Protocolo!$A$5:$A$54,0)),""))</f>
      </c>
      <c r="D151" s="16"/>
      <c r="E151" s="10"/>
      <c r="F151" s="10"/>
      <c r="G151" s="14">
        <f>IF(OR(B151="",D151=""),"",IFERROR(IF(INDEX(Protocolo!$D$5:$D$54,MATCH(B151,Protocolo!$A$5:$A$54,0))="meses",EDATE(D151,INDEX(Protocolo!$C$5:$C$54,MATCH(B151,Protocolo!$A$5:$A$54,0))),D151+INDEX(Protocolo!$C$5:$C$54,MATCH(B151,Protocolo!$A$5:$A$54,0))*IF(INDEX(Protocolo!$D$5:$D$54,MATCH(B151,Protocolo!$A$5:$A$54,0))="semanas",7,1)),""))</f>
      </c>
      <c r="H151" s="15">
        <f>IF(G151="","",G151-TODAY())</f>
      </c>
      <c r="I151" s="12">
        <f>IF(OR(A151="",B151="",D151=""),"",IF(D151=SUMPRODUCT(MAX(($A$5:$A$504=A151)*($B$5:$B$504=B151)*$D$5:$D$504)),"Sí","Reemplazada"))</f>
      </c>
      <c r="J151" s="12">
        <f>IF(I151="","",IF(I151="Reemplazada","Reemplazada",IF(H151="","Sin fecha",IF(H151&lt;0,"Vencida",IF(H151&lt;=IFERROR(IF(INDEX(Protocolo!$E$5:$E$54,MATCH(B151,Protocolo!$A$5:$A$54,0))="",30,INDEX(Protocolo!$E$5:$E$54,MATCH(B151,Protocolo!$A$5:$A$54,0))),30),"Por vencer","Vigente")))))</f>
      </c>
      <c r="K151" s="10"/>
    </row>
    <row r="152" spans="1:11" x14ac:dyDescent="0.25">
      <c r="A152" s="10"/>
      <c r="B152" s="10"/>
      <c r="C152" s="12">
        <f>IF(B152="","",IFERROR(INDEX(Protocolo!$B$5:$B$54,MATCH(B152,Protocolo!$A$5:$A$54,0)),""))</f>
      </c>
      <c r="D152" s="16"/>
      <c r="E152" s="10"/>
      <c r="F152" s="10"/>
      <c r="G152" s="14">
        <f>IF(OR(B152="",D152=""),"",IFERROR(IF(INDEX(Protocolo!$D$5:$D$54,MATCH(B152,Protocolo!$A$5:$A$54,0))="meses",EDATE(D152,INDEX(Protocolo!$C$5:$C$54,MATCH(B152,Protocolo!$A$5:$A$54,0))),D152+INDEX(Protocolo!$C$5:$C$54,MATCH(B152,Protocolo!$A$5:$A$54,0))*IF(INDEX(Protocolo!$D$5:$D$54,MATCH(B152,Protocolo!$A$5:$A$54,0))="semanas",7,1)),""))</f>
      </c>
      <c r="H152" s="15">
        <f>IF(G152="","",G152-TODAY())</f>
      </c>
      <c r="I152" s="12">
        <f>IF(OR(A152="",B152="",D152=""),"",IF(D152=SUMPRODUCT(MAX(($A$5:$A$504=A152)*($B$5:$B$504=B152)*$D$5:$D$504)),"Sí","Reemplazada"))</f>
      </c>
      <c r="J152" s="12">
        <f>IF(I152="","",IF(I152="Reemplazada","Reemplazada",IF(H152="","Sin fecha",IF(H152&lt;0,"Vencida",IF(H152&lt;=IFERROR(IF(INDEX(Protocolo!$E$5:$E$54,MATCH(B152,Protocolo!$A$5:$A$54,0))="",30,INDEX(Protocolo!$E$5:$E$54,MATCH(B152,Protocolo!$A$5:$A$54,0))),30),"Por vencer","Vigente")))))</f>
      </c>
      <c r="K152" s="10"/>
    </row>
    <row r="153" spans="1:11" x14ac:dyDescent="0.25">
      <c r="A153" s="10"/>
      <c r="B153" s="10"/>
      <c r="C153" s="12">
        <f>IF(B153="","",IFERROR(INDEX(Protocolo!$B$5:$B$54,MATCH(B153,Protocolo!$A$5:$A$54,0)),""))</f>
      </c>
      <c r="D153" s="16"/>
      <c r="E153" s="10"/>
      <c r="F153" s="10"/>
      <c r="G153" s="14">
        <f>IF(OR(B153="",D153=""),"",IFERROR(IF(INDEX(Protocolo!$D$5:$D$54,MATCH(B153,Protocolo!$A$5:$A$54,0))="meses",EDATE(D153,INDEX(Protocolo!$C$5:$C$54,MATCH(B153,Protocolo!$A$5:$A$54,0))),D153+INDEX(Protocolo!$C$5:$C$54,MATCH(B153,Protocolo!$A$5:$A$54,0))*IF(INDEX(Protocolo!$D$5:$D$54,MATCH(B153,Protocolo!$A$5:$A$54,0))="semanas",7,1)),""))</f>
      </c>
      <c r="H153" s="15">
        <f>IF(G153="","",G153-TODAY())</f>
      </c>
      <c r="I153" s="12">
        <f>IF(OR(A153="",B153="",D153=""),"",IF(D153=SUMPRODUCT(MAX(($A$5:$A$504=A153)*($B$5:$B$504=B153)*$D$5:$D$504)),"Sí","Reemplazada"))</f>
      </c>
      <c r="J153" s="12">
        <f>IF(I153="","",IF(I153="Reemplazada","Reemplazada",IF(H153="","Sin fecha",IF(H153&lt;0,"Vencida",IF(H153&lt;=IFERROR(IF(INDEX(Protocolo!$E$5:$E$54,MATCH(B153,Protocolo!$A$5:$A$54,0))="",30,INDEX(Protocolo!$E$5:$E$54,MATCH(B153,Protocolo!$A$5:$A$54,0))),30),"Por vencer","Vigente")))))</f>
      </c>
      <c r="K153" s="10"/>
    </row>
    <row r="154" spans="1:11" x14ac:dyDescent="0.25">
      <c r="A154" s="10"/>
      <c r="B154" s="10"/>
      <c r="C154" s="12">
        <f>IF(B154="","",IFERROR(INDEX(Protocolo!$B$5:$B$54,MATCH(B154,Protocolo!$A$5:$A$54,0)),""))</f>
      </c>
      <c r="D154" s="16"/>
      <c r="E154" s="10"/>
      <c r="F154" s="10"/>
      <c r="G154" s="14">
        <f>IF(OR(B154="",D154=""),"",IFERROR(IF(INDEX(Protocolo!$D$5:$D$54,MATCH(B154,Protocolo!$A$5:$A$54,0))="meses",EDATE(D154,INDEX(Protocolo!$C$5:$C$54,MATCH(B154,Protocolo!$A$5:$A$54,0))),D154+INDEX(Protocolo!$C$5:$C$54,MATCH(B154,Protocolo!$A$5:$A$54,0))*IF(INDEX(Protocolo!$D$5:$D$54,MATCH(B154,Protocolo!$A$5:$A$54,0))="semanas",7,1)),""))</f>
      </c>
      <c r="H154" s="15">
        <f>IF(G154="","",G154-TODAY())</f>
      </c>
      <c r="I154" s="12">
        <f>IF(OR(A154="",B154="",D154=""),"",IF(D154=SUMPRODUCT(MAX(($A$5:$A$504=A154)*($B$5:$B$504=B154)*$D$5:$D$504)),"Sí","Reemplazada"))</f>
      </c>
      <c r="J154" s="12">
        <f>IF(I154="","",IF(I154="Reemplazada","Reemplazada",IF(H154="","Sin fecha",IF(H154&lt;0,"Vencida",IF(H154&lt;=IFERROR(IF(INDEX(Protocolo!$E$5:$E$54,MATCH(B154,Protocolo!$A$5:$A$54,0))="",30,INDEX(Protocolo!$E$5:$E$54,MATCH(B154,Protocolo!$A$5:$A$54,0))),30),"Por vencer","Vigente")))))</f>
      </c>
      <c r="K154" s="10"/>
    </row>
    <row r="155" spans="1:11" x14ac:dyDescent="0.25">
      <c r="A155" s="10"/>
      <c r="B155" s="10"/>
      <c r="C155" s="12">
        <f>IF(B155="","",IFERROR(INDEX(Protocolo!$B$5:$B$54,MATCH(B155,Protocolo!$A$5:$A$54,0)),""))</f>
      </c>
      <c r="D155" s="16"/>
      <c r="E155" s="10"/>
      <c r="F155" s="10"/>
      <c r="G155" s="14">
        <f>IF(OR(B155="",D155=""),"",IFERROR(IF(INDEX(Protocolo!$D$5:$D$54,MATCH(B155,Protocolo!$A$5:$A$54,0))="meses",EDATE(D155,INDEX(Protocolo!$C$5:$C$54,MATCH(B155,Protocolo!$A$5:$A$54,0))),D155+INDEX(Protocolo!$C$5:$C$54,MATCH(B155,Protocolo!$A$5:$A$54,0))*IF(INDEX(Protocolo!$D$5:$D$54,MATCH(B155,Protocolo!$A$5:$A$54,0))="semanas",7,1)),""))</f>
      </c>
      <c r="H155" s="15">
        <f>IF(G155="","",G155-TODAY())</f>
      </c>
      <c r="I155" s="12">
        <f>IF(OR(A155="",B155="",D155=""),"",IF(D155=SUMPRODUCT(MAX(($A$5:$A$504=A155)*($B$5:$B$504=B155)*$D$5:$D$504)),"Sí","Reemplazada"))</f>
      </c>
      <c r="J155" s="12">
        <f>IF(I155="","",IF(I155="Reemplazada","Reemplazada",IF(H155="","Sin fecha",IF(H155&lt;0,"Vencida",IF(H155&lt;=IFERROR(IF(INDEX(Protocolo!$E$5:$E$54,MATCH(B155,Protocolo!$A$5:$A$54,0))="",30,INDEX(Protocolo!$E$5:$E$54,MATCH(B155,Protocolo!$A$5:$A$54,0))),30),"Por vencer","Vigente")))))</f>
      </c>
      <c r="K155" s="10"/>
    </row>
    <row r="156" spans="1:11" x14ac:dyDescent="0.25">
      <c r="A156" s="10"/>
      <c r="B156" s="10"/>
      <c r="C156" s="12">
        <f>IF(B156="","",IFERROR(INDEX(Protocolo!$B$5:$B$54,MATCH(B156,Protocolo!$A$5:$A$54,0)),""))</f>
      </c>
      <c r="D156" s="16"/>
      <c r="E156" s="10"/>
      <c r="F156" s="10"/>
      <c r="G156" s="14">
        <f>IF(OR(B156="",D156=""),"",IFERROR(IF(INDEX(Protocolo!$D$5:$D$54,MATCH(B156,Protocolo!$A$5:$A$54,0))="meses",EDATE(D156,INDEX(Protocolo!$C$5:$C$54,MATCH(B156,Protocolo!$A$5:$A$54,0))),D156+INDEX(Protocolo!$C$5:$C$54,MATCH(B156,Protocolo!$A$5:$A$54,0))*IF(INDEX(Protocolo!$D$5:$D$54,MATCH(B156,Protocolo!$A$5:$A$54,0))="semanas",7,1)),""))</f>
      </c>
      <c r="H156" s="15">
        <f>IF(G156="","",G156-TODAY())</f>
      </c>
      <c r="I156" s="12">
        <f>IF(OR(A156="",B156="",D156=""),"",IF(D156=SUMPRODUCT(MAX(($A$5:$A$504=A156)*($B$5:$B$504=B156)*$D$5:$D$504)),"Sí","Reemplazada"))</f>
      </c>
      <c r="J156" s="12">
        <f>IF(I156="","",IF(I156="Reemplazada","Reemplazada",IF(H156="","Sin fecha",IF(H156&lt;0,"Vencida",IF(H156&lt;=IFERROR(IF(INDEX(Protocolo!$E$5:$E$54,MATCH(B156,Protocolo!$A$5:$A$54,0))="",30,INDEX(Protocolo!$E$5:$E$54,MATCH(B156,Protocolo!$A$5:$A$54,0))),30),"Por vencer","Vigente")))))</f>
      </c>
      <c r="K156" s="10"/>
    </row>
    <row r="157" spans="1:11" x14ac:dyDescent="0.25">
      <c r="A157" s="10"/>
      <c r="B157" s="10"/>
      <c r="C157" s="12">
        <f>IF(B157="","",IFERROR(INDEX(Protocolo!$B$5:$B$54,MATCH(B157,Protocolo!$A$5:$A$54,0)),""))</f>
      </c>
      <c r="D157" s="16"/>
      <c r="E157" s="10"/>
      <c r="F157" s="10"/>
      <c r="G157" s="14">
        <f>IF(OR(B157="",D157=""),"",IFERROR(IF(INDEX(Protocolo!$D$5:$D$54,MATCH(B157,Protocolo!$A$5:$A$54,0))="meses",EDATE(D157,INDEX(Protocolo!$C$5:$C$54,MATCH(B157,Protocolo!$A$5:$A$54,0))),D157+INDEX(Protocolo!$C$5:$C$54,MATCH(B157,Protocolo!$A$5:$A$54,0))*IF(INDEX(Protocolo!$D$5:$D$54,MATCH(B157,Protocolo!$A$5:$A$54,0))="semanas",7,1)),""))</f>
      </c>
      <c r="H157" s="15">
        <f>IF(G157="","",G157-TODAY())</f>
      </c>
      <c r="I157" s="12">
        <f>IF(OR(A157="",B157="",D157=""),"",IF(D157=SUMPRODUCT(MAX(($A$5:$A$504=A157)*($B$5:$B$504=B157)*$D$5:$D$504)),"Sí","Reemplazada"))</f>
      </c>
      <c r="J157" s="12">
        <f>IF(I157="","",IF(I157="Reemplazada","Reemplazada",IF(H157="","Sin fecha",IF(H157&lt;0,"Vencida",IF(H157&lt;=IFERROR(IF(INDEX(Protocolo!$E$5:$E$54,MATCH(B157,Protocolo!$A$5:$A$54,0))="",30,INDEX(Protocolo!$E$5:$E$54,MATCH(B157,Protocolo!$A$5:$A$54,0))),30),"Por vencer","Vigente")))))</f>
      </c>
      <c r="K157" s="10"/>
    </row>
    <row r="158" spans="1:11" x14ac:dyDescent="0.25">
      <c r="A158" s="10"/>
      <c r="B158" s="10"/>
      <c r="C158" s="12">
        <f>IF(B158="","",IFERROR(INDEX(Protocolo!$B$5:$B$54,MATCH(B158,Protocolo!$A$5:$A$54,0)),""))</f>
      </c>
      <c r="D158" s="16"/>
      <c r="E158" s="10"/>
      <c r="F158" s="10"/>
      <c r="G158" s="14">
        <f>IF(OR(B158="",D158=""),"",IFERROR(IF(INDEX(Protocolo!$D$5:$D$54,MATCH(B158,Protocolo!$A$5:$A$54,0))="meses",EDATE(D158,INDEX(Protocolo!$C$5:$C$54,MATCH(B158,Protocolo!$A$5:$A$54,0))),D158+INDEX(Protocolo!$C$5:$C$54,MATCH(B158,Protocolo!$A$5:$A$54,0))*IF(INDEX(Protocolo!$D$5:$D$54,MATCH(B158,Protocolo!$A$5:$A$54,0))="semanas",7,1)),""))</f>
      </c>
      <c r="H158" s="15">
        <f>IF(G158="","",G158-TODAY())</f>
      </c>
      <c r="I158" s="12">
        <f>IF(OR(A158="",B158="",D158=""),"",IF(D158=SUMPRODUCT(MAX(($A$5:$A$504=A158)*($B$5:$B$504=B158)*$D$5:$D$504)),"Sí","Reemplazada"))</f>
      </c>
      <c r="J158" s="12">
        <f>IF(I158="","",IF(I158="Reemplazada","Reemplazada",IF(H158="","Sin fecha",IF(H158&lt;0,"Vencida",IF(H158&lt;=IFERROR(IF(INDEX(Protocolo!$E$5:$E$54,MATCH(B158,Protocolo!$A$5:$A$54,0))="",30,INDEX(Protocolo!$E$5:$E$54,MATCH(B158,Protocolo!$A$5:$A$54,0))),30),"Por vencer","Vigente")))))</f>
      </c>
      <c r="K158" s="10"/>
    </row>
    <row r="159" spans="1:11" x14ac:dyDescent="0.25">
      <c r="A159" s="10"/>
      <c r="B159" s="10"/>
      <c r="C159" s="12">
        <f>IF(B159="","",IFERROR(INDEX(Protocolo!$B$5:$B$54,MATCH(B159,Protocolo!$A$5:$A$54,0)),""))</f>
      </c>
      <c r="D159" s="16"/>
      <c r="E159" s="10"/>
      <c r="F159" s="10"/>
      <c r="G159" s="14">
        <f>IF(OR(B159="",D159=""),"",IFERROR(IF(INDEX(Protocolo!$D$5:$D$54,MATCH(B159,Protocolo!$A$5:$A$54,0))="meses",EDATE(D159,INDEX(Protocolo!$C$5:$C$54,MATCH(B159,Protocolo!$A$5:$A$54,0))),D159+INDEX(Protocolo!$C$5:$C$54,MATCH(B159,Protocolo!$A$5:$A$54,0))*IF(INDEX(Protocolo!$D$5:$D$54,MATCH(B159,Protocolo!$A$5:$A$54,0))="semanas",7,1)),""))</f>
      </c>
      <c r="H159" s="15">
        <f>IF(G159="","",G159-TODAY())</f>
      </c>
      <c r="I159" s="12">
        <f>IF(OR(A159="",B159="",D159=""),"",IF(D159=SUMPRODUCT(MAX(($A$5:$A$504=A159)*($B$5:$B$504=B159)*$D$5:$D$504)),"Sí","Reemplazada"))</f>
      </c>
      <c r="J159" s="12">
        <f>IF(I159="","",IF(I159="Reemplazada","Reemplazada",IF(H159="","Sin fecha",IF(H159&lt;0,"Vencida",IF(H159&lt;=IFERROR(IF(INDEX(Protocolo!$E$5:$E$54,MATCH(B159,Protocolo!$A$5:$A$54,0))="",30,INDEX(Protocolo!$E$5:$E$54,MATCH(B159,Protocolo!$A$5:$A$54,0))),30),"Por vencer","Vigente")))))</f>
      </c>
      <c r="K159" s="10"/>
    </row>
    <row r="160" spans="1:11" x14ac:dyDescent="0.25">
      <c r="A160" s="10"/>
      <c r="B160" s="10"/>
      <c r="C160" s="12">
        <f>IF(B160="","",IFERROR(INDEX(Protocolo!$B$5:$B$54,MATCH(B160,Protocolo!$A$5:$A$54,0)),""))</f>
      </c>
      <c r="D160" s="16"/>
      <c r="E160" s="10"/>
      <c r="F160" s="10"/>
      <c r="G160" s="14">
        <f>IF(OR(B160="",D160=""),"",IFERROR(IF(INDEX(Protocolo!$D$5:$D$54,MATCH(B160,Protocolo!$A$5:$A$54,0))="meses",EDATE(D160,INDEX(Protocolo!$C$5:$C$54,MATCH(B160,Protocolo!$A$5:$A$54,0))),D160+INDEX(Protocolo!$C$5:$C$54,MATCH(B160,Protocolo!$A$5:$A$54,0))*IF(INDEX(Protocolo!$D$5:$D$54,MATCH(B160,Protocolo!$A$5:$A$54,0))="semanas",7,1)),""))</f>
      </c>
      <c r="H160" s="15">
        <f>IF(G160="","",G160-TODAY())</f>
      </c>
      <c r="I160" s="12">
        <f>IF(OR(A160="",B160="",D160=""),"",IF(D160=SUMPRODUCT(MAX(($A$5:$A$504=A160)*($B$5:$B$504=B160)*$D$5:$D$504)),"Sí","Reemplazada"))</f>
      </c>
      <c r="J160" s="12">
        <f>IF(I160="","",IF(I160="Reemplazada","Reemplazada",IF(H160="","Sin fecha",IF(H160&lt;0,"Vencida",IF(H160&lt;=IFERROR(IF(INDEX(Protocolo!$E$5:$E$54,MATCH(B160,Protocolo!$A$5:$A$54,0))="",30,INDEX(Protocolo!$E$5:$E$54,MATCH(B160,Protocolo!$A$5:$A$54,0))),30),"Por vencer","Vigente")))))</f>
      </c>
      <c r="K160" s="10"/>
    </row>
    <row r="161" spans="1:11" x14ac:dyDescent="0.25">
      <c r="A161" s="10"/>
      <c r="B161" s="10"/>
      <c r="C161" s="12">
        <f>IF(B161="","",IFERROR(INDEX(Protocolo!$B$5:$B$54,MATCH(B161,Protocolo!$A$5:$A$54,0)),""))</f>
      </c>
      <c r="D161" s="16"/>
      <c r="E161" s="10"/>
      <c r="F161" s="10"/>
      <c r="G161" s="14">
        <f>IF(OR(B161="",D161=""),"",IFERROR(IF(INDEX(Protocolo!$D$5:$D$54,MATCH(B161,Protocolo!$A$5:$A$54,0))="meses",EDATE(D161,INDEX(Protocolo!$C$5:$C$54,MATCH(B161,Protocolo!$A$5:$A$54,0))),D161+INDEX(Protocolo!$C$5:$C$54,MATCH(B161,Protocolo!$A$5:$A$54,0))*IF(INDEX(Protocolo!$D$5:$D$54,MATCH(B161,Protocolo!$A$5:$A$54,0))="semanas",7,1)),""))</f>
      </c>
      <c r="H161" s="15">
        <f>IF(G161="","",G161-TODAY())</f>
      </c>
      <c r="I161" s="12">
        <f>IF(OR(A161="",B161="",D161=""),"",IF(D161=SUMPRODUCT(MAX(($A$5:$A$504=A161)*($B$5:$B$504=B161)*$D$5:$D$504)),"Sí","Reemplazada"))</f>
      </c>
      <c r="J161" s="12">
        <f>IF(I161="","",IF(I161="Reemplazada","Reemplazada",IF(H161="","Sin fecha",IF(H161&lt;0,"Vencida",IF(H161&lt;=IFERROR(IF(INDEX(Protocolo!$E$5:$E$54,MATCH(B161,Protocolo!$A$5:$A$54,0))="",30,INDEX(Protocolo!$E$5:$E$54,MATCH(B161,Protocolo!$A$5:$A$54,0))),30),"Por vencer","Vigente")))))</f>
      </c>
      <c r="K161" s="10"/>
    </row>
    <row r="162" spans="1:11" x14ac:dyDescent="0.25">
      <c r="A162" s="10"/>
      <c r="B162" s="10"/>
      <c r="C162" s="12">
        <f>IF(B162="","",IFERROR(INDEX(Protocolo!$B$5:$B$54,MATCH(B162,Protocolo!$A$5:$A$54,0)),""))</f>
      </c>
      <c r="D162" s="16"/>
      <c r="E162" s="10"/>
      <c r="F162" s="10"/>
      <c r="G162" s="14">
        <f>IF(OR(B162="",D162=""),"",IFERROR(IF(INDEX(Protocolo!$D$5:$D$54,MATCH(B162,Protocolo!$A$5:$A$54,0))="meses",EDATE(D162,INDEX(Protocolo!$C$5:$C$54,MATCH(B162,Protocolo!$A$5:$A$54,0))),D162+INDEX(Protocolo!$C$5:$C$54,MATCH(B162,Protocolo!$A$5:$A$54,0))*IF(INDEX(Protocolo!$D$5:$D$54,MATCH(B162,Protocolo!$A$5:$A$54,0))="semanas",7,1)),""))</f>
      </c>
      <c r="H162" s="15">
        <f>IF(G162="","",G162-TODAY())</f>
      </c>
      <c r="I162" s="12">
        <f>IF(OR(A162="",B162="",D162=""),"",IF(D162=SUMPRODUCT(MAX(($A$5:$A$504=A162)*($B$5:$B$504=B162)*$D$5:$D$504)),"Sí","Reemplazada"))</f>
      </c>
      <c r="J162" s="12">
        <f>IF(I162="","",IF(I162="Reemplazada","Reemplazada",IF(H162="","Sin fecha",IF(H162&lt;0,"Vencida",IF(H162&lt;=IFERROR(IF(INDEX(Protocolo!$E$5:$E$54,MATCH(B162,Protocolo!$A$5:$A$54,0))="",30,INDEX(Protocolo!$E$5:$E$54,MATCH(B162,Protocolo!$A$5:$A$54,0))),30),"Por vencer","Vigente")))))</f>
      </c>
      <c r="K162" s="10"/>
    </row>
    <row r="163" spans="1:11" x14ac:dyDescent="0.25">
      <c r="A163" s="10"/>
      <c r="B163" s="10"/>
      <c r="C163" s="12">
        <f>IF(B163="","",IFERROR(INDEX(Protocolo!$B$5:$B$54,MATCH(B163,Protocolo!$A$5:$A$54,0)),""))</f>
      </c>
      <c r="D163" s="16"/>
      <c r="E163" s="10"/>
      <c r="F163" s="10"/>
      <c r="G163" s="14">
        <f>IF(OR(B163="",D163=""),"",IFERROR(IF(INDEX(Protocolo!$D$5:$D$54,MATCH(B163,Protocolo!$A$5:$A$54,0))="meses",EDATE(D163,INDEX(Protocolo!$C$5:$C$54,MATCH(B163,Protocolo!$A$5:$A$54,0))),D163+INDEX(Protocolo!$C$5:$C$54,MATCH(B163,Protocolo!$A$5:$A$54,0))*IF(INDEX(Protocolo!$D$5:$D$54,MATCH(B163,Protocolo!$A$5:$A$54,0))="semanas",7,1)),""))</f>
      </c>
      <c r="H163" s="15">
        <f>IF(G163="","",G163-TODAY())</f>
      </c>
      <c r="I163" s="12">
        <f>IF(OR(A163="",B163="",D163=""),"",IF(D163=SUMPRODUCT(MAX(($A$5:$A$504=A163)*($B$5:$B$504=B163)*$D$5:$D$504)),"Sí","Reemplazada"))</f>
      </c>
      <c r="J163" s="12">
        <f>IF(I163="","",IF(I163="Reemplazada","Reemplazada",IF(H163="","Sin fecha",IF(H163&lt;0,"Vencida",IF(H163&lt;=IFERROR(IF(INDEX(Protocolo!$E$5:$E$54,MATCH(B163,Protocolo!$A$5:$A$54,0))="",30,INDEX(Protocolo!$E$5:$E$54,MATCH(B163,Protocolo!$A$5:$A$54,0))),30),"Por vencer","Vigente")))))</f>
      </c>
      <c r="K163" s="10"/>
    </row>
    <row r="164" spans="1:11" x14ac:dyDescent="0.25">
      <c r="A164" s="10"/>
      <c r="B164" s="10"/>
      <c r="C164" s="12">
        <f>IF(B164="","",IFERROR(INDEX(Protocolo!$B$5:$B$54,MATCH(B164,Protocolo!$A$5:$A$54,0)),""))</f>
      </c>
      <c r="D164" s="16"/>
      <c r="E164" s="10"/>
      <c r="F164" s="10"/>
      <c r="G164" s="14">
        <f>IF(OR(B164="",D164=""),"",IFERROR(IF(INDEX(Protocolo!$D$5:$D$54,MATCH(B164,Protocolo!$A$5:$A$54,0))="meses",EDATE(D164,INDEX(Protocolo!$C$5:$C$54,MATCH(B164,Protocolo!$A$5:$A$54,0))),D164+INDEX(Protocolo!$C$5:$C$54,MATCH(B164,Protocolo!$A$5:$A$54,0))*IF(INDEX(Protocolo!$D$5:$D$54,MATCH(B164,Protocolo!$A$5:$A$54,0))="semanas",7,1)),""))</f>
      </c>
      <c r="H164" s="15">
        <f>IF(G164="","",G164-TODAY())</f>
      </c>
      <c r="I164" s="12">
        <f>IF(OR(A164="",B164="",D164=""),"",IF(D164=SUMPRODUCT(MAX(($A$5:$A$504=A164)*($B$5:$B$504=B164)*$D$5:$D$504)),"Sí","Reemplazada"))</f>
      </c>
      <c r="J164" s="12">
        <f>IF(I164="","",IF(I164="Reemplazada","Reemplazada",IF(H164="","Sin fecha",IF(H164&lt;0,"Vencida",IF(H164&lt;=IFERROR(IF(INDEX(Protocolo!$E$5:$E$54,MATCH(B164,Protocolo!$A$5:$A$54,0))="",30,INDEX(Protocolo!$E$5:$E$54,MATCH(B164,Protocolo!$A$5:$A$54,0))),30),"Por vencer","Vigente")))))</f>
      </c>
      <c r="K164" s="10"/>
    </row>
    <row r="165" spans="1:11" x14ac:dyDescent="0.25">
      <c r="A165" s="10"/>
      <c r="B165" s="10"/>
      <c r="C165" s="12">
        <f>IF(B165="","",IFERROR(INDEX(Protocolo!$B$5:$B$54,MATCH(B165,Protocolo!$A$5:$A$54,0)),""))</f>
      </c>
      <c r="D165" s="16"/>
      <c r="E165" s="10"/>
      <c r="F165" s="10"/>
      <c r="G165" s="14">
        <f>IF(OR(B165="",D165=""),"",IFERROR(IF(INDEX(Protocolo!$D$5:$D$54,MATCH(B165,Protocolo!$A$5:$A$54,0))="meses",EDATE(D165,INDEX(Protocolo!$C$5:$C$54,MATCH(B165,Protocolo!$A$5:$A$54,0))),D165+INDEX(Protocolo!$C$5:$C$54,MATCH(B165,Protocolo!$A$5:$A$54,0))*IF(INDEX(Protocolo!$D$5:$D$54,MATCH(B165,Protocolo!$A$5:$A$54,0))="semanas",7,1)),""))</f>
      </c>
      <c r="H165" s="15">
        <f>IF(G165="","",G165-TODAY())</f>
      </c>
      <c r="I165" s="12">
        <f>IF(OR(A165="",B165="",D165=""),"",IF(D165=SUMPRODUCT(MAX(($A$5:$A$504=A165)*($B$5:$B$504=B165)*$D$5:$D$504)),"Sí","Reemplazada"))</f>
      </c>
      <c r="J165" s="12">
        <f>IF(I165="","",IF(I165="Reemplazada","Reemplazada",IF(H165="","Sin fecha",IF(H165&lt;0,"Vencida",IF(H165&lt;=IFERROR(IF(INDEX(Protocolo!$E$5:$E$54,MATCH(B165,Protocolo!$A$5:$A$54,0))="",30,INDEX(Protocolo!$E$5:$E$54,MATCH(B165,Protocolo!$A$5:$A$54,0))),30),"Por vencer","Vigente")))))</f>
      </c>
      <c r="K165" s="10"/>
    </row>
    <row r="166" spans="1:11" x14ac:dyDescent="0.25">
      <c r="A166" s="10"/>
      <c r="B166" s="10"/>
      <c r="C166" s="12">
        <f>IF(B166="","",IFERROR(INDEX(Protocolo!$B$5:$B$54,MATCH(B166,Protocolo!$A$5:$A$54,0)),""))</f>
      </c>
      <c r="D166" s="16"/>
      <c r="E166" s="10"/>
      <c r="F166" s="10"/>
      <c r="G166" s="14">
        <f>IF(OR(B166="",D166=""),"",IFERROR(IF(INDEX(Protocolo!$D$5:$D$54,MATCH(B166,Protocolo!$A$5:$A$54,0))="meses",EDATE(D166,INDEX(Protocolo!$C$5:$C$54,MATCH(B166,Protocolo!$A$5:$A$54,0))),D166+INDEX(Protocolo!$C$5:$C$54,MATCH(B166,Protocolo!$A$5:$A$54,0))*IF(INDEX(Protocolo!$D$5:$D$54,MATCH(B166,Protocolo!$A$5:$A$54,0))="semanas",7,1)),""))</f>
      </c>
      <c r="H166" s="15">
        <f>IF(G166="","",G166-TODAY())</f>
      </c>
      <c r="I166" s="12">
        <f>IF(OR(A166="",B166="",D166=""),"",IF(D166=SUMPRODUCT(MAX(($A$5:$A$504=A166)*($B$5:$B$504=B166)*$D$5:$D$504)),"Sí","Reemplazada"))</f>
      </c>
      <c r="J166" s="12">
        <f>IF(I166="","",IF(I166="Reemplazada","Reemplazada",IF(H166="","Sin fecha",IF(H166&lt;0,"Vencida",IF(H166&lt;=IFERROR(IF(INDEX(Protocolo!$E$5:$E$54,MATCH(B166,Protocolo!$A$5:$A$54,0))="",30,INDEX(Protocolo!$E$5:$E$54,MATCH(B166,Protocolo!$A$5:$A$54,0))),30),"Por vencer","Vigente")))))</f>
      </c>
      <c r="K166" s="10"/>
    </row>
    <row r="167" spans="1:11" x14ac:dyDescent="0.25">
      <c r="A167" s="10"/>
      <c r="B167" s="10"/>
      <c r="C167" s="12">
        <f>IF(B167="","",IFERROR(INDEX(Protocolo!$B$5:$B$54,MATCH(B167,Protocolo!$A$5:$A$54,0)),""))</f>
      </c>
      <c r="D167" s="16"/>
      <c r="E167" s="10"/>
      <c r="F167" s="10"/>
      <c r="G167" s="14">
        <f>IF(OR(B167="",D167=""),"",IFERROR(IF(INDEX(Protocolo!$D$5:$D$54,MATCH(B167,Protocolo!$A$5:$A$54,0))="meses",EDATE(D167,INDEX(Protocolo!$C$5:$C$54,MATCH(B167,Protocolo!$A$5:$A$54,0))),D167+INDEX(Protocolo!$C$5:$C$54,MATCH(B167,Protocolo!$A$5:$A$54,0))*IF(INDEX(Protocolo!$D$5:$D$54,MATCH(B167,Protocolo!$A$5:$A$54,0))="semanas",7,1)),""))</f>
      </c>
      <c r="H167" s="15">
        <f>IF(G167="","",G167-TODAY())</f>
      </c>
      <c r="I167" s="12">
        <f>IF(OR(A167="",B167="",D167=""),"",IF(D167=SUMPRODUCT(MAX(($A$5:$A$504=A167)*($B$5:$B$504=B167)*$D$5:$D$504)),"Sí","Reemplazada"))</f>
      </c>
      <c r="J167" s="12">
        <f>IF(I167="","",IF(I167="Reemplazada","Reemplazada",IF(H167="","Sin fecha",IF(H167&lt;0,"Vencida",IF(H167&lt;=IFERROR(IF(INDEX(Protocolo!$E$5:$E$54,MATCH(B167,Protocolo!$A$5:$A$54,0))="",30,INDEX(Protocolo!$E$5:$E$54,MATCH(B167,Protocolo!$A$5:$A$54,0))),30),"Por vencer","Vigente")))))</f>
      </c>
      <c r="K167" s="10"/>
    </row>
    <row r="168" spans="1:11" x14ac:dyDescent="0.25">
      <c r="A168" s="10"/>
      <c r="B168" s="10"/>
      <c r="C168" s="12">
        <f>IF(B168="","",IFERROR(INDEX(Protocolo!$B$5:$B$54,MATCH(B168,Protocolo!$A$5:$A$54,0)),""))</f>
      </c>
      <c r="D168" s="16"/>
      <c r="E168" s="10"/>
      <c r="F168" s="10"/>
      <c r="G168" s="14">
        <f>IF(OR(B168="",D168=""),"",IFERROR(IF(INDEX(Protocolo!$D$5:$D$54,MATCH(B168,Protocolo!$A$5:$A$54,0))="meses",EDATE(D168,INDEX(Protocolo!$C$5:$C$54,MATCH(B168,Protocolo!$A$5:$A$54,0))),D168+INDEX(Protocolo!$C$5:$C$54,MATCH(B168,Protocolo!$A$5:$A$54,0))*IF(INDEX(Protocolo!$D$5:$D$54,MATCH(B168,Protocolo!$A$5:$A$54,0))="semanas",7,1)),""))</f>
      </c>
      <c r="H168" s="15">
        <f>IF(G168="","",G168-TODAY())</f>
      </c>
      <c r="I168" s="12">
        <f>IF(OR(A168="",B168="",D168=""),"",IF(D168=SUMPRODUCT(MAX(($A$5:$A$504=A168)*($B$5:$B$504=B168)*$D$5:$D$504)),"Sí","Reemplazada"))</f>
      </c>
      <c r="J168" s="12">
        <f>IF(I168="","",IF(I168="Reemplazada","Reemplazada",IF(H168="","Sin fecha",IF(H168&lt;0,"Vencida",IF(H168&lt;=IFERROR(IF(INDEX(Protocolo!$E$5:$E$54,MATCH(B168,Protocolo!$A$5:$A$54,0))="",30,INDEX(Protocolo!$E$5:$E$54,MATCH(B168,Protocolo!$A$5:$A$54,0))),30),"Por vencer","Vigente")))))</f>
      </c>
      <c r="K168" s="10"/>
    </row>
    <row r="169" spans="1:11" x14ac:dyDescent="0.25">
      <c r="A169" s="10"/>
      <c r="B169" s="10"/>
      <c r="C169" s="12">
        <f>IF(B169="","",IFERROR(INDEX(Protocolo!$B$5:$B$54,MATCH(B169,Protocolo!$A$5:$A$54,0)),""))</f>
      </c>
      <c r="D169" s="16"/>
      <c r="E169" s="10"/>
      <c r="F169" s="10"/>
      <c r="G169" s="14">
        <f>IF(OR(B169="",D169=""),"",IFERROR(IF(INDEX(Protocolo!$D$5:$D$54,MATCH(B169,Protocolo!$A$5:$A$54,0))="meses",EDATE(D169,INDEX(Protocolo!$C$5:$C$54,MATCH(B169,Protocolo!$A$5:$A$54,0))),D169+INDEX(Protocolo!$C$5:$C$54,MATCH(B169,Protocolo!$A$5:$A$54,0))*IF(INDEX(Protocolo!$D$5:$D$54,MATCH(B169,Protocolo!$A$5:$A$54,0))="semanas",7,1)),""))</f>
      </c>
      <c r="H169" s="15">
        <f>IF(G169="","",G169-TODAY())</f>
      </c>
      <c r="I169" s="12">
        <f>IF(OR(A169="",B169="",D169=""),"",IF(D169=SUMPRODUCT(MAX(($A$5:$A$504=A169)*($B$5:$B$504=B169)*$D$5:$D$504)),"Sí","Reemplazada"))</f>
      </c>
      <c r="J169" s="12">
        <f>IF(I169="","",IF(I169="Reemplazada","Reemplazada",IF(H169="","Sin fecha",IF(H169&lt;0,"Vencida",IF(H169&lt;=IFERROR(IF(INDEX(Protocolo!$E$5:$E$54,MATCH(B169,Protocolo!$A$5:$A$54,0))="",30,INDEX(Protocolo!$E$5:$E$54,MATCH(B169,Protocolo!$A$5:$A$54,0))),30),"Por vencer","Vigente")))))</f>
      </c>
      <c r="K169" s="10"/>
    </row>
    <row r="170" spans="1:11" x14ac:dyDescent="0.25">
      <c r="A170" s="10"/>
      <c r="B170" s="10"/>
      <c r="C170" s="12">
        <f>IF(B170="","",IFERROR(INDEX(Protocolo!$B$5:$B$54,MATCH(B170,Protocolo!$A$5:$A$54,0)),""))</f>
      </c>
      <c r="D170" s="16"/>
      <c r="E170" s="10"/>
      <c r="F170" s="10"/>
      <c r="G170" s="14">
        <f>IF(OR(B170="",D170=""),"",IFERROR(IF(INDEX(Protocolo!$D$5:$D$54,MATCH(B170,Protocolo!$A$5:$A$54,0))="meses",EDATE(D170,INDEX(Protocolo!$C$5:$C$54,MATCH(B170,Protocolo!$A$5:$A$54,0))),D170+INDEX(Protocolo!$C$5:$C$54,MATCH(B170,Protocolo!$A$5:$A$54,0))*IF(INDEX(Protocolo!$D$5:$D$54,MATCH(B170,Protocolo!$A$5:$A$54,0))="semanas",7,1)),""))</f>
      </c>
      <c r="H170" s="15">
        <f>IF(G170="","",G170-TODAY())</f>
      </c>
      <c r="I170" s="12">
        <f>IF(OR(A170="",B170="",D170=""),"",IF(D170=SUMPRODUCT(MAX(($A$5:$A$504=A170)*($B$5:$B$504=B170)*$D$5:$D$504)),"Sí","Reemplazada"))</f>
      </c>
      <c r="J170" s="12">
        <f>IF(I170="","",IF(I170="Reemplazada","Reemplazada",IF(H170="","Sin fecha",IF(H170&lt;0,"Vencida",IF(H170&lt;=IFERROR(IF(INDEX(Protocolo!$E$5:$E$54,MATCH(B170,Protocolo!$A$5:$A$54,0))="",30,INDEX(Protocolo!$E$5:$E$54,MATCH(B170,Protocolo!$A$5:$A$54,0))),30),"Por vencer","Vigente")))))</f>
      </c>
      <c r="K170" s="10"/>
    </row>
    <row r="171" spans="1:11" x14ac:dyDescent="0.25">
      <c r="A171" s="10"/>
      <c r="B171" s="10"/>
      <c r="C171" s="12">
        <f>IF(B171="","",IFERROR(INDEX(Protocolo!$B$5:$B$54,MATCH(B171,Protocolo!$A$5:$A$54,0)),""))</f>
      </c>
      <c r="D171" s="16"/>
      <c r="E171" s="10"/>
      <c r="F171" s="10"/>
      <c r="G171" s="14">
        <f>IF(OR(B171="",D171=""),"",IFERROR(IF(INDEX(Protocolo!$D$5:$D$54,MATCH(B171,Protocolo!$A$5:$A$54,0))="meses",EDATE(D171,INDEX(Protocolo!$C$5:$C$54,MATCH(B171,Protocolo!$A$5:$A$54,0))),D171+INDEX(Protocolo!$C$5:$C$54,MATCH(B171,Protocolo!$A$5:$A$54,0))*IF(INDEX(Protocolo!$D$5:$D$54,MATCH(B171,Protocolo!$A$5:$A$54,0))="semanas",7,1)),""))</f>
      </c>
      <c r="H171" s="15">
        <f>IF(G171="","",G171-TODAY())</f>
      </c>
      <c r="I171" s="12">
        <f>IF(OR(A171="",B171="",D171=""),"",IF(D171=SUMPRODUCT(MAX(($A$5:$A$504=A171)*($B$5:$B$504=B171)*$D$5:$D$504)),"Sí","Reemplazada"))</f>
      </c>
      <c r="J171" s="12">
        <f>IF(I171="","",IF(I171="Reemplazada","Reemplazada",IF(H171="","Sin fecha",IF(H171&lt;0,"Vencida",IF(H171&lt;=IFERROR(IF(INDEX(Protocolo!$E$5:$E$54,MATCH(B171,Protocolo!$A$5:$A$54,0))="",30,INDEX(Protocolo!$E$5:$E$54,MATCH(B171,Protocolo!$A$5:$A$54,0))),30),"Por vencer","Vigente")))))</f>
      </c>
      <c r="K171" s="10"/>
    </row>
    <row r="172" spans="1:11" x14ac:dyDescent="0.25">
      <c r="A172" s="10"/>
      <c r="B172" s="10"/>
      <c r="C172" s="12">
        <f>IF(B172="","",IFERROR(INDEX(Protocolo!$B$5:$B$54,MATCH(B172,Protocolo!$A$5:$A$54,0)),""))</f>
      </c>
      <c r="D172" s="16"/>
      <c r="E172" s="10"/>
      <c r="F172" s="10"/>
      <c r="G172" s="14">
        <f>IF(OR(B172="",D172=""),"",IFERROR(IF(INDEX(Protocolo!$D$5:$D$54,MATCH(B172,Protocolo!$A$5:$A$54,0))="meses",EDATE(D172,INDEX(Protocolo!$C$5:$C$54,MATCH(B172,Protocolo!$A$5:$A$54,0))),D172+INDEX(Protocolo!$C$5:$C$54,MATCH(B172,Protocolo!$A$5:$A$54,0))*IF(INDEX(Protocolo!$D$5:$D$54,MATCH(B172,Protocolo!$A$5:$A$54,0))="semanas",7,1)),""))</f>
      </c>
      <c r="H172" s="15">
        <f>IF(G172="","",G172-TODAY())</f>
      </c>
      <c r="I172" s="12">
        <f>IF(OR(A172="",B172="",D172=""),"",IF(D172=SUMPRODUCT(MAX(($A$5:$A$504=A172)*($B$5:$B$504=B172)*$D$5:$D$504)),"Sí","Reemplazada"))</f>
      </c>
      <c r="J172" s="12">
        <f>IF(I172="","",IF(I172="Reemplazada","Reemplazada",IF(H172="","Sin fecha",IF(H172&lt;0,"Vencida",IF(H172&lt;=IFERROR(IF(INDEX(Protocolo!$E$5:$E$54,MATCH(B172,Protocolo!$A$5:$A$54,0))="",30,INDEX(Protocolo!$E$5:$E$54,MATCH(B172,Protocolo!$A$5:$A$54,0))),30),"Por vencer","Vigente")))))</f>
      </c>
      <c r="K172" s="10"/>
    </row>
    <row r="173" spans="1:11" x14ac:dyDescent="0.25">
      <c r="A173" s="10"/>
      <c r="B173" s="10"/>
      <c r="C173" s="12">
        <f>IF(B173="","",IFERROR(INDEX(Protocolo!$B$5:$B$54,MATCH(B173,Protocolo!$A$5:$A$54,0)),""))</f>
      </c>
      <c r="D173" s="16"/>
      <c r="E173" s="10"/>
      <c r="F173" s="10"/>
      <c r="G173" s="14">
        <f>IF(OR(B173="",D173=""),"",IFERROR(IF(INDEX(Protocolo!$D$5:$D$54,MATCH(B173,Protocolo!$A$5:$A$54,0))="meses",EDATE(D173,INDEX(Protocolo!$C$5:$C$54,MATCH(B173,Protocolo!$A$5:$A$54,0))),D173+INDEX(Protocolo!$C$5:$C$54,MATCH(B173,Protocolo!$A$5:$A$54,0))*IF(INDEX(Protocolo!$D$5:$D$54,MATCH(B173,Protocolo!$A$5:$A$54,0))="semanas",7,1)),""))</f>
      </c>
      <c r="H173" s="15">
        <f>IF(G173="","",G173-TODAY())</f>
      </c>
      <c r="I173" s="12">
        <f>IF(OR(A173="",B173="",D173=""),"",IF(D173=SUMPRODUCT(MAX(($A$5:$A$504=A173)*($B$5:$B$504=B173)*$D$5:$D$504)),"Sí","Reemplazada"))</f>
      </c>
      <c r="J173" s="12">
        <f>IF(I173="","",IF(I173="Reemplazada","Reemplazada",IF(H173="","Sin fecha",IF(H173&lt;0,"Vencida",IF(H173&lt;=IFERROR(IF(INDEX(Protocolo!$E$5:$E$54,MATCH(B173,Protocolo!$A$5:$A$54,0))="",30,INDEX(Protocolo!$E$5:$E$54,MATCH(B173,Protocolo!$A$5:$A$54,0))),30),"Por vencer","Vigente")))))</f>
      </c>
      <c r="K173" s="10"/>
    </row>
    <row r="174" spans="1:11" x14ac:dyDescent="0.25">
      <c r="A174" s="10"/>
      <c r="B174" s="10"/>
      <c r="C174" s="12">
        <f>IF(B174="","",IFERROR(INDEX(Protocolo!$B$5:$B$54,MATCH(B174,Protocolo!$A$5:$A$54,0)),""))</f>
      </c>
      <c r="D174" s="16"/>
      <c r="E174" s="10"/>
      <c r="F174" s="10"/>
      <c r="G174" s="14">
        <f>IF(OR(B174="",D174=""),"",IFERROR(IF(INDEX(Protocolo!$D$5:$D$54,MATCH(B174,Protocolo!$A$5:$A$54,0))="meses",EDATE(D174,INDEX(Protocolo!$C$5:$C$54,MATCH(B174,Protocolo!$A$5:$A$54,0))),D174+INDEX(Protocolo!$C$5:$C$54,MATCH(B174,Protocolo!$A$5:$A$54,0))*IF(INDEX(Protocolo!$D$5:$D$54,MATCH(B174,Protocolo!$A$5:$A$54,0))="semanas",7,1)),""))</f>
      </c>
      <c r="H174" s="15">
        <f>IF(G174="","",G174-TODAY())</f>
      </c>
      <c r="I174" s="12">
        <f>IF(OR(A174="",B174="",D174=""),"",IF(D174=SUMPRODUCT(MAX(($A$5:$A$504=A174)*($B$5:$B$504=B174)*$D$5:$D$504)),"Sí","Reemplazada"))</f>
      </c>
      <c r="J174" s="12">
        <f>IF(I174="","",IF(I174="Reemplazada","Reemplazada",IF(H174="","Sin fecha",IF(H174&lt;0,"Vencida",IF(H174&lt;=IFERROR(IF(INDEX(Protocolo!$E$5:$E$54,MATCH(B174,Protocolo!$A$5:$A$54,0))="",30,INDEX(Protocolo!$E$5:$E$54,MATCH(B174,Protocolo!$A$5:$A$54,0))),30),"Por vencer","Vigente")))))</f>
      </c>
      <c r="K174" s="10"/>
    </row>
    <row r="175" spans="1:11" x14ac:dyDescent="0.25">
      <c r="A175" s="10"/>
      <c r="B175" s="10"/>
      <c r="C175" s="12">
        <f>IF(B175="","",IFERROR(INDEX(Protocolo!$B$5:$B$54,MATCH(B175,Protocolo!$A$5:$A$54,0)),""))</f>
      </c>
      <c r="D175" s="16"/>
      <c r="E175" s="10"/>
      <c r="F175" s="10"/>
      <c r="G175" s="14">
        <f>IF(OR(B175="",D175=""),"",IFERROR(IF(INDEX(Protocolo!$D$5:$D$54,MATCH(B175,Protocolo!$A$5:$A$54,0))="meses",EDATE(D175,INDEX(Protocolo!$C$5:$C$54,MATCH(B175,Protocolo!$A$5:$A$54,0))),D175+INDEX(Protocolo!$C$5:$C$54,MATCH(B175,Protocolo!$A$5:$A$54,0))*IF(INDEX(Protocolo!$D$5:$D$54,MATCH(B175,Protocolo!$A$5:$A$54,0))="semanas",7,1)),""))</f>
      </c>
      <c r="H175" s="15">
        <f>IF(G175="","",G175-TODAY())</f>
      </c>
      <c r="I175" s="12">
        <f>IF(OR(A175="",B175="",D175=""),"",IF(D175=SUMPRODUCT(MAX(($A$5:$A$504=A175)*($B$5:$B$504=B175)*$D$5:$D$504)),"Sí","Reemplazada"))</f>
      </c>
      <c r="J175" s="12">
        <f>IF(I175="","",IF(I175="Reemplazada","Reemplazada",IF(H175="","Sin fecha",IF(H175&lt;0,"Vencida",IF(H175&lt;=IFERROR(IF(INDEX(Protocolo!$E$5:$E$54,MATCH(B175,Protocolo!$A$5:$A$54,0))="",30,INDEX(Protocolo!$E$5:$E$54,MATCH(B175,Protocolo!$A$5:$A$54,0))),30),"Por vencer","Vigente")))))</f>
      </c>
      <c r="K175" s="10"/>
    </row>
    <row r="176" spans="1:11" x14ac:dyDescent="0.25">
      <c r="A176" s="10"/>
      <c r="B176" s="10"/>
      <c r="C176" s="12">
        <f>IF(B176="","",IFERROR(INDEX(Protocolo!$B$5:$B$54,MATCH(B176,Protocolo!$A$5:$A$54,0)),""))</f>
      </c>
      <c r="D176" s="16"/>
      <c r="E176" s="10"/>
      <c r="F176" s="10"/>
      <c r="G176" s="14">
        <f>IF(OR(B176="",D176=""),"",IFERROR(IF(INDEX(Protocolo!$D$5:$D$54,MATCH(B176,Protocolo!$A$5:$A$54,0))="meses",EDATE(D176,INDEX(Protocolo!$C$5:$C$54,MATCH(B176,Protocolo!$A$5:$A$54,0))),D176+INDEX(Protocolo!$C$5:$C$54,MATCH(B176,Protocolo!$A$5:$A$54,0))*IF(INDEX(Protocolo!$D$5:$D$54,MATCH(B176,Protocolo!$A$5:$A$54,0))="semanas",7,1)),""))</f>
      </c>
      <c r="H176" s="15">
        <f>IF(G176="","",G176-TODAY())</f>
      </c>
      <c r="I176" s="12">
        <f>IF(OR(A176="",B176="",D176=""),"",IF(D176=SUMPRODUCT(MAX(($A$5:$A$504=A176)*($B$5:$B$504=B176)*$D$5:$D$504)),"Sí","Reemplazada"))</f>
      </c>
      <c r="J176" s="12">
        <f>IF(I176="","",IF(I176="Reemplazada","Reemplazada",IF(H176="","Sin fecha",IF(H176&lt;0,"Vencida",IF(H176&lt;=IFERROR(IF(INDEX(Protocolo!$E$5:$E$54,MATCH(B176,Protocolo!$A$5:$A$54,0))="",30,INDEX(Protocolo!$E$5:$E$54,MATCH(B176,Protocolo!$A$5:$A$54,0))),30),"Por vencer","Vigente")))))</f>
      </c>
      <c r="K176" s="10"/>
    </row>
    <row r="177" spans="1:11" x14ac:dyDescent="0.25">
      <c r="A177" s="10"/>
      <c r="B177" s="10"/>
      <c r="C177" s="12">
        <f>IF(B177="","",IFERROR(INDEX(Protocolo!$B$5:$B$54,MATCH(B177,Protocolo!$A$5:$A$54,0)),""))</f>
      </c>
      <c r="D177" s="16"/>
      <c r="E177" s="10"/>
      <c r="F177" s="10"/>
      <c r="G177" s="14">
        <f>IF(OR(B177="",D177=""),"",IFERROR(IF(INDEX(Protocolo!$D$5:$D$54,MATCH(B177,Protocolo!$A$5:$A$54,0))="meses",EDATE(D177,INDEX(Protocolo!$C$5:$C$54,MATCH(B177,Protocolo!$A$5:$A$54,0))),D177+INDEX(Protocolo!$C$5:$C$54,MATCH(B177,Protocolo!$A$5:$A$54,0))*IF(INDEX(Protocolo!$D$5:$D$54,MATCH(B177,Protocolo!$A$5:$A$54,0))="semanas",7,1)),""))</f>
      </c>
      <c r="H177" s="15">
        <f>IF(G177="","",G177-TODAY())</f>
      </c>
      <c r="I177" s="12">
        <f>IF(OR(A177="",B177="",D177=""),"",IF(D177=SUMPRODUCT(MAX(($A$5:$A$504=A177)*($B$5:$B$504=B177)*$D$5:$D$504)),"Sí","Reemplazada"))</f>
      </c>
      <c r="J177" s="12">
        <f>IF(I177="","",IF(I177="Reemplazada","Reemplazada",IF(H177="","Sin fecha",IF(H177&lt;0,"Vencida",IF(H177&lt;=IFERROR(IF(INDEX(Protocolo!$E$5:$E$54,MATCH(B177,Protocolo!$A$5:$A$54,0))="",30,INDEX(Protocolo!$E$5:$E$54,MATCH(B177,Protocolo!$A$5:$A$54,0))),30),"Por vencer","Vigente")))))</f>
      </c>
      <c r="K177" s="10"/>
    </row>
    <row r="178" spans="1:11" x14ac:dyDescent="0.25">
      <c r="A178" s="10"/>
      <c r="B178" s="10"/>
      <c r="C178" s="12">
        <f>IF(B178="","",IFERROR(INDEX(Protocolo!$B$5:$B$54,MATCH(B178,Protocolo!$A$5:$A$54,0)),""))</f>
      </c>
      <c r="D178" s="16"/>
      <c r="E178" s="10"/>
      <c r="F178" s="10"/>
      <c r="G178" s="14">
        <f>IF(OR(B178="",D178=""),"",IFERROR(IF(INDEX(Protocolo!$D$5:$D$54,MATCH(B178,Protocolo!$A$5:$A$54,0))="meses",EDATE(D178,INDEX(Protocolo!$C$5:$C$54,MATCH(B178,Protocolo!$A$5:$A$54,0))),D178+INDEX(Protocolo!$C$5:$C$54,MATCH(B178,Protocolo!$A$5:$A$54,0))*IF(INDEX(Protocolo!$D$5:$D$54,MATCH(B178,Protocolo!$A$5:$A$54,0))="semanas",7,1)),""))</f>
      </c>
      <c r="H178" s="15">
        <f>IF(G178="","",G178-TODAY())</f>
      </c>
      <c r="I178" s="12">
        <f>IF(OR(A178="",B178="",D178=""),"",IF(D178=SUMPRODUCT(MAX(($A$5:$A$504=A178)*($B$5:$B$504=B178)*$D$5:$D$504)),"Sí","Reemplazada"))</f>
      </c>
      <c r="J178" s="12">
        <f>IF(I178="","",IF(I178="Reemplazada","Reemplazada",IF(H178="","Sin fecha",IF(H178&lt;0,"Vencida",IF(H178&lt;=IFERROR(IF(INDEX(Protocolo!$E$5:$E$54,MATCH(B178,Protocolo!$A$5:$A$54,0))="",30,INDEX(Protocolo!$E$5:$E$54,MATCH(B178,Protocolo!$A$5:$A$54,0))),30),"Por vencer","Vigente")))))</f>
      </c>
      <c r="K178" s="10"/>
    </row>
    <row r="179" spans="1:11" x14ac:dyDescent="0.25">
      <c r="A179" s="10"/>
      <c r="B179" s="10"/>
      <c r="C179" s="12">
        <f>IF(B179="","",IFERROR(INDEX(Protocolo!$B$5:$B$54,MATCH(B179,Protocolo!$A$5:$A$54,0)),""))</f>
      </c>
      <c r="D179" s="16"/>
      <c r="E179" s="10"/>
      <c r="F179" s="10"/>
      <c r="G179" s="14">
        <f>IF(OR(B179="",D179=""),"",IFERROR(IF(INDEX(Protocolo!$D$5:$D$54,MATCH(B179,Protocolo!$A$5:$A$54,0))="meses",EDATE(D179,INDEX(Protocolo!$C$5:$C$54,MATCH(B179,Protocolo!$A$5:$A$54,0))),D179+INDEX(Protocolo!$C$5:$C$54,MATCH(B179,Protocolo!$A$5:$A$54,0))*IF(INDEX(Protocolo!$D$5:$D$54,MATCH(B179,Protocolo!$A$5:$A$54,0))="semanas",7,1)),""))</f>
      </c>
      <c r="H179" s="15">
        <f>IF(G179="","",G179-TODAY())</f>
      </c>
      <c r="I179" s="12">
        <f>IF(OR(A179="",B179="",D179=""),"",IF(D179=SUMPRODUCT(MAX(($A$5:$A$504=A179)*($B$5:$B$504=B179)*$D$5:$D$504)),"Sí","Reemplazada"))</f>
      </c>
      <c r="J179" s="12">
        <f>IF(I179="","",IF(I179="Reemplazada","Reemplazada",IF(H179="","Sin fecha",IF(H179&lt;0,"Vencida",IF(H179&lt;=IFERROR(IF(INDEX(Protocolo!$E$5:$E$54,MATCH(B179,Protocolo!$A$5:$A$54,0))="",30,INDEX(Protocolo!$E$5:$E$54,MATCH(B179,Protocolo!$A$5:$A$54,0))),30),"Por vencer","Vigente")))))</f>
      </c>
      <c r="K179" s="10"/>
    </row>
    <row r="180" spans="1:11" x14ac:dyDescent="0.25">
      <c r="A180" s="10"/>
      <c r="B180" s="10"/>
      <c r="C180" s="12">
        <f>IF(B180="","",IFERROR(INDEX(Protocolo!$B$5:$B$54,MATCH(B180,Protocolo!$A$5:$A$54,0)),""))</f>
      </c>
      <c r="D180" s="16"/>
      <c r="E180" s="10"/>
      <c r="F180" s="10"/>
      <c r="G180" s="14">
        <f>IF(OR(B180="",D180=""),"",IFERROR(IF(INDEX(Protocolo!$D$5:$D$54,MATCH(B180,Protocolo!$A$5:$A$54,0))="meses",EDATE(D180,INDEX(Protocolo!$C$5:$C$54,MATCH(B180,Protocolo!$A$5:$A$54,0))),D180+INDEX(Protocolo!$C$5:$C$54,MATCH(B180,Protocolo!$A$5:$A$54,0))*IF(INDEX(Protocolo!$D$5:$D$54,MATCH(B180,Protocolo!$A$5:$A$54,0))="semanas",7,1)),""))</f>
      </c>
      <c r="H180" s="15">
        <f>IF(G180="","",G180-TODAY())</f>
      </c>
      <c r="I180" s="12">
        <f>IF(OR(A180="",B180="",D180=""),"",IF(D180=SUMPRODUCT(MAX(($A$5:$A$504=A180)*($B$5:$B$504=B180)*$D$5:$D$504)),"Sí","Reemplazada"))</f>
      </c>
      <c r="J180" s="12">
        <f>IF(I180="","",IF(I180="Reemplazada","Reemplazada",IF(H180="","Sin fecha",IF(H180&lt;0,"Vencida",IF(H180&lt;=IFERROR(IF(INDEX(Protocolo!$E$5:$E$54,MATCH(B180,Protocolo!$A$5:$A$54,0))="",30,INDEX(Protocolo!$E$5:$E$54,MATCH(B180,Protocolo!$A$5:$A$54,0))),30),"Por vencer","Vigente")))))</f>
      </c>
      <c r="K180" s="10"/>
    </row>
    <row r="181" spans="1:11" x14ac:dyDescent="0.25">
      <c r="A181" s="10"/>
      <c r="B181" s="10"/>
      <c r="C181" s="12">
        <f>IF(B181="","",IFERROR(INDEX(Protocolo!$B$5:$B$54,MATCH(B181,Protocolo!$A$5:$A$54,0)),""))</f>
      </c>
      <c r="D181" s="16"/>
      <c r="E181" s="10"/>
      <c r="F181" s="10"/>
      <c r="G181" s="14">
        <f>IF(OR(B181="",D181=""),"",IFERROR(IF(INDEX(Protocolo!$D$5:$D$54,MATCH(B181,Protocolo!$A$5:$A$54,0))="meses",EDATE(D181,INDEX(Protocolo!$C$5:$C$54,MATCH(B181,Protocolo!$A$5:$A$54,0))),D181+INDEX(Protocolo!$C$5:$C$54,MATCH(B181,Protocolo!$A$5:$A$54,0))*IF(INDEX(Protocolo!$D$5:$D$54,MATCH(B181,Protocolo!$A$5:$A$54,0))="semanas",7,1)),""))</f>
      </c>
      <c r="H181" s="15">
        <f>IF(G181="","",G181-TODAY())</f>
      </c>
      <c r="I181" s="12">
        <f>IF(OR(A181="",B181="",D181=""),"",IF(D181=SUMPRODUCT(MAX(($A$5:$A$504=A181)*($B$5:$B$504=B181)*$D$5:$D$504)),"Sí","Reemplazada"))</f>
      </c>
      <c r="J181" s="12">
        <f>IF(I181="","",IF(I181="Reemplazada","Reemplazada",IF(H181="","Sin fecha",IF(H181&lt;0,"Vencida",IF(H181&lt;=IFERROR(IF(INDEX(Protocolo!$E$5:$E$54,MATCH(B181,Protocolo!$A$5:$A$54,0))="",30,INDEX(Protocolo!$E$5:$E$54,MATCH(B181,Protocolo!$A$5:$A$54,0))),30),"Por vencer","Vigente")))))</f>
      </c>
      <c r="K181" s="10"/>
    </row>
    <row r="182" spans="1:11" x14ac:dyDescent="0.25">
      <c r="A182" s="10"/>
      <c r="B182" s="10"/>
      <c r="C182" s="12">
        <f>IF(B182="","",IFERROR(INDEX(Protocolo!$B$5:$B$54,MATCH(B182,Protocolo!$A$5:$A$54,0)),""))</f>
      </c>
      <c r="D182" s="16"/>
      <c r="E182" s="10"/>
      <c r="F182" s="10"/>
      <c r="G182" s="14">
        <f>IF(OR(B182="",D182=""),"",IFERROR(IF(INDEX(Protocolo!$D$5:$D$54,MATCH(B182,Protocolo!$A$5:$A$54,0))="meses",EDATE(D182,INDEX(Protocolo!$C$5:$C$54,MATCH(B182,Protocolo!$A$5:$A$54,0))),D182+INDEX(Protocolo!$C$5:$C$54,MATCH(B182,Protocolo!$A$5:$A$54,0))*IF(INDEX(Protocolo!$D$5:$D$54,MATCH(B182,Protocolo!$A$5:$A$54,0))="semanas",7,1)),""))</f>
      </c>
      <c r="H182" s="15">
        <f>IF(G182="","",G182-TODAY())</f>
      </c>
      <c r="I182" s="12">
        <f>IF(OR(A182="",B182="",D182=""),"",IF(D182=SUMPRODUCT(MAX(($A$5:$A$504=A182)*($B$5:$B$504=B182)*$D$5:$D$504)),"Sí","Reemplazada"))</f>
      </c>
      <c r="J182" s="12">
        <f>IF(I182="","",IF(I182="Reemplazada","Reemplazada",IF(H182="","Sin fecha",IF(H182&lt;0,"Vencida",IF(H182&lt;=IFERROR(IF(INDEX(Protocolo!$E$5:$E$54,MATCH(B182,Protocolo!$A$5:$A$54,0))="",30,INDEX(Protocolo!$E$5:$E$54,MATCH(B182,Protocolo!$A$5:$A$54,0))),30),"Por vencer","Vigente")))))</f>
      </c>
      <c r="K182" s="10"/>
    </row>
    <row r="183" spans="1:11" x14ac:dyDescent="0.25">
      <c r="A183" s="10"/>
      <c r="B183" s="10"/>
      <c r="C183" s="12">
        <f>IF(B183="","",IFERROR(INDEX(Protocolo!$B$5:$B$54,MATCH(B183,Protocolo!$A$5:$A$54,0)),""))</f>
      </c>
      <c r="D183" s="16"/>
      <c r="E183" s="10"/>
      <c r="F183" s="10"/>
      <c r="G183" s="14">
        <f>IF(OR(B183="",D183=""),"",IFERROR(IF(INDEX(Protocolo!$D$5:$D$54,MATCH(B183,Protocolo!$A$5:$A$54,0))="meses",EDATE(D183,INDEX(Protocolo!$C$5:$C$54,MATCH(B183,Protocolo!$A$5:$A$54,0))),D183+INDEX(Protocolo!$C$5:$C$54,MATCH(B183,Protocolo!$A$5:$A$54,0))*IF(INDEX(Protocolo!$D$5:$D$54,MATCH(B183,Protocolo!$A$5:$A$54,0))="semanas",7,1)),""))</f>
      </c>
      <c r="H183" s="15">
        <f>IF(G183="","",G183-TODAY())</f>
      </c>
      <c r="I183" s="12">
        <f>IF(OR(A183="",B183="",D183=""),"",IF(D183=SUMPRODUCT(MAX(($A$5:$A$504=A183)*($B$5:$B$504=B183)*$D$5:$D$504)),"Sí","Reemplazada"))</f>
      </c>
      <c r="J183" s="12">
        <f>IF(I183="","",IF(I183="Reemplazada","Reemplazada",IF(H183="","Sin fecha",IF(H183&lt;0,"Vencida",IF(H183&lt;=IFERROR(IF(INDEX(Protocolo!$E$5:$E$54,MATCH(B183,Protocolo!$A$5:$A$54,0))="",30,INDEX(Protocolo!$E$5:$E$54,MATCH(B183,Protocolo!$A$5:$A$54,0))),30),"Por vencer","Vigente")))))</f>
      </c>
      <c r="K183" s="10"/>
    </row>
    <row r="184" spans="1:11" x14ac:dyDescent="0.25">
      <c r="A184" s="10"/>
      <c r="B184" s="10"/>
      <c r="C184" s="12">
        <f>IF(B184="","",IFERROR(INDEX(Protocolo!$B$5:$B$54,MATCH(B184,Protocolo!$A$5:$A$54,0)),""))</f>
      </c>
      <c r="D184" s="16"/>
      <c r="E184" s="10"/>
      <c r="F184" s="10"/>
      <c r="G184" s="14">
        <f>IF(OR(B184="",D184=""),"",IFERROR(IF(INDEX(Protocolo!$D$5:$D$54,MATCH(B184,Protocolo!$A$5:$A$54,0))="meses",EDATE(D184,INDEX(Protocolo!$C$5:$C$54,MATCH(B184,Protocolo!$A$5:$A$54,0))),D184+INDEX(Protocolo!$C$5:$C$54,MATCH(B184,Protocolo!$A$5:$A$54,0))*IF(INDEX(Protocolo!$D$5:$D$54,MATCH(B184,Protocolo!$A$5:$A$54,0))="semanas",7,1)),""))</f>
      </c>
      <c r="H184" s="15">
        <f>IF(G184="","",G184-TODAY())</f>
      </c>
      <c r="I184" s="12">
        <f>IF(OR(A184="",B184="",D184=""),"",IF(D184=SUMPRODUCT(MAX(($A$5:$A$504=A184)*($B$5:$B$504=B184)*$D$5:$D$504)),"Sí","Reemplazada"))</f>
      </c>
      <c r="J184" s="12">
        <f>IF(I184="","",IF(I184="Reemplazada","Reemplazada",IF(H184="","Sin fecha",IF(H184&lt;0,"Vencida",IF(H184&lt;=IFERROR(IF(INDEX(Protocolo!$E$5:$E$54,MATCH(B184,Protocolo!$A$5:$A$54,0))="",30,INDEX(Protocolo!$E$5:$E$54,MATCH(B184,Protocolo!$A$5:$A$54,0))),30),"Por vencer","Vigente")))))</f>
      </c>
      <c r="K184" s="10"/>
    </row>
    <row r="185" spans="1:11" x14ac:dyDescent="0.25">
      <c r="A185" s="10"/>
      <c r="B185" s="10"/>
      <c r="C185" s="12">
        <f>IF(B185="","",IFERROR(INDEX(Protocolo!$B$5:$B$54,MATCH(B185,Protocolo!$A$5:$A$54,0)),""))</f>
      </c>
      <c r="D185" s="16"/>
      <c r="E185" s="10"/>
      <c r="F185" s="10"/>
      <c r="G185" s="14">
        <f>IF(OR(B185="",D185=""),"",IFERROR(IF(INDEX(Protocolo!$D$5:$D$54,MATCH(B185,Protocolo!$A$5:$A$54,0))="meses",EDATE(D185,INDEX(Protocolo!$C$5:$C$54,MATCH(B185,Protocolo!$A$5:$A$54,0))),D185+INDEX(Protocolo!$C$5:$C$54,MATCH(B185,Protocolo!$A$5:$A$54,0))*IF(INDEX(Protocolo!$D$5:$D$54,MATCH(B185,Protocolo!$A$5:$A$54,0))="semanas",7,1)),""))</f>
      </c>
      <c r="H185" s="15">
        <f>IF(G185="","",G185-TODAY())</f>
      </c>
      <c r="I185" s="12">
        <f>IF(OR(A185="",B185="",D185=""),"",IF(D185=SUMPRODUCT(MAX(($A$5:$A$504=A185)*($B$5:$B$504=B185)*$D$5:$D$504)),"Sí","Reemplazada"))</f>
      </c>
      <c r="J185" s="12">
        <f>IF(I185="","",IF(I185="Reemplazada","Reemplazada",IF(H185="","Sin fecha",IF(H185&lt;0,"Vencida",IF(H185&lt;=IFERROR(IF(INDEX(Protocolo!$E$5:$E$54,MATCH(B185,Protocolo!$A$5:$A$54,0))="",30,INDEX(Protocolo!$E$5:$E$54,MATCH(B185,Protocolo!$A$5:$A$54,0))),30),"Por vencer","Vigente")))))</f>
      </c>
      <c r="K185" s="10"/>
    </row>
    <row r="186" spans="1:11" x14ac:dyDescent="0.25">
      <c r="A186" s="10"/>
      <c r="B186" s="10"/>
      <c r="C186" s="12">
        <f>IF(B186="","",IFERROR(INDEX(Protocolo!$B$5:$B$54,MATCH(B186,Protocolo!$A$5:$A$54,0)),""))</f>
      </c>
      <c r="D186" s="16"/>
      <c r="E186" s="10"/>
      <c r="F186" s="10"/>
      <c r="G186" s="14">
        <f>IF(OR(B186="",D186=""),"",IFERROR(IF(INDEX(Protocolo!$D$5:$D$54,MATCH(B186,Protocolo!$A$5:$A$54,0))="meses",EDATE(D186,INDEX(Protocolo!$C$5:$C$54,MATCH(B186,Protocolo!$A$5:$A$54,0))),D186+INDEX(Protocolo!$C$5:$C$54,MATCH(B186,Protocolo!$A$5:$A$54,0))*IF(INDEX(Protocolo!$D$5:$D$54,MATCH(B186,Protocolo!$A$5:$A$54,0))="semanas",7,1)),""))</f>
      </c>
      <c r="H186" s="15">
        <f>IF(G186="","",G186-TODAY())</f>
      </c>
      <c r="I186" s="12">
        <f>IF(OR(A186="",B186="",D186=""),"",IF(D186=SUMPRODUCT(MAX(($A$5:$A$504=A186)*($B$5:$B$504=B186)*$D$5:$D$504)),"Sí","Reemplazada"))</f>
      </c>
      <c r="J186" s="12">
        <f>IF(I186="","",IF(I186="Reemplazada","Reemplazada",IF(H186="","Sin fecha",IF(H186&lt;0,"Vencida",IF(H186&lt;=IFERROR(IF(INDEX(Protocolo!$E$5:$E$54,MATCH(B186,Protocolo!$A$5:$A$54,0))="",30,INDEX(Protocolo!$E$5:$E$54,MATCH(B186,Protocolo!$A$5:$A$54,0))),30),"Por vencer","Vigente")))))</f>
      </c>
      <c r="K186" s="10"/>
    </row>
    <row r="187" spans="1:11" x14ac:dyDescent="0.25">
      <c r="A187" s="10"/>
      <c r="B187" s="10"/>
      <c r="C187" s="12">
        <f>IF(B187="","",IFERROR(INDEX(Protocolo!$B$5:$B$54,MATCH(B187,Protocolo!$A$5:$A$54,0)),""))</f>
      </c>
      <c r="D187" s="16"/>
      <c r="E187" s="10"/>
      <c r="F187" s="10"/>
      <c r="G187" s="14">
        <f>IF(OR(B187="",D187=""),"",IFERROR(IF(INDEX(Protocolo!$D$5:$D$54,MATCH(B187,Protocolo!$A$5:$A$54,0))="meses",EDATE(D187,INDEX(Protocolo!$C$5:$C$54,MATCH(B187,Protocolo!$A$5:$A$54,0))),D187+INDEX(Protocolo!$C$5:$C$54,MATCH(B187,Protocolo!$A$5:$A$54,0))*IF(INDEX(Protocolo!$D$5:$D$54,MATCH(B187,Protocolo!$A$5:$A$54,0))="semanas",7,1)),""))</f>
      </c>
      <c r="H187" s="15">
        <f>IF(G187="","",G187-TODAY())</f>
      </c>
      <c r="I187" s="12">
        <f>IF(OR(A187="",B187="",D187=""),"",IF(D187=SUMPRODUCT(MAX(($A$5:$A$504=A187)*($B$5:$B$504=B187)*$D$5:$D$504)),"Sí","Reemplazada"))</f>
      </c>
      <c r="J187" s="12">
        <f>IF(I187="","",IF(I187="Reemplazada","Reemplazada",IF(H187="","Sin fecha",IF(H187&lt;0,"Vencida",IF(H187&lt;=IFERROR(IF(INDEX(Protocolo!$E$5:$E$54,MATCH(B187,Protocolo!$A$5:$A$54,0))="",30,INDEX(Protocolo!$E$5:$E$54,MATCH(B187,Protocolo!$A$5:$A$54,0))),30),"Por vencer","Vigente")))))</f>
      </c>
      <c r="K187" s="10"/>
    </row>
    <row r="188" spans="1:11" x14ac:dyDescent="0.25">
      <c r="A188" s="10"/>
      <c r="B188" s="10"/>
      <c r="C188" s="12">
        <f>IF(B188="","",IFERROR(INDEX(Protocolo!$B$5:$B$54,MATCH(B188,Protocolo!$A$5:$A$54,0)),""))</f>
      </c>
      <c r="D188" s="16"/>
      <c r="E188" s="10"/>
      <c r="F188" s="10"/>
      <c r="G188" s="14">
        <f>IF(OR(B188="",D188=""),"",IFERROR(IF(INDEX(Protocolo!$D$5:$D$54,MATCH(B188,Protocolo!$A$5:$A$54,0))="meses",EDATE(D188,INDEX(Protocolo!$C$5:$C$54,MATCH(B188,Protocolo!$A$5:$A$54,0))),D188+INDEX(Protocolo!$C$5:$C$54,MATCH(B188,Protocolo!$A$5:$A$54,0))*IF(INDEX(Protocolo!$D$5:$D$54,MATCH(B188,Protocolo!$A$5:$A$54,0))="semanas",7,1)),""))</f>
      </c>
      <c r="H188" s="15">
        <f>IF(G188="","",G188-TODAY())</f>
      </c>
      <c r="I188" s="12">
        <f>IF(OR(A188="",B188="",D188=""),"",IF(D188=SUMPRODUCT(MAX(($A$5:$A$504=A188)*($B$5:$B$504=B188)*$D$5:$D$504)),"Sí","Reemplazada"))</f>
      </c>
      <c r="J188" s="12">
        <f>IF(I188="","",IF(I188="Reemplazada","Reemplazada",IF(H188="","Sin fecha",IF(H188&lt;0,"Vencida",IF(H188&lt;=IFERROR(IF(INDEX(Protocolo!$E$5:$E$54,MATCH(B188,Protocolo!$A$5:$A$54,0))="",30,INDEX(Protocolo!$E$5:$E$54,MATCH(B188,Protocolo!$A$5:$A$54,0))),30),"Por vencer","Vigente")))))</f>
      </c>
      <c r="K188" s="10"/>
    </row>
    <row r="189" spans="1:11" x14ac:dyDescent="0.25">
      <c r="A189" s="10"/>
      <c r="B189" s="10"/>
      <c r="C189" s="12">
        <f>IF(B189="","",IFERROR(INDEX(Protocolo!$B$5:$B$54,MATCH(B189,Protocolo!$A$5:$A$54,0)),""))</f>
      </c>
      <c r="D189" s="16"/>
      <c r="E189" s="10"/>
      <c r="F189" s="10"/>
      <c r="G189" s="14">
        <f>IF(OR(B189="",D189=""),"",IFERROR(IF(INDEX(Protocolo!$D$5:$D$54,MATCH(B189,Protocolo!$A$5:$A$54,0))="meses",EDATE(D189,INDEX(Protocolo!$C$5:$C$54,MATCH(B189,Protocolo!$A$5:$A$54,0))),D189+INDEX(Protocolo!$C$5:$C$54,MATCH(B189,Protocolo!$A$5:$A$54,0))*IF(INDEX(Protocolo!$D$5:$D$54,MATCH(B189,Protocolo!$A$5:$A$54,0))="semanas",7,1)),""))</f>
      </c>
      <c r="H189" s="15">
        <f>IF(G189="","",G189-TODAY())</f>
      </c>
      <c r="I189" s="12">
        <f>IF(OR(A189="",B189="",D189=""),"",IF(D189=SUMPRODUCT(MAX(($A$5:$A$504=A189)*($B$5:$B$504=B189)*$D$5:$D$504)),"Sí","Reemplazada"))</f>
      </c>
      <c r="J189" s="12">
        <f>IF(I189="","",IF(I189="Reemplazada","Reemplazada",IF(H189="","Sin fecha",IF(H189&lt;0,"Vencida",IF(H189&lt;=IFERROR(IF(INDEX(Protocolo!$E$5:$E$54,MATCH(B189,Protocolo!$A$5:$A$54,0))="",30,INDEX(Protocolo!$E$5:$E$54,MATCH(B189,Protocolo!$A$5:$A$54,0))),30),"Por vencer","Vigente")))))</f>
      </c>
      <c r="K189" s="10"/>
    </row>
    <row r="190" spans="1:11" x14ac:dyDescent="0.25">
      <c r="A190" s="10"/>
      <c r="B190" s="10"/>
      <c r="C190" s="12">
        <f>IF(B190="","",IFERROR(INDEX(Protocolo!$B$5:$B$54,MATCH(B190,Protocolo!$A$5:$A$54,0)),""))</f>
      </c>
      <c r="D190" s="16"/>
      <c r="E190" s="10"/>
      <c r="F190" s="10"/>
      <c r="G190" s="14">
        <f>IF(OR(B190="",D190=""),"",IFERROR(IF(INDEX(Protocolo!$D$5:$D$54,MATCH(B190,Protocolo!$A$5:$A$54,0))="meses",EDATE(D190,INDEX(Protocolo!$C$5:$C$54,MATCH(B190,Protocolo!$A$5:$A$54,0))),D190+INDEX(Protocolo!$C$5:$C$54,MATCH(B190,Protocolo!$A$5:$A$54,0))*IF(INDEX(Protocolo!$D$5:$D$54,MATCH(B190,Protocolo!$A$5:$A$54,0))="semanas",7,1)),""))</f>
      </c>
      <c r="H190" s="15">
        <f>IF(G190="","",G190-TODAY())</f>
      </c>
      <c r="I190" s="12">
        <f>IF(OR(A190="",B190="",D190=""),"",IF(D190=SUMPRODUCT(MAX(($A$5:$A$504=A190)*($B$5:$B$504=B190)*$D$5:$D$504)),"Sí","Reemplazada"))</f>
      </c>
      <c r="J190" s="12">
        <f>IF(I190="","",IF(I190="Reemplazada","Reemplazada",IF(H190="","Sin fecha",IF(H190&lt;0,"Vencida",IF(H190&lt;=IFERROR(IF(INDEX(Protocolo!$E$5:$E$54,MATCH(B190,Protocolo!$A$5:$A$54,0))="",30,INDEX(Protocolo!$E$5:$E$54,MATCH(B190,Protocolo!$A$5:$A$54,0))),30),"Por vencer","Vigente")))))</f>
      </c>
      <c r="K190" s="10"/>
    </row>
    <row r="191" spans="1:11" x14ac:dyDescent="0.25">
      <c r="A191" s="10"/>
      <c r="B191" s="10"/>
      <c r="C191" s="12">
        <f>IF(B191="","",IFERROR(INDEX(Protocolo!$B$5:$B$54,MATCH(B191,Protocolo!$A$5:$A$54,0)),""))</f>
      </c>
      <c r="D191" s="16"/>
      <c r="E191" s="10"/>
      <c r="F191" s="10"/>
      <c r="G191" s="14">
        <f>IF(OR(B191="",D191=""),"",IFERROR(IF(INDEX(Protocolo!$D$5:$D$54,MATCH(B191,Protocolo!$A$5:$A$54,0))="meses",EDATE(D191,INDEX(Protocolo!$C$5:$C$54,MATCH(B191,Protocolo!$A$5:$A$54,0))),D191+INDEX(Protocolo!$C$5:$C$54,MATCH(B191,Protocolo!$A$5:$A$54,0))*IF(INDEX(Protocolo!$D$5:$D$54,MATCH(B191,Protocolo!$A$5:$A$54,0))="semanas",7,1)),""))</f>
      </c>
      <c r="H191" s="15">
        <f>IF(G191="","",G191-TODAY())</f>
      </c>
      <c r="I191" s="12">
        <f>IF(OR(A191="",B191="",D191=""),"",IF(D191=SUMPRODUCT(MAX(($A$5:$A$504=A191)*($B$5:$B$504=B191)*$D$5:$D$504)),"Sí","Reemplazada"))</f>
      </c>
      <c r="J191" s="12">
        <f>IF(I191="","",IF(I191="Reemplazada","Reemplazada",IF(H191="","Sin fecha",IF(H191&lt;0,"Vencida",IF(H191&lt;=IFERROR(IF(INDEX(Protocolo!$E$5:$E$54,MATCH(B191,Protocolo!$A$5:$A$54,0))="",30,INDEX(Protocolo!$E$5:$E$54,MATCH(B191,Protocolo!$A$5:$A$54,0))),30),"Por vencer","Vigente")))))</f>
      </c>
      <c r="K191" s="10"/>
    </row>
    <row r="192" spans="1:11" x14ac:dyDescent="0.25">
      <c r="A192" s="10"/>
      <c r="B192" s="10"/>
      <c r="C192" s="12">
        <f>IF(B192="","",IFERROR(INDEX(Protocolo!$B$5:$B$54,MATCH(B192,Protocolo!$A$5:$A$54,0)),""))</f>
      </c>
      <c r="D192" s="16"/>
      <c r="E192" s="10"/>
      <c r="F192" s="10"/>
      <c r="G192" s="14">
        <f>IF(OR(B192="",D192=""),"",IFERROR(IF(INDEX(Protocolo!$D$5:$D$54,MATCH(B192,Protocolo!$A$5:$A$54,0))="meses",EDATE(D192,INDEX(Protocolo!$C$5:$C$54,MATCH(B192,Protocolo!$A$5:$A$54,0))),D192+INDEX(Protocolo!$C$5:$C$54,MATCH(B192,Protocolo!$A$5:$A$54,0))*IF(INDEX(Protocolo!$D$5:$D$54,MATCH(B192,Protocolo!$A$5:$A$54,0))="semanas",7,1)),""))</f>
      </c>
      <c r="H192" s="15">
        <f>IF(G192="","",G192-TODAY())</f>
      </c>
      <c r="I192" s="12">
        <f>IF(OR(A192="",B192="",D192=""),"",IF(D192=SUMPRODUCT(MAX(($A$5:$A$504=A192)*($B$5:$B$504=B192)*$D$5:$D$504)),"Sí","Reemplazada"))</f>
      </c>
      <c r="J192" s="12">
        <f>IF(I192="","",IF(I192="Reemplazada","Reemplazada",IF(H192="","Sin fecha",IF(H192&lt;0,"Vencida",IF(H192&lt;=IFERROR(IF(INDEX(Protocolo!$E$5:$E$54,MATCH(B192,Protocolo!$A$5:$A$54,0))="",30,INDEX(Protocolo!$E$5:$E$54,MATCH(B192,Protocolo!$A$5:$A$54,0))),30),"Por vencer","Vigente")))))</f>
      </c>
      <c r="K192" s="10"/>
    </row>
    <row r="193" spans="1:11" x14ac:dyDescent="0.25">
      <c r="A193" s="10"/>
      <c r="B193" s="10"/>
      <c r="C193" s="12">
        <f>IF(B193="","",IFERROR(INDEX(Protocolo!$B$5:$B$54,MATCH(B193,Protocolo!$A$5:$A$54,0)),""))</f>
      </c>
      <c r="D193" s="16"/>
      <c r="E193" s="10"/>
      <c r="F193" s="10"/>
      <c r="G193" s="14">
        <f>IF(OR(B193="",D193=""),"",IFERROR(IF(INDEX(Protocolo!$D$5:$D$54,MATCH(B193,Protocolo!$A$5:$A$54,0))="meses",EDATE(D193,INDEX(Protocolo!$C$5:$C$54,MATCH(B193,Protocolo!$A$5:$A$54,0))),D193+INDEX(Protocolo!$C$5:$C$54,MATCH(B193,Protocolo!$A$5:$A$54,0))*IF(INDEX(Protocolo!$D$5:$D$54,MATCH(B193,Protocolo!$A$5:$A$54,0))="semanas",7,1)),""))</f>
      </c>
      <c r="H193" s="15">
        <f>IF(G193="","",G193-TODAY())</f>
      </c>
      <c r="I193" s="12">
        <f>IF(OR(A193="",B193="",D193=""),"",IF(D193=SUMPRODUCT(MAX(($A$5:$A$504=A193)*($B$5:$B$504=B193)*$D$5:$D$504)),"Sí","Reemplazada"))</f>
      </c>
      <c r="J193" s="12">
        <f>IF(I193="","",IF(I193="Reemplazada","Reemplazada",IF(H193="","Sin fecha",IF(H193&lt;0,"Vencida",IF(H193&lt;=IFERROR(IF(INDEX(Protocolo!$E$5:$E$54,MATCH(B193,Protocolo!$A$5:$A$54,0))="",30,INDEX(Protocolo!$E$5:$E$54,MATCH(B193,Protocolo!$A$5:$A$54,0))),30),"Por vencer","Vigente")))))</f>
      </c>
      <c r="K193" s="10"/>
    </row>
    <row r="194" spans="1:11" x14ac:dyDescent="0.25">
      <c r="A194" s="10"/>
      <c r="B194" s="10"/>
      <c r="C194" s="12">
        <f>IF(B194="","",IFERROR(INDEX(Protocolo!$B$5:$B$54,MATCH(B194,Protocolo!$A$5:$A$54,0)),""))</f>
      </c>
      <c r="D194" s="16"/>
      <c r="E194" s="10"/>
      <c r="F194" s="10"/>
      <c r="G194" s="14">
        <f>IF(OR(B194="",D194=""),"",IFERROR(IF(INDEX(Protocolo!$D$5:$D$54,MATCH(B194,Protocolo!$A$5:$A$54,0))="meses",EDATE(D194,INDEX(Protocolo!$C$5:$C$54,MATCH(B194,Protocolo!$A$5:$A$54,0))),D194+INDEX(Protocolo!$C$5:$C$54,MATCH(B194,Protocolo!$A$5:$A$54,0))*IF(INDEX(Protocolo!$D$5:$D$54,MATCH(B194,Protocolo!$A$5:$A$54,0))="semanas",7,1)),""))</f>
      </c>
      <c r="H194" s="15">
        <f>IF(G194="","",G194-TODAY())</f>
      </c>
      <c r="I194" s="12">
        <f>IF(OR(A194="",B194="",D194=""),"",IF(D194=SUMPRODUCT(MAX(($A$5:$A$504=A194)*($B$5:$B$504=B194)*$D$5:$D$504)),"Sí","Reemplazada"))</f>
      </c>
      <c r="J194" s="12">
        <f>IF(I194="","",IF(I194="Reemplazada","Reemplazada",IF(H194="","Sin fecha",IF(H194&lt;0,"Vencida",IF(H194&lt;=IFERROR(IF(INDEX(Protocolo!$E$5:$E$54,MATCH(B194,Protocolo!$A$5:$A$54,0))="",30,INDEX(Protocolo!$E$5:$E$54,MATCH(B194,Protocolo!$A$5:$A$54,0))),30),"Por vencer","Vigente")))))</f>
      </c>
      <c r="K194" s="10"/>
    </row>
    <row r="195" spans="1:11" x14ac:dyDescent="0.25">
      <c r="A195" s="10"/>
      <c r="B195" s="10"/>
      <c r="C195" s="12">
        <f>IF(B195="","",IFERROR(INDEX(Protocolo!$B$5:$B$54,MATCH(B195,Protocolo!$A$5:$A$54,0)),""))</f>
      </c>
      <c r="D195" s="16"/>
      <c r="E195" s="10"/>
      <c r="F195" s="10"/>
      <c r="G195" s="14">
        <f>IF(OR(B195="",D195=""),"",IFERROR(IF(INDEX(Protocolo!$D$5:$D$54,MATCH(B195,Protocolo!$A$5:$A$54,0))="meses",EDATE(D195,INDEX(Protocolo!$C$5:$C$54,MATCH(B195,Protocolo!$A$5:$A$54,0))),D195+INDEX(Protocolo!$C$5:$C$54,MATCH(B195,Protocolo!$A$5:$A$54,0))*IF(INDEX(Protocolo!$D$5:$D$54,MATCH(B195,Protocolo!$A$5:$A$54,0))="semanas",7,1)),""))</f>
      </c>
      <c r="H195" s="15">
        <f>IF(G195="","",G195-TODAY())</f>
      </c>
      <c r="I195" s="12">
        <f>IF(OR(A195="",B195="",D195=""),"",IF(D195=SUMPRODUCT(MAX(($A$5:$A$504=A195)*($B$5:$B$504=B195)*$D$5:$D$504)),"Sí","Reemplazada"))</f>
      </c>
      <c r="J195" s="12">
        <f>IF(I195="","",IF(I195="Reemplazada","Reemplazada",IF(H195="","Sin fecha",IF(H195&lt;0,"Vencida",IF(H195&lt;=IFERROR(IF(INDEX(Protocolo!$E$5:$E$54,MATCH(B195,Protocolo!$A$5:$A$54,0))="",30,INDEX(Protocolo!$E$5:$E$54,MATCH(B195,Protocolo!$A$5:$A$54,0))),30),"Por vencer","Vigente")))))</f>
      </c>
      <c r="K195" s="10"/>
    </row>
    <row r="196" spans="1:11" x14ac:dyDescent="0.25">
      <c r="A196" s="10"/>
      <c r="B196" s="10"/>
      <c r="C196" s="12">
        <f>IF(B196="","",IFERROR(INDEX(Protocolo!$B$5:$B$54,MATCH(B196,Protocolo!$A$5:$A$54,0)),""))</f>
      </c>
      <c r="D196" s="16"/>
      <c r="E196" s="10"/>
      <c r="F196" s="10"/>
      <c r="G196" s="14">
        <f>IF(OR(B196="",D196=""),"",IFERROR(IF(INDEX(Protocolo!$D$5:$D$54,MATCH(B196,Protocolo!$A$5:$A$54,0))="meses",EDATE(D196,INDEX(Protocolo!$C$5:$C$54,MATCH(B196,Protocolo!$A$5:$A$54,0))),D196+INDEX(Protocolo!$C$5:$C$54,MATCH(B196,Protocolo!$A$5:$A$54,0))*IF(INDEX(Protocolo!$D$5:$D$54,MATCH(B196,Protocolo!$A$5:$A$54,0))="semanas",7,1)),""))</f>
      </c>
      <c r="H196" s="15">
        <f>IF(G196="","",G196-TODAY())</f>
      </c>
      <c r="I196" s="12">
        <f>IF(OR(A196="",B196="",D196=""),"",IF(D196=SUMPRODUCT(MAX(($A$5:$A$504=A196)*($B$5:$B$504=B196)*$D$5:$D$504)),"Sí","Reemplazada"))</f>
      </c>
      <c r="J196" s="12">
        <f>IF(I196="","",IF(I196="Reemplazada","Reemplazada",IF(H196="","Sin fecha",IF(H196&lt;0,"Vencida",IF(H196&lt;=IFERROR(IF(INDEX(Protocolo!$E$5:$E$54,MATCH(B196,Protocolo!$A$5:$A$54,0))="",30,INDEX(Protocolo!$E$5:$E$54,MATCH(B196,Protocolo!$A$5:$A$54,0))),30),"Por vencer","Vigente")))))</f>
      </c>
      <c r="K196" s="10"/>
    </row>
    <row r="197" spans="1:11" x14ac:dyDescent="0.25">
      <c r="A197" s="10"/>
      <c r="B197" s="10"/>
      <c r="C197" s="12">
        <f>IF(B197="","",IFERROR(INDEX(Protocolo!$B$5:$B$54,MATCH(B197,Protocolo!$A$5:$A$54,0)),""))</f>
      </c>
      <c r="D197" s="16"/>
      <c r="E197" s="10"/>
      <c r="F197" s="10"/>
      <c r="G197" s="14">
        <f>IF(OR(B197="",D197=""),"",IFERROR(IF(INDEX(Protocolo!$D$5:$D$54,MATCH(B197,Protocolo!$A$5:$A$54,0))="meses",EDATE(D197,INDEX(Protocolo!$C$5:$C$54,MATCH(B197,Protocolo!$A$5:$A$54,0))),D197+INDEX(Protocolo!$C$5:$C$54,MATCH(B197,Protocolo!$A$5:$A$54,0))*IF(INDEX(Protocolo!$D$5:$D$54,MATCH(B197,Protocolo!$A$5:$A$54,0))="semanas",7,1)),""))</f>
      </c>
      <c r="H197" s="15">
        <f>IF(G197="","",G197-TODAY())</f>
      </c>
      <c r="I197" s="12">
        <f>IF(OR(A197="",B197="",D197=""),"",IF(D197=SUMPRODUCT(MAX(($A$5:$A$504=A197)*($B$5:$B$504=B197)*$D$5:$D$504)),"Sí","Reemplazada"))</f>
      </c>
      <c r="J197" s="12">
        <f>IF(I197="","",IF(I197="Reemplazada","Reemplazada",IF(H197="","Sin fecha",IF(H197&lt;0,"Vencida",IF(H197&lt;=IFERROR(IF(INDEX(Protocolo!$E$5:$E$54,MATCH(B197,Protocolo!$A$5:$A$54,0))="",30,INDEX(Protocolo!$E$5:$E$54,MATCH(B197,Protocolo!$A$5:$A$54,0))),30),"Por vencer","Vigente")))))</f>
      </c>
      <c r="K197" s="10"/>
    </row>
    <row r="198" spans="1:11" x14ac:dyDescent="0.25">
      <c r="A198" s="10"/>
      <c r="B198" s="10"/>
      <c r="C198" s="12">
        <f>IF(B198="","",IFERROR(INDEX(Protocolo!$B$5:$B$54,MATCH(B198,Protocolo!$A$5:$A$54,0)),""))</f>
      </c>
      <c r="D198" s="16"/>
      <c r="E198" s="10"/>
      <c r="F198" s="10"/>
      <c r="G198" s="14">
        <f>IF(OR(B198="",D198=""),"",IFERROR(IF(INDEX(Protocolo!$D$5:$D$54,MATCH(B198,Protocolo!$A$5:$A$54,0))="meses",EDATE(D198,INDEX(Protocolo!$C$5:$C$54,MATCH(B198,Protocolo!$A$5:$A$54,0))),D198+INDEX(Protocolo!$C$5:$C$54,MATCH(B198,Protocolo!$A$5:$A$54,0))*IF(INDEX(Protocolo!$D$5:$D$54,MATCH(B198,Protocolo!$A$5:$A$54,0))="semanas",7,1)),""))</f>
      </c>
      <c r="H198" s="15">
        <f>IF(G198="","",G198-TODAY())</f>
      </c>
      <c r="I198" s="12">
        <f>IF(OR(A198="",B198="",D198=""),"",IF(D198=SUMPRODUCT(MAX(($A$5:$A$504=A198)*($B$5:$B$504=B198)*$D$5:$D$504)),"Sí","Reemplazada"))</f>
      </c>
      <c r="J198" s="12">
        <f>IF(I198="","",IF(I198="Reemplazada","Reemplazada",IF(H198="","Sin fecha",IF(H198&lt;0,"Vencida",IF(H198&lt;=IFERROR(IF(INDEX(Protocolo!$E$5:$E$54,MATCH(B198,Protocolo!$A$5:$A$54,0))="",30,INDEX(Protocolo!$E$5:$E$54,MATCH(B198,Protocolo!$A$5:$A$54,0))),30),"Por vencer","Vigente")))))</f>
      </c>
      <c r="K198" s="10"/>
    </row>
    <row r="199" spans="1:11" x14ac:dyDescent="0.25">
      <c r="A199" s="10"/>
      <c r="B199" s="10"/>
      <c r="C199" s="12">
        <f>IF(B199="","",IFERROR(INDEX(Protocolo!$B$5:$B$54,MATCH(B199,Protocolo!$A$5:$A$54,0)),""))</f>
      </c>
      <c r="D199" s="16"/>
      <c r="E199" s="10"/>
      <c r="F199" s="10"/>
      <c r="G199" s="14">
        <f>IF(OR(B199="",D199=""),"",IFERROR(IF(INDEX(Protocolo!$D$5:$D$54,MATCH(B199,Protocolo!$A$5:$A$54,0))="meses",EDATE(D199,INDEX(Protocolo!$C$5:$C$54,MATCH(B199,Protocolo!$A$5:$A$54,0))),D199+INDEX(Protocolo!$C$5:$C$54,MATCH(B199,Protocolo!$A$5:$A$54,0))*IF(INDEX(Protocolo!$D$5:$D$54,MATCH(B199,Protocolo!$A$5:$A$54,0))="semanas",7,1)),""))</f>
      </c>
      <c r="H199" s="15">
        <f>IF(G199="","",G199-TODAY())</f>
      </c>
      <c r="I199" s="12">
        <f>IF(OR(A199="",B199="",D199=""),"",IF(D199=SUMPRODUCT(MAX(($A$5:$A$504=A199)*($B$5:$B$504=B199)*$D$5:$D$504)),"Sí","Reemplazada"))</f>
      </c>
      <c r="J199" s="12">
        <f>IF(I199="","",IF(I199="Reemplazada","Reemplazada",IF(H199="","Sin fecha",IF(H199&lt;0,"Vencida",IF(H199&lt;=IFERROR(IF(INDEX(Protocolo!$E$5:$E$54,MATCH(B199,Protocolo!$A$5:$A$54,0))="",30,INDEX(Protocolo!$E$5:$E$54,MATCH(B199,Protocolo!$A$5:$A$54,0))),30),"Por vencer","Vigente")))))</f>
      </c>
      <c r="K199" s="10"/>
    </row>
    <row r="200" spans="1:11" x14ac:dyDescent="0.25">
      <c r="A200" s="10"/>
      <c r="B200" s="10"/>
      <c r="C200" s="12">
        <f>IF(B200="","",IFERROR(INDEX(Protocolo!$B$5:$B$54,MATCH(B200,Protocolo!$A$5:$A$54,0)),""))</f>
      </c>
      <c r="D200" s="16"/>
      <c r="E200" s="10"/>
      <c r="F200" s="10"/>
      <c r="G200" s="14">
        <f>IF(OR(B200="",D200=""),"",IFERROR(IF(INDEX(Protocolo!$D$5:$D$54,MATCH(B200,Protocolo!$A$5:$A$54,0))="meses",EDATE(D200,INDEX(Protocolo!$C$5:$C$54,MATCH(B200,Protocolo!$A$5:$A$54,0))),D200+INDEX(Protocolo!$C$5:$C$54,MATCH(B200,Protocolo!$A$5:$A$54,0))*IF(INDEX(Protocolo!$D$5:$D$54,MATCH(B200,Protocolo!$A$5:$A$54,0))="semanas",7,1)),""))</f>
      </c>
      <c r="H200" s="15">
        <f>IF(G200="","",G200-TODAY())</f>
      </c>
      <c r="I200" s="12">
        <f>IF(OR(A200="",B200="",D200=""),"",IF(D200=SUMPRODUCT(MAX(($A$5:$A$504=A200)*($B$5:$B$504=B200)*$D$5:$D$504)),"Sí","Reemplazada"))</f>
      </c>
      <c r="J200" s="12">
        <f>IF(I200="","",IF(I200="Reemplazada","Reemplazada",IF(H200="","Sin fecha",IF(H200&lt;0,"Vencida",IF(H200&lt;=IFERROR(IF(INDEX(Protocolo!$E$5:$E$54,MATCH(B200,Protocolo!$A$5:$A$54,0))="",30,INDEX(Protocolo!$E$5:$E$54,MATCH(B200,Protocolo!$A$5:$A$54,0))),30),"Por vencer","Vigente")))))</f>
      </c>
      <c r="K200" s="10"/>
    </row>
    <row r="201" spans="1:11" x14ac:dyDescent="0.25">
      <c r="A201" s="10"/>
      <c r="B201" s="10"/>
      <c r="C201" s="12">
        <f>IF(B201="","",IFERROR(INDEX(Protocolo!$B$5:$B$54,MATCH(B201,Protocolo!$A$5:$A$54,0)),""))</f>
      </c>
      <c r="D201" s="16"/>
      <c r="E201" s="10"/>
      <c r="F201" s="10"/>
      <c r="G201" s="14">
        <f>IF(OR(B201="",D201=""),"",IFERROR(IF(INDEX(Protocolo!$D$5:$D$54,MATCH(B201,Protocolo!$A$5:$A$54,0))="meses",EDATE(D201,INDEX(Protocolo!$C$5:$C$54,MATCH(B201,Protocolo!$A$5:$A$54,0))),D201+INDEX(Protocolo!$C$5:$C$54,MATCH(B201,Protocolo!$A$5:$A$54,0))*IF(INDEX(Protocolo!$D$5:$D$54,MATCH(B201,Protocolo!$A$5:$A$54,0))="semanas",7,1)),""))</f>
      </c>
      <c r="H201" s="15">
        <f>IF(G201="","",G201-TODAY())</f>
      </c>
      <c r="I201" s="12">
        <f>IF(OR(A201="",B201="",D201=""),"",IF(D201=SUMPRODUCT(MAX(($A$5:$A$504=A201)*($B$5:$B$504=B201)*$D$5:$D$504)),"Sí","Reemplazada"))</f>
      </c>
      <c r="J201" s="12">
        <f>IF(I201="","",IF(I201="Reemplazada","Reemplazada",IF(H201="","Sin fecha",IF(H201&lt;0,"Vencida",IF(H201&lt;=IFERROR(IF(INDEX(Protocolo!$E$5:$E$54,MATCH(B201,Protocolo!$A$5:$A$54,0))="",30,INDEX(Protocolo!$E$5:$E$54,MATCH(B201,Protocolo!$A$5:$A$54,0))),30),"Por vencer","Vigente")))))</f>
      </c>
      <c r="K201" s="10"/>
    </row>
    <row r="202" spans="1:11" x14ac:dyDescent="0.25">
      <c r="A202" s="10"/>
      <c r="B202" s="10"/>
      <c r="C202" s="12">
        <f>IF(B202="","",IFERROR(INDEX(Protocolo!$B$5:$B$54,MATCH(B202,Protocolo!$A$5:$A$54,0)),""))</f>
      </c>
      <c r="D202" s="16"/>
      <c r="E202" s="10"/>
      <c r="F202" s="10"/>
      <c r="G202" s="14">
        <f>IF(OR(B202="",D202=""),"",IFERROR(IF(INDEX(Protocolo!$D$5:$D$54,MATCH(B202,Protocolo!$A$5:$A$54,0))="meses",EDATE(D202,INDEX(Protocolo!$C$5:$C$54,MATCH(B202,Protocolo!$A$5:$A$54,0))),D202+INDEX(Protocolo!$C$5:$C$54,MATCH(B202,Protocolo!$A$5:$A$54,0))*IF(INDEX(Protocolo!$D$5:$D$54,MATCH(B202,Protocolo!$A$5:$A$54,0))="semanas",7,1)),""))</f>
      </c>
      <c r="H202" s="15">
        <f>IF(G202="","",G202-TODAY())</f>
      </c>
      <c r="I202" s="12">
        <f>IF(OR(A202="",B202="",D202=""),"",IF(D202=SUMPRODUCT(MAX(($A$5:$A$504=A202)*($B$5:$B$504=B202)*$D$5:$D$504)),"Sí","Reemplazada"))</f>
      </c>
      <c r="J202" s="12">
        <f>IF(I202="","",IF(I202="Reemplazada","Reemplazada",IF(H202="","Sin fecha",IF(H202&lt;0,"Vencida",IF(H202&lt;=IFERROR(IF(INDEX(Protocolo!$E$5:$E$54,MATCH(B202,Protocolo!$A$5:$A$54,0))="",30,INDEX(Protocolo!$E$5:$E$54,MATCH(B202,Protocolo!$A$5:$A$54,0))),30),"Por vencer","Vigente")))))</f>
      </c>
      <c r="K202" s="10"/>
    </row>
    <row r="203" spans="1:11" x14ac:dyDescent="0.25">
      <c r="A203" s="10"/>
      <c r="B203" s="10"/>
      <c r="C203" s="12">
        <f>IF(B203="","",IFERROR(INDEX(Protocolo!$B$5:$B$54,MATCH(B203,Protocolo!$A$5:$A$54,0)),""))</f>
      </c>
      <c r="D203" s="16"/>
      <c r="E203" s="10"/>
      <c r="F203" s="10"/>
      <c r="G203" s="14">
        <f>IF(OR(B203="",D203=""),"",IFERROR(IF(INDEX(Protocolo!$D$5:$D$54,MATCH(B203,Protocolo!$A$5:$A$54,0))="meses",EDATE(D203,INDEX(Protocolo!$C$5:$C$54,MATCH(B203,Protocolo!$A$5:$A$54,0))),D203+INDEX(Protocolo!$C$5:$C$54,MATCH(B203,Protocolo!$A$5:$A$54,0))*IF(INDEX(Protocolo!$D$5:$D$54,MATCH(B203,Protocolo!$A$5:$A$54,0))="semanas",7,1)),""))</f>
      </c>
      <c r="H203" s="15">
        <f>IF(G203="","",G203-TODAY())</f>
      </c>
      <c r="I203" s="12">
        <f>IF(OR(A203="",B203="",D203=""),"",IF(D203=SUMPRODUCT(MAX(($A$5:$A$504=A203)*($B$5:$B$504=B203)*$D$5:$D$504)),"Sí","Reemplazada"))</f>
      </c>
      <c r="J203" s="12">
        <f>IF(I203="","",IF(I203="Reemplazada","Reemplazada",IF(H203="","Sin fecha",IF(H203&lt;0,"Vencida",IF(H203&lt;=IFERROR(IF(INDEX(Protocolo!$E$5:$E$54,MATCH(B203,Protocolo!$A$5:$A$54,0))="",30,INDEX(Protocolo!$E$5:$E$54,MATCH(B203,Protocolo!$A$5:$A$54,0))),30),"Por vencer","Vigente")))))</f>
      </c>
      <c r="K203" s="10"/>
    </row>
    <row r="204" spans="1:11" x14ac:dyDescent="0.25">
      <c r="A204" s="10"/>
      <c r="B204" s="10"/>
      <c r="C204" s="12">
        <f>IF(B204="","",IFERROR(INDEX(Protocolo!$B$5:$B$54,MATCH(B204,Protocolo!$A$5:$A$54,0)),""))</f>
      </c>
      <c r="D204" s="16"/>
      <c r="E204" s="10"/>
      <c r="F204" s="10"/>
      <c r="G204" s="14">
        <f>IF(OR(B204="",D204=""),"",IFERROR(IF(INDEX(Protocolo!$D$5:$D$54,MATCH(B204,Protocolo!$A$5:$A$54,0))="meses",EDATE(D204,INDEX(Protocolo!$C$5:$C$54,MATCH(B204,Protocolo!$A$5:$A$54,0))),D204+INDEX(Protocolo!$C$5:$C$54,MATCH(B204,Protocolo!$A$5:$A$54,0))*IF(INDEX(Protocolo!$D$5:$D$54,MATCH(B204,Protocolo!$A$5:$A$54,0))="semanas",7,1)),""))</f>
      </c>
      <c r="H204" s="15">
        <f>IF(G204="","",G204-TODAY())</f>
      </c>
      <c r="I204" s="12">
        <f>IF(OR(A204="",B204="",D204=""),"",IF(D204=SUMPRODUCT(MAX(($A$5:$A$504=A204)*($B$5:$B$504=B204)*$D$5:$D$504)),"Sí","Reemplazada"))</f>
      </c>
      <c r="J204" s="12">
        <f>IF(I204="","",IF(I204="Reemplazada","Reemplazada",IF(H204="","Sin fecha",IF(H204&lt;0,"Vencida",IF(H204&lt;=IFERROR(IF(INDEX(Protocolo!$E$5:$E$54,MATCH(B204,Protocolo!$A$5:$A$54,0))="",30,INDEX(Protocolo!$E$5:$E$54,MATCH(B204,Protocolo!$A$5:$A$54,0))),30),"Por vencer","Vigente")))))</f>
      </c>
      <c r="K204" s="10"/>
    </row>
    <row r="205" spans="1:11" x14ac:dyDescent="0.25">
      <c r="A205" s="10"/>
      <c r="B205" s="10"/>
      <c r="C205" s="12">
        <f>IF(B205="","",IFERROR(INDEX(Protocolo!$B$5:$B$54,MATCH(B205,Protocolo!$A$5:$A$54,0)),""))</f>
      </c>
      <c r="D205" s="16"/>
      <c r="E205" s="10"/>
      <c r="F205" s="10"/>
      <c r="G205" s="14">
        <f>IF(OR(B205="",D205=""),"",IFERROR(IF(INDEX(Protocolo!$D$5:$D$54,MATCH(B205,Protocolo!$A$5:$A$54,0))="meses",EDATE(D205,INDEX(Protocolo!$C$5:$C$54,MATCH(B205,Protocolo!$A$5:$A$54,0))),D205+INDEX(Protocolo!$C$5:$C$54,MATCH(B205,Protocolo!$A$5:$A$54,0))*IF(INDEX(Protocolo!$D$5:$D$54,MATCH(B205,Protocolo!$A$5:$A$54,0))="semanas",7,1)),""))</f>
      </c>
      <c r="H205" s="15">
        <f>IF(G205="","",G205-TODAY())</f>
      </c>
      <c r="I205" s="12">
        <f>IF(OR(A205="",B205="",D205=""),"",IF(D205=SUMPRODUCT(MAX(($A$5:$A$504=A205)*($B$5:$B$504=B205)*$D$5:$D$504)),"Sí","Reemplazada"))</f>
      </c>
      <c r="J205" s="12">
        <f>IF(I205="","",IF(I205="Reemplazada","Reemplazada",IF(H205="","Sin fecha",IF(H205&lt;0,"Vencida",IF(H205&lt;=IFERROR(IF(INDEX(Protocolo!$E$5:$E$54,MATCH(B205,Protocolo!$A$5:$A$54,0))="",30,INDEX(Protocolo!$E$5:$E$54,MATCH(B205,Protocolo!$A$5:$A$54,0))),30),"Por vencer","Vigente")))))</f>
      </c>
      <c r="K205" s="10"/>
    </row>
    <row r="206" spans="1:11" x14ac:dyDescent="0.25">
      <c r="A206" s="10"/>
      <c r="B206" s="10"/>
      <c r="C206" s="12">
        <f>IF(B206="","",IFERROR(INDEX(Protocolo!$B$5:$B$54,MATCH(B206,Protocolo!$A$5:$A$54,0)),""))</f>
      </c>
      <c r="D206" s="16"/>
      <c r="E206" s="10"/>
      <c r="F206" s="10"/>
      <c r="G206" s="14">
        <f>IF(OR(B206="",D206=""),"",IFERROR(IF(INDEX(Protocolo!$D$5:$D$54,MATCH(B206,Protocolo!$A$5:$A$54,0))="meses",EDATE(D206,INDEX(Protocolo!$C$5:$C$54,MATCH(B206,Protocolo!$A$5:$A$54,0))),D206+INDEX(Protocolo!$C$5:$C$54,MATCH(B206,Protocolo!$A$5:$A$54,0))*IF(INDEX(Protocolo!$D$5:$D$54,MATCH(B206,Protocolo!$A$5:$A$54,0))="semanas",7,1)),""))</f>
      </c>
      <c r="H206" s="15">
        <f>IF(G206="","",G206-TODAY())</f>
      </c>
      <c r="I206" s="12">
        <f>IF(OR(A206="",B206="",D206=""),"",IF(D206=SUMPRODUCT(MAX(($A$5:$A$504=A206)*($B$5:$B$504=B206)*$D$5:$D$504)),"Sí","Reemplazada"))</f>
      </c>
      <c r="J206" s="12">
        <f>IF(I206="","",IF(I206="Reemplazada","Reemplazada",IF(H206="","Sin fecha",IF(H206&lt;0,"Vencida",IF(H206&lt;=IFERROR(IF(INDEX(Protocolo!$E$5:$E$54,MATCH(B206,Protocolo!$A$5:$A$54,0))="",30,INDEX(Protocolo!$E$5:$E$54,MATCH(B206,Protocolo!$A$5:$A$54,0))),30),"Por vencer","Vigente")))))</f>
      </c>
      <c r="K206" s="10"/>
    </row>
    <row r="207" spans="1:11" x14ac:dyDescent="0.25">
      <c r="A207" s="10"/>
      <c r="B207" s="10"/>
      <c r="C207" s="12">
        <f>IF(B207="","",IFERROR(INDEX(Protocolo!$B$5:$B$54,MATCH(B207,Protocolo!$A$5:$A$54,0)),""))</f>
      </c>
      <c r="D207" s="16"/>
      <c r="E207" s="10"/>
      <c r="F207" s="10"/>
      <c r="G207" s="14">
        <f>IF(OR(B207="",D207=""),"",IFERROR(IF(INDEX(Protocolo!$D$5:$D$54,MATCH(B207,Protocolo!$A$5:$A$54,0))="meses",EDATE(D207,INDEX(Protocolo!$C$5:$C$54,MATCH(B207,Protocolo!$A$5:$A$54,0))),D207+INDEX(Protocolo!$C$5:$C$54,MATCH(B207,Protocolo!$A$5:$A$54,0))*IF(INDEX(Protocolo!$D$5:$D$54,MATCH(B207,Protocolo!$A$5:$A$54,0))="semanas",7,1)),""))</f>
      </c>
      <c r="H207" s="15">
        <f>IF(G207="","",G207-TODAY())</f>
      </c>
      <c r="I207" s="12">
        <f>IF(OR(A207="",B207="",D207=""),"",IF(D207=SUMPRODUCT(MAX(($A$5:$A$504=A207)*($B$5:$B$504=B207)*$D$5:$D$504)),"Sí","Reemplazada"))</f>
      </c>
      <c r="J207" s="12">
        <f>IF(I207="","",IF(I207="Reemplazada","Reemplazada",IF(H207="","Sin fecha",IF(H207&lt;0,"Vencida",IF(H207&lt;=IFERROR(IF(INDEX(Protocolo!$E$5:$E$54,MATCH(B207,Protocolo!$A$5:$A$54,0))="",30,INDEX(Protocolo!$E$5:$E$54,MATCH(B207,Protocolo!$A$5:$A$54,0))),30),"Por vencer","Vigente")))))</f>
      </c>
      <c r="K207" s="10"/>
    </row>
    <row r="208" spans="1:11" x14ac:dyDescent="0.25">
      <c r="A208" s="10"/>
      <c r="B208" s="10"/>
      <c r="C208" s="12">
        <f>IF(B208="","",IFERROR(INDEX(Protocolo!$B$5:$B$54,MATCH(B208,Protocolo!$A$5:$A$54,0)),""))</f>
      </c>
      <c r="D208" s="16"/>
      <c r="E208" s="10"/>
      <c r="F208" s="10"/>
      <c r="G208" s="14">
        <f>IF(OR(B208="",D208=""),"",IFERROR(IF(INDEX(Protocolo!$D$5:$D$54,MATCH(B208,Protocolo!$A$5:$A$54,0))="meses",EDATE(D208,INDEX(Protocolo!$C$5:$C$54,MATCH(B208,Protocolo!$A$5:$A$54,0))),D208+INDEX(Protocolo!$C$5:$C$54,MATCH(B208,Protocolo!$A$5:$A$54,0))*IF(INDEX(Protocolo!$D$5:$D$54,MATCH(B208,Protocolo!$A$5:$A$54,0))="semanas",7,1)),""))</f>
      </c>
      <c r="H208" s="15">
        <f>IF(G208="","",G208-TODAY())</f>
      </c>
      <c r="I208" s="12">
        <f>IF(OR(A208="",B208="",D208=""),"",IF(D208=SUMPRODUCT(MAX(($A$5:$A$504=A208)*($B$5:$B$504=B208)*$D$5:$D$504)),"Sí","Reemplazada"))</f>
      </c>
      <c r="J208" s="12">
        <f>IF(I208="","",IF(I208="Reemplazada","Reemplazada",IF(H208="","Sin fecha",IF(H208&lt;0,"Vencida",IF(H208&lt;=IFERROR(IF(INDEX(Protocolo!$E$5:$E$54,MATCH(B208,Protocolo!$A$5:$A$54,0))="",30,INDEX(Protocolo!$E$5:$E$54,MATCH(B208,Protocolo!$A$5:$A$54,0))),30),"Por vencer","Vigente")))))</f>
      </c>
      <c r="K208" s="10"/>
    </row>
    <row r="209" spans="1:11" x14ac:dyDescent="0.25">
      <c r="A209" s="10"/>
      <c r="B209" s="10"/>
      <c r="C209" s="12">
        <f>IF(B209="","",IFERROR(INDEX(Protocolo!$B$5:$B$54,MATCH(B209,Protocolo!$A$5:$A$54,0)),""))</f>
      </c>
      <c r="D209" s="16"/>
      <c r="E209" s="10"/>
      <c r="F209" s="10"/>
      <c r="G209" s="14">
        <f>IF(OR(B209="",D209=""),"",IFERROR(IF(INDEX(Protocolo!$D$5:$D$54,MATCH(B209,Protocolo!$A$5:$A$54,0))="meses",EDATE(D209,INDEX(Protocolo!$C$5:$C$54,MATCH(B209,Protocolo!$A$5:$A$54,0))),D209+INDEX(Protocolo!$C$5:$C$54,MATCH(B209,Protocolo!$A$5:$A$54,0))*IF(INDEX(Protocolo!$D$5:$D$54,MATCH(B209,Protocolo!$A$5:$A$54,0))="semanas",7,1)),""))</f>
      </c>
      <c r="H209" s="15">
        <f>IF(G209="","",G209-TODAY())</f>
      </c>
      <c r="I209" s="12">
        <f>IF(OR(A209="",B209="",D209=""),"",IF(D209=SUMPRODUCT(MAX(($A$5:$A$504=A209)*($B$5:$B$504=B209)*$D$5:$D$504)),"Sí","Reemplazada"))</f>
      </c>
      <c r="J209" s="12">
        <f>IF(I209="","",IF(I209="Reemplazada","Reemplazada",IF(H209="","Sin fecha",IF(H209&lt;0,"Vencida",IF(H209&lt;=IFERROR(IF(INDEX(Protocolo!$E$5:$E$54,MATCH(B209,Protocolo!$A$5:$A$54,0))="",30,INDEX(Protocolo!$E$5:$E$54,MATCH(B209,Protocolo!$A$5:$A$54,0))),30),"Por vencer","Vigente")))))</f>
      </c>
      <c r="K209" s="10"/>
    </row>
    <row r="210" spans="1:11" x14ac:dyDescent="0.25">
      <c r="A210" s="10"/>
      <c r="B210" s="10"/>
      <c r="C210" s="12">
        <f>IF(B210="","",IFERROR(INDEX(Protocolo!$B$5:$B$54,MATCH(B210,Protocolo!$A$5:$A$54,0)),""))</f>
      </c>
      <c r="D210" s="16"/>
      <c r="E210" s="10"/>
      <c r="F210" s="10"/>
      <c r="G210" s="14">
        <f>IF(OR(B210="",D210=""),"",IFERROR(IF(INDEX(Protocolo!$D$5:$D$54,MATCH(B210,Protocolo!$A$5:$A$54,0))="meses",EDATE(D210,INDEX(Protocolo!$C$5:$C$54,MATCH(B210,Protocolo!$A$5:$A$54,0))),D210+INDEX(Protocolo!$C$5:$C$54,MATCH(B210,Protocolo!$A$5:$A$54,0))*IF(INDEX(Protocolo!$D$5:$D$54,MATCH(B210,Protocolo!$A$5:$A$54,0))="semanas",7,1)),""))</f>
      </c>
      <c r="H210" s="15">
        <f>IF(G210="","",G210-TODAY())</f>
      </c>
      <c r="I210" s="12">
        <f>IF(OR(A210="",B210="",D210=""),"",IF(D210=SUMPRODUCT(MAX(($A$5:$A$504=A210)*($B$5:$B$504=B210)*$D$5:$D$504)),"Sí","Reemplazada"))</f>
      </c>
      <c r="J210" s="12">
        <f>IF(I210="","",IF(I210="Reemplazada","Reemplazada",IF(H210="","Sin fecha",IF(H210&lt;0,"Vencida",IF(H210&lt;=IFERROR(IF(INDEX(Protocolo!$E$5:$E$54,MATCH(B210,Protocolo!$A$5:$A$54,0))="",30,INDEX(Protocolo!$E$5:$E$54,MATCH(B210,Protocolo!$A$5:$A$54,0))),30),"Por vencer","Vigente")))))</f>
      </c>
      <c r="K210" s="10"/>
    </row>
    <row r="211" spans="1:11" x14ac:dyDescent="0.25">
      <c r="A211" s="10"/>
      <c r="B211" s="10"/>
      <c r="C211" s="12">
        <f>IF(B211="","",IFERROR(INDEX(Protocolo!$B$5:$B$54,MATCH(B211,Protocolo!$A$5:$A$54,0)),""))</f>
      </c>
      <c r="D211" s="16"/>
      <c r="E211" s="10"/>
      <c r="F211" s="10"/>
      <c r="G211" s="14">
        <f>IF(OR(B211="",D211=""),"",IFERROR(IF(INDEX(Protocolo!$D$5:$D$54,MATCH(B211,Protocolo!$A$5:$A$54,0))="meses",EDATE(D211,INDEX(Protocolo!$C$5:$C$54,MATCH(B211,Protocolo!$A$5:$A$54,0))),D211+INDEX(Protocolo!$C$5:$C$54,MATCH(B211,Protocolo!$A$5:$A$54,0))*IF(INDEX(Protocolo!$D$5:$D$54,MATCH(B211,Protocolo!$A$5:$A$54,0))="semanas",7,1)),""))</f>
      </c>
      <c r="H211" s="15">
        <f>IF(G211="","",G211-TODAY())</f>
      </c>
      <c r="I211" s="12">
        <f>IF(OR(A211="",B211="",D211=""),"",IF(D211=SUMPRODUCT(MAX(($A$5:$A$504=A211)*($B$5:$B$504=B211)*$D$5:$D$504)),"Sí","Reemplazada"))</f>
      </c>
      <c r="J211" s="12">
        <f>IF(I211="","",IF(I211="Reemplazada","Reemplazada",IF(H211="","Sin fecha",IF(H211&lt;0,"Vencida",IF(H211&lt;=IFERROR(IF(INDEX(Protocolo!$E$5:$E$54,MATCH(B211,Protocolo!$A$5:$A$54,0))="",30,INDEX(Protocolo!$E$5:$E$54,MATCH(B211,Protocolo!$A$5:$A$54,0))),30),"Por vencer","Vigente")))))</f>
      </c>
      <c r="K211" s="10"/>
    </row>
    <row r="212" spans="1:11" x14ac:dyDescent="0.25">
      <c r="A212" s="10"/>
      <c r="B212" s="10"/>
      <c r="C212" s="12">
        <f>IF(B212="","",IFERROR(INDEX(Protocolo!$B$5:$B$54,MATCH(B212,Protocolo!$A$5:$A$54,0)),""))</f>
      </c>
      <c r="D212" s="16"/>
      <c r="E212" s="10"/>
      <c r="F212" s="10"/>
      <c r="G212" s="14">
        <f>IF(OR(B212="",D212=""),"",IFERROR(IF(INDEX(Protocolo!$D$5:$D$54,MATCH(B212,Protocolo!$A$5:$A$54,0))="meses",EDATE(D212,INDEX(Protocolo!$C$5:$C$54,MATCH(B212,Protocolo!$A$5:$A$54,0))),D212+INDEX(Protocolo!$C$5:$C$54,MATCH(B212,Protocolo!$A$5:$A$54,0))*IF(INDEX(Protocolo!$D$5:$D$54,MATCH(B212,Protocolo!$A$5:$A$54,0))="semanas",7,1)),""))</f>
      </c>
      <c r="H212" s="15">
        <f>IF(G212="","",G212-TODAY())</f>
      </c>
      <c r="I212" s="12">
        <f>IF(OR(A212="",B212="",D212=""),"",IF(D212=SUMPRODUCT(MAX(($A$5:$A$504=A212)*($B$5:$B$504=B212)*$D$5:$D$504)),"Sí","Reemplazada"))</f>
      </c>
      <c r="J212" s="12">
        <f>IF(I212="","",IF(I212="Reemplazada","Reemplazada",IF(H212="","Sin fecha",IF(H212&lt;0,"Vencida",IF(H212&lt;=IFERROR(IF(INDEX(Protocolo!$E$5:$E$54,MATCH(B212,Protocolo!$A$5:$A$54,0))="",30,INDEX(Protocolo!$E$5:$E$54,MATCH(B212,Protocolo!$A$5:$A$54,0))),30),"Por vencer","Vigente")))))</f>
      </c>
      <c r="K212" s="10"/>
    </row>
    <row r="213" spans="1:11" x14ac:dyDescent="0.25">
      <c r="A213" s="10"/>
      <c r="B213" s="10"/>
      <c r="C213" s="12">
        <f>IF(B213="","",IFERROR(INDEX(Protocolo!$B$5:$B$54,MATCH(B213,Protocolo!$A$5:$A$54,0)),""))</f>
      </c>
      <c r="D213" s="16"/>
      <c r="E213" s="10"/>
      <c r="F213" s="10"/>
      <c r="G213" s="14">
        <f>IF(OR(B213="",D213=""),"",IFERROR(IF(INDEX(Protocolo!$D$5:$D$54,MATCH(B213,Protocolo!$A$5:$A$54,0))="meses",EDATE(D213,INDEX(Protocolo!$C$5:$C$54,MATCH(B213,Protocolo!$A$5:$A$54,0))),D213+INDEX(Protocolo!$C$5:$C$54,MATCH(B213,Protocolo!$A$5:$A$54,0))*IF(INDEX(Protocolo!$D$5:$D$54,MATCH(B213,Protocolo!$A$5:$A$54,0))="semanas",7,1)),""))</f>
      </c>
      <c r="H213" s="15">
        <f>IF(G213="","",G213-TODAY())</f>
      </c>
      <c r="I213" s="12">
        <f>IF(OR(A213="",B213="",D213=""),"",IF(D213=SUMPRODUCT(MAX(($A$5:$A$504=A213)*($B$5:$B$504=B213)*$D$5:$D$504)),"Sí","Reemplazada"))</f>
      </c>
      <c r="J213" s="12">
        <f>IF(I213="","",IF(I213="Reemplazada","Reemplazada",IF(H213="","Sin fecha",IF(H213&lt;0,"Vencida",IF(H213&lt;=IFERROR(IF(INDEX(Protocolo!$E$5:$E$54,MATCH(B213,Protocolo!$A$5:$A$54,0))="",30,INDEX(Protocolo!$E$5:$E$54,MATCH(B213,Protocolo!$A$5:$A$54,0))),30),"Por vencer","Vigente")))))</f>
      </c>
      <c r="K213" s="10"/>
    </row>
    <row r="214" spans="1:11" x14ac:dyDescent="0.25">
      <c r="A214" s="10"/>
      <c r="B214" s="10"/>
      <c r="C214" s="12">
        <f>IF(B214="","",IFERROR(INDEX(Protocolo!$B$5:$B$54,MATCH(B214,Protocolo!$A$5:$A$54,0)),""))</f>
      </c>
      <c r="D214" s="16"/>
      <c r="E214" s="10"/>
      <c r="F214" s="10"/>
      <c r="G214" s="14">
        <f>IF(OR(B214="",D214=""),"",IFERROR(IF(INDEX(Protocolo!$D$5:$D$54,MATCH(B214,Protocolo!$A$5:$A$54,0))="meses",EDATE(D214,INDEX(Protocolo!$C$5:$C$54,MATCH(B214,Protocolo!$A$5:$A$54,0))),D214+INDEX(Protocolo!$C$5:$C$54,MATCH(B214,Protocolo!$A$5:$A$54,0))*IF(INDEX(Protocolo!$D$5:$D$54,MATCH(B214,Protocolo!$A$5:$A$54,0))="semanas",7,1)),""))</f>
      </c>
      <c r="H214" s="15">
        <f>IF(G214="","",G214-TODAY())</f>
      </c>
      <c r="I214" s="12">
        <f>IF(OR(A214="",B214="",D214=""),"",IF(D214=SUMPRODUCT(MAX(($A$5:$A$504=A214)*($B$5:$B$504=B214)*$D$5:$D$504)),"Sí","Reemplazada"))</f>
      </c>
      <c r="J214" s="12">
        <f>IF(I214="","",IF(I214="Reemplazada","Reemplazada",IF(H214="","Sin fecha",IF(H214&lt;0,"Vencida",IF(H214&lt;=IFERROR(IF(INDEX(Protocolo!$E$5:$E$54,MATCH(B214,Protocolo!$A$5:$A$54,0))="",30,INDEX(Protocolo!$E$5:$E$54,MATCH(B214,Protocolo!$A$5:$A$54,0))),30),"Por vencer","Vigente")))))</f>
      </c>
      <c r="K214" s="10"/>
    </row>
    <row r="215" spans="1:11" x14ac:dyDescent="0.25">
      <c r="A215" s="10"/>
      <c r="B215" s="10"/>
      <c r="C215" s="12">
        <f>IF(B215="","",IFERROR(INDEX(Protocolo!$B$5:$B$54,MATCH(B215,Protocolo!$A$5:$A$54,0)),""))</f>
      </c>
      <c r="D215" s="16"/>
      <c r="E215" s="10"/>
      <c r="F215" s="10"/>
      <c r="G215" s="14">
        <f>IF(OR(B215="",D215=""),"",IFERROR(IF(INDEX(Protocolo!$D$5:$D$54,MATCH(B215,Protocolo!$A$5:$A$54,0))="meses",EDATE(D215,INDEX(Protocolo!$C$5:$C$54,MATCH(B215,Protocolo!$A$5:$A$54,0))),D215+INDEX(Protocolo!$C$5:$C$54,MATCH(B215,Protocolo!$A$5:$A$54,0))*IF(INDEX(Protocolo!$D$5:$D$54,MATCH(B215,Protocolo!$A$5:$A$54,0))="semanas",7,1)),""))</f>
      </c>
      <c r="H215" s="15">
        <f>IF(G215="","",G215-TODAY())</f>
      </c>
      <c r="I215" s="12">
        <f>IF(OR(A215="",B215="",D215=""),"",IF(D215=SUMPRODUCT(MAX(($A$5:$A$504=A215)*($B$5:$B$504=B215)*$D$5:$D$504)),"Sí","Reemplazada"))</f>
      </c>
      <c r="J215" s="12">
        <f>IF(I215="","",IF(I215="Reemplazada","Reemplazada",IF(H215="","Sin fecha",IF(H215&lt;0,"Vencida",IF(H215&lt;=IFERROR(IF(INDEX(Protocolo!$E$5:$E$54,MATCH(B215,Protocolo!$A$5:$A$54,0))="",30,INDEX(Protocolo!$E$5:$E$54,MATCH(B215,Protocolo!$A$5:$A$54,0))),30),"Por vencer","Vigente")))))</f>
      </c>
      <c r="K215" s="10"/>
    </row>
    <row r="216" spans="1:11" x14ac:dyDescent="0.25">
      <c r="A216" s="10"/>
      <c r="B216" s="10"/>
      <c r="C216" s="12">
        <f>IF(B216="","",IFERROR(INDEX(Protocolo!$B$5:$B$54,MATCH(B216,Protocolo!$A$5:$A$54,0)),""))</f>
      </c>
      <c r="D216" s="16"/>
      <c r="E216" s="10"/>
      <c r="F216" s="10"/>
      <c r="G216" s="14">
        <f>IF(OR(B216="",D216=""),"",IFERROR(IF(INDEX(Protocolo!$D$5:$D$54,MATCH(B216,Protocolo!$A$5:$A$54,0))="meses",EDATE(D216,INDEX(Protocolo!$C$5:$C$54,MATCH(B216,Protocolo!$A$5:$A$54,0))),D216+INDEX(Protocolo!$C$5:$C$54,MATCH(B216,Protocolo!$A$5:$A$54,0))*IF(INDEX(Protocolo!$D$5:$D$54,MATCH(B216,Protocolo!$A$5:$A$54,0))="semanas",7,1)),""))</f>
      </c>
      <c r="H216" s="15">
        <f>IF(G216="","",G216-TODAY())</f>
      </c>
      <c r="I216" s="12">
        <f>IF(OR(A216="",B216="",D216=""),"",IF(D216=SUMPRODUCT(MAX(($A$5:$A$504=A216)*($B$5:$B$504=B216)*$D$5:$D$504)),"Sí","Reemplazada"))</f>
      </c>
      <c r="J216" s="12">
        <f>IF(I216="","",IF(I216="Reemplazada","Reemplazada",IF(H216="","Sin fecha",IF(H216&lt;0,"Vencida",IF(H216&lt;=IFERROR(IF(INDEX(Protocolo!$E$5:$E$54,MATCH(B216,Protocolo!$A$5:$A$54,0))="",30,INDEX(Protocolo!$E$5:$E$54,MATCH(B216,Protocolo!$A$5:$A$54,0))),30),"Por vencer","Vigente")))))</f>
      </c>
      <c r="K216" s="10"/>
    </row>
    <row r="217" spans="1:11" x14ac:dyDescent="0.25">
      <c r="A217" s="10"/>
      <c r="B217" s="10"/>
      <c r="C217" s="12">
        <f>IF(B217="","",IFERROR(INDEX(Protocolo!$B$5:$B$54,MATCH(B217,Protocolo!$A$5:$A$54,0)),""))</f>
      </c>
      <c r="D217" s="16"/>
      <c r="E217" s="10"/>
      <c r="F217" s="10"/>
      <c r="G217" s="14">
        <f>IF(OR(B217="",D217=""),"",IFERROR(IF(INDEX(Protocolo!$D$5:$D$54,MATCH(B217,Protocolo!$A$5:$A$54,0))="meses",EDATE(D217,INDEX(Protocolo!$C$5:$C$54,MATCH(B217,Protocolo!$A$5:$A$54,0))),D217+INDEX(Protocolo!$C$5:$C$54,MATCH(B217,Protocolo!$A$5:$A$54,0))*IF(INDEX(Protocolo!$D$5:$D$54,MATCH(B217,Protocolo!$A$5:$A$54,0))="semanas",7,1)),""))</f>
      </c>
      <c r="H217" s="15">
        <f>IF(G217="","",G217-TODAY())</f>
      </c>
      <c r="I217" s="12">
        <f>IF(OR(A217="",B217="",D217=""),"",IF(D217=SUMPRODUCT(MAX(($A$5:$A$504=A217)*($B$5:$B$504=B217)*$D$5:$D$504)),"Sí","Reemplazada"))</f>
      </c>
      <c r="J217" s="12">
        <f>IF(I217="","",IF(I217="Reemplazada","Reemplazada",IF(H217="","Sin fecha",IF(H217&lt;0,"Vencida",IF(H217&lt;=IFERROR(IF(INDEX(Protocolo!$E$5:$E$54,MATCH(B217,Protocolo!$A$5:$A$54,0))="",30,INDEX(Protocolo!$E$5:$E$54,MATCH(B217,Protocolo!$A$5:$A$54,0))),30),"Por vencer","Vigente")))))</f>
      </c>
      <c r="K217" s="10"/>
    </row>
    <row r="218" spans="1:11" x14ac:dyDescent="0.25">
      <c r="A218" s="10"/>
      <c r="B218" s="10"/>
      <c r="C218" s="12">
        <f>IF(B218="","",IFERROR(INDEX(Protocolo!$B$5:$B$54,MATCH(B218,Protocolo!$A$5:$A$54,0)),""))</f>
      </c>
      <c r="D218" s="16"/>
      <c r="E218" s="10"/>
      <c r="F218" s="10"/>
      <c r="G218" s="14">
        <f>IF(OR(B218="",D218=""),"",IFERROR(IF(INDEX(Protocolo!$D$5:$D$54,MATCH(B218,Protocolo!$A$5:$A$54,0))="meses",EDATE(D218,INDEX(Protocolo!$C$5:$C$54,MATCH(B218,Protocolo!$A$5:$A$54,0))),D218+INDEX(Protocolo!$C$5:$C$54,MATCH(B218,Protocolo!$A$5:$A$54,0))*IF(INDEX(Protocolo!$D$5:$D$54,MATCH(B218,Protocolo!$A$5:$A$54,0))="semanas",7,1)),""))</f>
      </c>
      <c r="H218" s="15">
        <f>IF(G218="","",G218-TODAY())</f>
      </c>
      <c r="I218" s="12">
        <f>IF(OR(A218="",B218="",D218=""),"",IF(D218=SUMPRODUCT(MAX(($A$5:$A$504=A218)*($B$5:$B$504=B218)*$D$5:$D$504)),"Sí","Reemplazada"))</f>
      </c>
      <c r="J218" s="12">
        <f>IF(I218="","",IF(I218="Reemplazada","Reemplazada",IF(H218="","Sin fecha",IF(H218&lt;0,"Vencida",IF(H218&lt;=IFERROR(IF(INDEX(Protocolo!$E$5:$E$54,MATCH(B218,Protocolo!$A$5:$A$54,0))="",30,INDEX(Protocolo!$E$5:$E$54,MATCH(B218,Protocolo!$A$5:$A$54,0))),30),"Por vencer","Vigente")))))</f>
      </c>
      <c r="K218" s="10"/>
    </row>
    <row r="219" spans="1:11" x14ac:dyDescent="0.25">
      <c r="A219" s="10"/>
      <c r="B219" s="10"/>
      <c r="C219" s="12">
        <f>IF(B219="","",IFERROR(INDEX(Protocolo!$B$5:$B$54,MATCH(B219,Protocolo!$A$5:$A$54,0)),""))</f>
      </c>
      <c r="D219" s="16"/>
      <c r="E219" s="10"/>
      <c r="F219" s="10"/>
      <c r="G219" s="14">
        <f>IF(OR(B219="",D219=""),"",IFERROR(IF(INDEX(Protocolo!$D$5:$D$54,MATCH(B219,Protocolo!$A$5:$A$54,0))="meses",EDATE(D219,INDEX(Protocolo!$C$5:$C$54,MATCH(B219,Protocolo!$A$5:$A$54,0))),D219+INDEX(Protocolo!$C$5:$C$54,MATCH(B219,Protocolo!$A$5:$A$54,0))*IF(INDEX(Protocolo!$D$5:$D$54,MATCH(B219,Protocolo!$A$5:$A$54,0))="semanas",7,1)),""))</f>
      </c>
      <c r="H219" s="15">
        <f>IF(G219="","",G219-TODAY())</f>
      </c>
      <c r="I219" s="12">
        <f>IF(OR(A219="",B219="",D219=""),"",IF(D219=SUMPRODUCT(MAX(($A$5:$A$504=A219)*($B$5:$B$504=B219)*$D$5:$D$504)),"Sí","Reemplazada"))</f>
      </c>
      <c r="J219" s="12">
        <f>IF(I219="","",IF(I219="Reemplazada","Reemplazada",IF(H219="","Sin fecha",IF(H219&lt;0,"Vencida",IF(H219&lt;=IFERROR(IF(INDEX(Protocolo!$E$5:$E$54,MATCH(B219,Protocolo!$A$5:$A$54,0))="",30,INDEX(Protocolo!$E$5:$E$54,MATCH(B219,Protocolo!$A$5:$A$54,0))),30),"Por vencer","Vigente")))))</f>
      </c>
      <c r="K219" s="10"/>
    </row>
    <row r="220" spans="1:11" x14ac:dyDescent="0.25">
      <c r="A220" s="10"/>
      <c r="B220" s="10"/>
      <c r="C220" s="12">
        <f>IF(B220="","",IFERROR(INDEX(Protocolo!$B$5:$B$54,MATCH(B220,Protocolo!$A$5:$A$54,0)),""))</f>
      </c>
      <c r="D220" s="16"/>
      <c r="E220" s="10"/>
      <c r="F220" s="10"/>
      <c r="G220" s="14">
        <f>IF(OR(B220="",D220=""),"",IFERROR(IF(INDEX(Protocolo!$D$5:$D$54,MATCH(B220,Protocolo!$A$5:$A$54,0))="meses",EDATE(D220,INDEX(Protocolo!$C$5:$C$54,MATCH(B220,Protocolo!$A$5:$A$54,0))),D220+INDEX(Protocolo!$C$5:$C$54,MATCH(B220,Protocolo!$A$5:$A$54,0))*IF(INDEX(Protocolo!$D$5:$D$54,MATCH(B220,Protocolo!$A$5:$A$54,0))="semanas",7,1)),""))</f>
      </c>
      <c r="H220" s="15">
        <f>IF(G220="","",G220-TODAY())</f>
      </c>
      <c r="I220" s="12">
        <f>IF(OR(A220="",B220="",D220=""),"",IF(D220=SUMPRODUCT(MAX(($A$5:$A$504=A220)*($B$5:$B$504=B220)*$D$5:$D$504)),"Sí","Reemplazada"))</f>
      </c>
      <c r="J220" s="12">
        <f>IF(I220="","",IF(I220="Reemplazada","Reemplazada",IF(H220="","Sin fecha",IF(H220&lt;0,"Vencida",IF(H220&lt;=IFERROR(IF(INDEX(Protocolo!$E$5:$E$54,MATCH(B220,Protocolo!$A$5:$A$54,0))="",30,INDEX(Protocolo!$E$5:$E$54,MATCH(B220,Protocolo!$A$5:$A$54,0))),30),"Por vencer","Vigente")))))</f>
      </c>
      <c r="K220" s="10"/>
    </row>
    <row r="221" spans="1:11" x14ac:dyDescent="0.25">
      <c r="A221" s="10"/>
      <c r="B221" s="10"/>
      <c r="C221" s="12">
        <f>IF(B221="","",IFERROR(INDEX(Protocolo!$B$5:$B$54,MATCH(B221,Protocolo!$A$5:$A$54,0)),""))</f>
      </c>
      <c r="D221" s="16"/>
      <c r="E221" s="10"/>
      <c r="F221" s="10"/>
      <c r="G221" s="14">
        <f>IF(OR(B221="",D221=""),"",IFERROR(IF(INDEX(Protocolo!$D$5:$D$54,MATCH(B221,Protocolo!$A$5:$A$54,0))="meses",EDATE(D221,INDEX(Protocolo!$C$5:$C$54,MATCH(B221,Protocolo!$A$5:$A$54,0))),D221+INDEX(Protocolo!$C$5:$C$54,MATCH(B221,Protocolo!$A$5:$A$54,0))*IF(INDEX(Protocolo!$D$5:$D$54,MATCH(B221,Protocolo!$A$5:$A$54,0))="semanas",7,1)),""))</f>
      </c>
      <c r="H221" s="15">
        <f>IF(G221="","",G221-TODAY())</f>
      </c>
      <c r="I221" s="12">
        <f>IF(OR(A221="",B221="",D221=""),"",IF(D221=SUMPRODUCT(MAX(($A$5:$A$504=A221)*($B$5:$B$504=B221)*$D$5:$D$504)),"Sí","Reemplazada"))</f>
      </c>
      <c r="J221" s="12">
        <f>IF(I221="","",IF(I221="Reemplazada","Reemplazada",IF(H221="","Sin fecha",IF(H221&lt;0,"Vencida",IF(H221&lt;=IFERROR(IF(INDEX(Protocolo!$E$5:$E$54,MATCH(B221,Protocolo!$A$5:$A$54,0))="",30,INDEX(Protocolo!$E$5:$E$54,MATCH(B221,Protocolo!$A$5:$A$54,0))),30),"Por vencer","Vigente")))))</f>
      </c>
      <c r="K221" s="10"/>
    </row>
    <row r="222" spans="1:11" x14ac:dyDescent="0.25">
      <c r="A222" s="10"/>
      <c r="B222" s="10"/>
      <c r="C222" s="12">
        <f>IF(B222="","",IFERROR(INDEX(Protocolo!$B$5:$B$54,MATCH(B222,Protocolo!$A$5:$A$54,0)),""))</f>
      </c>
      <c r="D222" s="16"/>
      <c r="E222" s="10"/>
      <c r="F222" s="10"/>
      <c r="G222" s="14">
        <f>IF(OR(B222="",D222=""),"",IFERROR(IF(INDEX(Protocolo!$D$5:$D$54,MATCH(B222,Protocolo!$A$5:$A$54,0))="meses",EDATE(D222,INDEX(Protocolo!$C$5:$C$54,MATCH(B222,Protocolo!$A$5:$A$54,0))),D222+INDEX(Protocolo!$C$5:$C$54,MATCH(B222,Protocolo!$A$5:$A$54,0))*IF(INDEX(Protocolo!$D$5:$D$54,MATCH(B222,Protocolo!$A$5:$A$54,0))="semanas",7,1)),""))</f>
      </c>
      <c r="H222" s="15">
        <f>IF(G222="","",G222-TODAY())</f>
      </c>
      <c r="I222" s="12">
        <f>IF(OR(A222="",B222="",D222=""),"",IF(D222=SUMPRODUCT(MAX(($A$5:$A$504=A222)*($B$5:$B$504=B222)*$D$5:$D$504)),"Sí","Reemplazada"))</f>
      </c>
      <c r="J222" s="12">
        <f>IF(I222="","",IF(I222="Reemplazada","Reemplazada",IF(H222="","Sin fecha",IF(H222&lt;0,"Vencida",IF(H222&lt;=IFERROR(IF(INDEX(Protocolo!$E$5:$E$54,MATCH(B222,Protocolo!$A$5:$A$54,0))="",30,INDEX(Protocolo!$E$5:$E$54,MATCH(B222,Protocolo!$A$5:$A$54,0))),30),"Por vencer","Vigente")))))</f>
      </c>
      <c r="K222" s="10"/>
    </row>
    <row r="223" spans="1:11" x14ac:dyDescent="0.25">
      <c r="A223" s="10"/>
      <c r="B223" s="10"/>
      <c r="C223" s="12">
        <f>IF(B223="","",IFERROR(INDEX(Protocolo!$B$5:$B$54,MATCH(B223,Protocolo!$A$5:$A$54,0)),""))</f>
      </c>
      <c r="D223" s="16"/>
      <c r="E223" s="10"/>
      <c r="F223" s="10"/>
      <c r="G223" s="14">
        <f>IF(OR(B223="",D223=""),"",IFERROR(IF(INDEX(Protocolo!$D$5:$D$54,MATCH(B223,Protocolo!$A$5:$A$54,0))="meses",EDATE(D223,INDEX(Protocolo!$C$5:$C$54,MATCH(B223,Protocolo!$A$5:$A$54,0))),D223+INDEX(Protocolo!$C$5:$C$54,MATCH(B223,Protocolo!$A$5:$A$54,0))*IF(INDEX(Protocolo!$D$5:$D$54,MATCH(B223,Protocolo!$A$5:$A$54,0))="semanas",7,1)),""))</f>
      </c>
      <c r="H223" s="15">
        <f>IF(G223="","",G223-TODAY())</f>
      </c>
      <c r="I223" s="12">
        <f>IF(OR(A223="",B223="",D223=""),"",IF(D223=SUMPRODUCT(MAX(($A$5:$A$504=A223)*($B$5:$B$504=B223)*$D$5:$D$504)),"Sí","Reemplazada"))</f>
      </c>
      <c r="J223" s="12">
        <f>IF(I223="","",IF(I223="Reemplazada","Reemplazada",IF(H223="","Sin fecha",IF(H223&lt;0,"Vencida",IF(H223&lt;=IFERROR(IF(INDEX(Protocolo!$E$5:$E$54,MATCH(B223,Protocolo!$A$5:$A$54,0))="",30,INDEX(Protocolo!$E$5:$E$54,MATCH(B223,Protocolo!$A$5:$A$54,0))),30),"Por vencer","Vigente")))))</f>
      </c>
      <c r="K223" s="10"/>
    </row>
    <row r="224" spans="1:11" x14ac:dyDescent="0.25">
      <c r="A224" s="10"/>
      <c r="B224" s="10"/>
      <c r="C224" s="12">
        <f>IF(B224="","",IFERROR(INDEX(Protocolo!$B$5:$B$54,MATCH(B224,Protocolo!$A$5:$A$54,0)),""))</f>
      </c>
      <c r="D224" s="16"/>
      <c r="E224" s="10"/>
      <c r="F224" s="10"/>
      <c r="G224" s="14">
        <f>IF(OR(B224="",D224=""),"",IFERROR(IF(INDEX(Protocolo!$D$5:$D$54,MATCH(B224,Protocolo!$A$5:$A$54,0))="meses",EDATE(D224,INDEX(Protocolo!$C$5:$C$54,MATCH(B224,Protocolo!$A$5:$A$54,0))),D224+INDEX(Protocolo!$C$5:$C$54,MATCH(B224,Protocolo!$A$5:$A$54,0))*IF(INDEX(Protocolo!$D$5:$D$54,MATCH(B224,Protocolo!$A$5:$A$54,0))="semanas",7,1)),""))</f>
      </c>
      <c r="H224" s="15">
        <f>IF(G224="","",G224-TODAY())</f>
      </c>
      <c r="I224" s="12">
        <f>IF(OR(A224="",B224="",D224=""),"",IF(D224=SUMPRODUCT(MAX(($A$5:$A$504=A224)*($B$5:$B$504=B224)*$D$5:$D$504)),"Sí","Reemplazada"))</f>
      </c>
      <c r="J224" s="12">
        <f>IF(I224="","",IF(I224="Reemplazada","Reemplazada",IF(H224="","Sin fecha",IF(H224&lt;0,"Vencida",IF(H224&lt;=IFERROR(IF(INDEX(Protocolo!$E$5:$E$54,MATCH(B224,Protocolo!$A$5:$A$54,0))="",30,INDEX(Protocolo!$E$5:$E$54,MATCH(B224,Protocolo!$A$5:$A$54,0))),30),"Por vencer","Vigente")))))</f>
      </c>
      <c r="K224" s="10"/>
    </row>
    <row r="225" spans="1:11" x14ac:dyDescent="0.25">
      <c r="A225" s="10"/>
      <c r="B225" s="10"/>
      <c r="C225" s="12">
        <f>IF(B225="","",IFERROR(INDEX(Protocolo!$B$5:$B$54,MATCH(B225,Protocolo!$A$5:$A$54,0)),""))</f>
      </c>
      <c r="D225" s="16"/>
      <c r="E225" s="10"/>
      <c r="F225" s="10"/>
      <c r="G225" s="14">
        <f>IF(OR(B225="",D225=""),"",IFERROR(IF(INDEX(Protocolo!$D$5:$D$54,MATCH(B225,Protocolo!$A$5:$A$54,0))="meses",EDATE(D225,INDEX(Protocolo!$C$5:$C$54,MATCH(B225,Protocolo!$A$5:$A$54,0))),D225+INDEX(Protocolo!$C$5:$C$54,MATCH(B225,Protocolo!$A$5:$A$54,0))*IF(INDEX(Protocolo!$D$5:$D$54,MATCH(B225,Protocolo!$A$5:$A$54,0))="semanas",7,1)),""))</f>
      </c>
      <c r="H225" s="15">
        <f>IF(G225="","",G225-TODAY())</f>
      </c>
      <c r="I225" s="12">
        <f>IF(OR(A225="",B225="",D225=""),"",IF(D225=SUMPRODUCT(MAX(($A$5:$A$504=A225)*($B$5:$B$504=B225)*$D$5:$D$504)),"Sí","Reemplazada"))</f>
      </c>
      <c r="J225" s="12">
        <f>IF(I225="","",IF(I225="Reemplazada","Reemplazada",IF(H225="","Sin fecha",IF(H225&lt;0,"Vencida",IF(H225&lt;=IFERROR(IF(INDEX(Protocolo!$E$5:$E$54,MATCH(B225,Protocolo!$A$5:$A$54,0))="",30,INDEX(Protocolo!$E$5:$E$54,MATCH(B225,Protocolo!$A$5:$A$54,0))),30),"Por vencer","Vigente")))))</f>
      </c>
      <c r="K225" s="10"/>
    </row>
    <row r="226" spans="1:11" x14ac:dyDescent="0.25">
      <c r="A226" s="10"/>
      <c r="B226" s="10"/>
      <c r="C226" s="12">
        <f>IF(B226="","",IFERROR(INDEX(Protocolo!$B$5:$B$54,MATCH(B226,Protocolo!$A$5:$A$54,0)),""))</f>
      </c>
      <c r="D226" s="16"/>
      <c r="E226" s="10"/>
      <c r="F226" s="10"/>
      <c r="G226" s="14">
        <f>IF(OR(B226="",D226=""),"",IFERROR(IF(INDEX(Protocolo!$D$5:$D$54,MATCH(B226,Protocolo!$A$5:$A$54,0))="meses",EDATE(D226,INDEX(Protocolo!$C$5:$C$54,MATCH(B226,Protocolo!$A$5:$A$54,0))),D226+INDEX(Protocolo!$C$5:$C$54,MATCH(B226,Protocolo!$A$5:$A$54,0))*IF(INDEX(Protocolo!$D$5:$D$54,MATCH(B226,Protocolo!$A$5:$A$54,0))="semanas",7,1)),""))</f>
      </c>
      <c r="H226" s="15">
        <f>IF(G226="","",G226-TODAY())</f>
      </c>
      <c r="I226" s="12">
        <f>IF(OR(A226="",B226="",D226=""),"",IF(D226=SUMPRODUCT(MAX(($A$5:$A$504=A226)*($B$5:$B$504=B226)*$D$5:$D$504)),"Sí","Reemplazada"))</f>
      </c>
      <c r="J226" s="12">
        <f>IF(I226="","",IF(I226="Reemplazada","Reemplazada",IF(H226="","Sin fecha",IF(H226&lt;0,"Vencida",IF(H226&lt;=IFERROR(IF(INDEX(Protocolo!$E$5:$E$54,MATCH(B226,Protocolo!$A$5:$A$54,0))="",30,INDEX(Protocolo!$E$5:$E$54,MATCH(B226,Protocolo!$A$5:$A$54,0))),30),"Por vencer","Vigente")))))</f>
      </c>
      <c r="K226" s="10"/>
    </row>
    <row r="227" spans="1:11" x14ac:dyDescent="0.25">
      <c r="A227" s="10"/>
      <c r="B227" s="10"/>
      <c r="C227" s="12">
        <f>IF(B227="","",IFERROR(INDEX(Protocolo!$B$5:$B$54,MATCH(B227,Protocolo!$A$5:$A$54,0)),""))</f>
      </c>
      <c r="D227" s="16"/>
      <c r="E227" s="10"/>
      <c r="F227" s="10"/>
      <c r="G227" s="14">
        <f>IF(OR(B227="",D227=""),"",IFERROR(IF(INDEX(Protocolo!$D$5:$D$54,MATCH(B227,Protocolo!$A$5:$A$54,0))="meses",EDATE(D227,INDEX(Protocolo!$C$5:$C$54,MATCH(B227,Protocolo!$A$5:$A$54,0))),D227+INDEX(Protocolo!$C$5:$C$54,MATCH(B227,Protocolo!$A$5:$A$54,0))*IF(INDEX(Protocolo!$D$5:$D$54,MATCH(B227,Protocolo!$A$5:$A$54,0))="semanas",7,1)),""))</f>
      </c>
      <c r="H227" s="15">
        <f>IF(G227="","",G227-TODAY())</f>
      </c>
      <c r="I227" s="12">
        <f>IF(OR(A227="",B227="",D227=""),"",IF(D227=SUMPRODUCT(MAX(($A$5:$A$504=A227)*($B$5:$B$504=B227)*$D$5:$D$504)),"Sí","Reemplazada"))</f>
      </c>
      <c r="J227" s="12">
        <f>IF(I227="","",IF(I227="Reemplazada","Reemplazada",IF(H227="","Sin fecha",IF(H227&lt;0,"Vencida",IF(H227&lt;=IFERROR(IF(INDEX(Protocolo!$E$5:$E$54,MATCH(B227,Protocolo!$A$5:$A$54,0))="",30,INDEX(Protocolo!$E$5:$E$54,MATCH(B227,Protocolo!$A$5:$A$54,0))),30),"Por vencer","Vigente")))))</f>
      </c>
      <c r="K227" s="10"/>
    </row>
    <row r="228" spans="1:11" x14ac:dyDescent="0.25">
      <c r="A228" s="10"/>
      <c r="B228" s="10"/>
      <c r="C228" s="12">
        <f>IF(B228="","",IFERROR(INDEX(Protocolo!$B$5:$B$54,MATCH(B228,Protocolo!$A$5:$A$54,0)),""))</f>
      </c>
      <c r="D228" s="16"/>
      <c r="E228" s="10"/>
      <c r="F228" s="10"/>
      <c r="G228" s="14">
        <f>IF(OR(B228="",D228=""),"",IFERROR(IF(INDEX(Protocolo!$D$5:$D$54,MATCH(B228,Protocolo!$A$5:$A$54,0))="meses",EDATE(D228,INDEX(Protocolo!$C$5:$C$54,MATCH(B228,Protocolo!$A$5:$A$54,0))),D228+INDEX(Protocolo!$C$5:$C$54,MATCH(B228,Protocolo!$A$5:$A$54,0))*IF(INDEX(Protocolo!$D$5:$D$54,MATCH(B228,Protocolo!$A$5:$A$54,0))="semanas",7,1)),""))</f>
      </c>
      <c r="H228" s="15">
        <f>IF(G228="","",G228-TODAY())</f>
      </c>
      <c r="I228" s="12">
        <f>IF(OR(A228="",B228="",D228=""),"",IF(D228=SUMPRODUCT(MAX(($A$5:$A$504=A228)*($B$5:$B$504=B228)*$D$5:$D$504)),"Sí","Reemplazada"))</f>
      </c>
      <c r="J228" s="12">
        <f>IF(I228="","",IF(I228="Reemplazada","Reemplazada",IF(H228="","Sin fecha",IF(H228&lt;0,"Vencida",IF(H228&lt;=IFERROR(IF(INDEX(Protocolo!$E$5:$E$54,MATCH(B228,Protocolo!$A$5:$A$54,0))="",30,INDEX(Protocolo!$E$5:$E$54,MATCH(B228,Protocolo!$A$5:$A$54,0))),30),"Por vencer","Vigente")))))</f>
      </c>
      <c r="K228" s="10"/>
    </row>
    <row r="229" spans="1:11" x14ac:dyDescent="0.25">
      <c r="A229" s="10"/>
      <c r="B229" s="10"/>
      <c r="C229" s="12">
        <f>IF(B229="","",IFERROR(INDEX(Protocolo!$B$5:$B$54,MATCH(B229,Protocolo!$A$5:$A$54,0)),""))</f>
      </c>
      <c r="D229" s="16"/>
      <c r="E229" s="10"/>
      <c r="F229" s="10"/>
      <c r="G229" s="14">
        <f>IF(OR(B229="",D229=""),"",IFERROR(IF(INDEX(Protocolo!$D$5:$D$54,MATCH(B229,Protocolo!$A$5:$A$54,0))="meses",EDATE(D229,INDEX(Protocolo!$C$5:$C$54,MATCH(B229,Protocolo!$A$5:$A$54,0))),D229+INDEX(Protocolo!$C$5:$C$54,MATCH(B229,Protocolo!$A$5:$A$54,0))*IF(INDEX(Protocolo!$D$5:$D$54,MATCH(B229,Protocolo!$A$5:$A$54,0))="semanas",7,1)),""))</f>
      </c>
      <c r="H229" s="15">
        <f>IF(G229="","",G229-TODAY())</f>
      </c>
      <c r="I229" s="12">
        <f>IF(OR(A229="",B229="",D229=""),"",IF(D229=SUMPRODUCT(MAX(($A$5:$A$504=A229)*($B$5:$B$504=B229)*$D$5:$D$504)),"Sí","Reemplazada"))</f>
      </c>
      <c r="J229" s="12">
        <f>IF(I229="","",IF(I229="Reemplazada","Reemplazada",IF(H229="","Sin fecha",IF(H229&lt;0,"Vencida",IF(H229&lt;=IFERROR(IF(INDEX(Protocolo!$E$5:$E$54,MATCH(B229,Protocolo!$A$5:$A$54,0))="",30,INDEX(Protocolo!$E$5:$E$54,MATCH(B229,Protocolo!$A$5:$A$54,0))),30),"Por vencer","Vigente")))))</f>
      </c>
      <c r="K229" s="10"/>
    </row>
    <row r="230" spans="1:11" x14ac:dyDescent="0.25">
      <c r="A230" s="10"/>
      <c r="B230" s="10"/>
      <c r="C230" s="12">
        <f>IF(B230="","",IFERROR(INDEX(Protocolo!$B$5:$B$54,MATCH(B230,Protocolo!$A$5:$A$54,0)),""))</f>
      </c>
      <c r="D230" s="16"/>
      <c r="E230" s="10"/>
      <c r="F230" s="10"/>
      <c r="G230" s="14">
        <f>IF(OR(B230="",D230=""),"",IFERROR(IF(INDEX(Protocolo!$D$5:$D$54,MATCH(B230,Protocolo!$A$5:$A$54,0))="meses",EDATE(D230,INDEX(Protocolo!$C$5:$C$54,MATCH(B230,Protocolo!$A$5:$A$54,0))),D230+INDEX(Protocolo!$C$5:$C$54,MATCH(B230,Protocolo!$A$5:$A$54,0))*IF(INDEX(Protocolo!$D$5:$D$54,MATCH(B230,Protocolo!$A$5:$A$54,0))="semanas",7,1)),""))</f>
      </c>
      <c r="H230" s="15">
        <f>IF(G230="","",G230-TODAY())</f>
      </c>
      <c r="I230" s="12">
        <f>IF(OR(A230="",B230="",D230=""),"",IF(D230=SUMPRODUCT(MAX(($A$5:$A$504=A230)*($B$5:$B$504=B230)*$D$5:$D$504)),"Sí","Reemplazada"))</f>
      </c>
      <c r="J230" s="12">
        <f>IF(I230="","",IF(I230="Reemplazada","Reemplazada",IF(H230="","Sin fecha",IF(H230&lt;0,"Vencida",IF(H230&lt;=IFERROR(IF(INDEX(Protocolo!$E$5:$E$54,MATCH(B230,Protocolo!$A$5:$A$54,0))="",30,INDEX(Protocolo!$E$5:$E$54,MATCH(B230,Protocolo!$A$5:$A$54,0))),30),"Por vencer","Vigente")))))</f>
      </c>
      <c r="K230" s="10"/>
    </row>
    <row r="231" spans="1:11" x14ac:dyDescent="0.25">
      <c r="A231" s="10"/>
      <c r="B231" s="10"/>
      <c r="C231" s="12">
        <f>IF(B231="","",IFERROR(INDEX(Protocolo!$B$5:$B$54,MATCH(B231,Protocolo!$A$5:$A$54,0)),""))</f>
      </c>
      <c r="D231" s="16"/>
      <c r="E231" s="10"/>
      <c r="F231" s="10"/>
      <c r="G231" s="14">
        <f>IF(OR(B231="",D231=""),"",IFERROR(IF(INDEX(Protocolo!$D$5:$D$54,MATCH(B231,Protocolo!$A$5:$A$54,0))="meses",EDATE(D231,INDEX(Protocolo!$C$5:$C$54,MATCH(B231,Protocolo!$A$5:$A$54,0))),D231+INDEX(Protocolo!$C$5:$C$54,MATCH(B231,Protocolo!$A$5:$A$54,0))*IF(INDEX(Protocolo!$D$5:$D$54,MATCH(B231,Protocolo!$A$5:$A$54,0))="semanas",7,1)),""))</f>
      </c>
      <c r="H231" s="15">
        <f>IF(G231="","",G231-TODAY())</f>
      </c>
      <c r="I231" s="12">
        <f>IF(OR(A231="",B231="",D231=""),"",IF(D231=SUMPRODUCT(MAX(($A$5:$A$504=A231)*($B$5:$B$504=B231)*$D$5:$D$504)),"Sí","Reemplazada"))</f>
      </c>
      <c r="J231" s="12">
        <f>IF(I231="","",IF(I231="Reemplazada","Reemplazada",IF(H231="","Sin fecha",IF(H231&lt;0,"Vencida",IF(H231&lt;=IFERROR(IF(INDEX(Protocolo!$E$5:$E$54,MATCH(B231,Protocolo!$A$5:$A$54,0))="",30,INDEX(Protocolo!$E$5:$E$54,MATCH(B231,Protocolo!$A$5:$A$54,0))),30),"Por vencer","Vigente")))))</f>
      </c>
      <c r="K231" s="10"/>
    </row>
    <row r="232" spans="1:11" x14ac:dyDescent="0.25">
      <c r="A232" s="10"/>
      <c r="B232" s="10"/>
      <c r="C232" s="12">
        <f>IF(B232="","",IFERROR(INDEX(Protocolo!$B$5:$B$54,MATCH(B232,Protocolo!$A$5:$A$54,0)),""))</f>
      </c>
      <c r="D232" s="16"/>
      <c r="E232" s="10"/>
      <c r="F232" s="10"/>
      <c r="G232" s="14">
        <f>IF(OR(B232="",D232=""),"",IFERROR(IF(INDEX(Protocolo!$D$5:$D$54,MATCH(B232,Protocolo!$A$5:$A$54,0))="meses",EDATE(D232,INDEX(Protocolo!$C$5:$C$54,MATCH(B232,Protocolo!$A$5:$A$54,0))),D232+INDEX(Protocolo!$C$5:$C$54,MATCH(B232,Protocolo!$A$5:$A$54,0))*IF(INDEX(Protocolo!$D$5:$D$54,MATCH(B232,Protocolo!$A$5:$A$54,0))="semanas",7,1)),""))</f>
      </c>
      <c r="H232" s="15">
        <f>IF(G232="","",G232-TODAY())</f>
      </c>
      <c r="I232" s="12">
        <f>IF(OR(A232="",B232="",D232=""),"",IF(D232=SUMPRODUCT(MAX(($A$5:$A$504=A232)*($B$5:$B$504=B232)*$D$5:$D$504)),"Sí","Reemplazada"))</f>
      </c>
      <c r="J232" s="12">
        <f>IF(I232="","",IF(I232="Reemplazada","Reemplazada",IF(H232="","Sin fecha",IF(H232&lt;0,"Vencida",IF(H232&lt;=IFERROR(IF(INDEX(Protocolo!$E$5:$E$54,MATCH(B232,Protocolo!$A$5:$A$54,0))="",30,INDEX(Protocolo!$E$5:$E$54,MATCH(B232,Protocolo!$A$5:$A$54,0))),30),"Por vencer","Vigente")))))</f>
      </c>
      <c r="K232" s="10"/>
    </row>
    <row r="233" spans="1:11" x14ac:dyDescent="0.25">
      <c r="A233" s="10"/>
      <c r="B233" s="10"/>
      <c r="C233" s="12">
        <f>IF(B233="","",IFERROR(INDEX(Protocolo!$B$5:$B$54,MATCH(B233,Protocolo!$A$5:$A$54,0)),""))</f>
      </c>
      <c r="D233" s="16"/>
      <c r="E233" s="10"/>
      <c r="F233" s="10"/>
      <c r="G233" s="14">
        <f>IF(OR(B233="",D233=""),"",IFERROR(IF(INDEX(Protocolo!$D$5:$D$54,MATCH(B233,Protocolo!$A$5:$A$54,0))="meses",EDATE(D233,INDEX(Protocolo!$C$5:$C$54,MATCH(B233,Protocolo!$A$5:$A$54,0))),D233+INDEX(Protocolo!$C$5:$C$54,MATCH(B233,Protocolo!$A$5:$A$54,0))*IF(INDEX(Protocolo!$D$5:$D$54,MATCH(B233,Protocolo!$A$5:$A$54,0))="semanas",7,1)),""))</f>
      </c>
      <c r="H233" s="15">
        <f>IF(G233="","",G233-TODAY())</f>
      </c>
      <c r="I233" s="12">
        <f>IF(OR(A233="",B233="",D233=""),"",IF(D233=SUMPRODUCT(MAX(($A$5:$A$504=A233)*($B$5:$B$504=B233)*$D$5:$D$504)),"Sí","Reemplazada"))</f>
      </c>
      <c r="J233" s="12">
        <f>IF(I233="","",IF(I233="Reemplazada","Reemplazada",IF(H233="","Sin fecha",IF(H233&lt;0,"Vencida",IF(H233&lt;=IFERROR(IF(INDEX(Protocolo!$E$5:$E$54,MATCH(B233,Protocolo!$A$5:$A$54,0))="",30,INDEX(Protocolo!$E$5:$E$54,MATCH(B233,Protocolo!$A$5:$A$54,0))),30),"Por vencer","Vigente")))))</f>
      </c>
      <c r="K233" s="10"/>
    </row>
    <row r="234" spans="1:11" x14ac:dyDescent="0.25">
      <c r="A234" s="10"/>
      <c r="B234" s="10"/>
      <c r="C234" s="12">
        <f>IF(B234="","",IFERROR(INDEX(Protocolo!$B$5:$B$54,MATCH(B234,Protocolo!$A$5:$A$54,0)),""))</f>
      </c>
      <c r="D234" s="16"/>
      <c r="E234" s="10"/>
      <c r="F234" s="10"/>
      <c r="G234" s="14">
        <f>IF(OR(B234="",D234=""),"",IFERROR(IF(INDEX(Protocolo!$D$5:$D$54,MATCH(B234,Protocolo!$A$5:$A$54,0))="meses",EDATE(D234,INDEX(Protocolo!$C$5:$C$54,MATCH(B234,Protocolo!$A$5:$A$54,0))),D234+INDEX(Protocolo!$C$5:$C$54,MATCH(B234,Protocolo!$A$5:$A$54,0))*IF(INDEX(Protocolo!$D$5:$D$54,MATCH(B234,Protocolo!$A$5:$A$54,0))="semanas",7,1)),""))</f>
      </c>
      <c r="H234" s="15">
        <f>IF(G234="","",G234-TODAY())</f>
      </c>
      <c r="I234" s="12">
        <f>IF(OR(A234="",B234="",D234=""),"",IF(D234=SUMPRODUCT(MAX(($A$5:$A$504=A234)*($B$5:$B$504=B234)*$D$5:$D$504)),"Sí","Reemplazada"))</f>
      </c>
      <c r="J234" s="12">
        <f>IF(I234="","",IF(I234="Reemplazada","Reemplazada",IF(H234="","Sin fecha",IF(H234&lt;0,"Vencida",IF(H234&lt;=IFERROR(IF(INDEX(Protocolo!$E$5:$E$54,MATCH(B234,Protocolo!$A$5:$A$54,0))="",30,INDEX(Protocolo!$E$5:$E$54,MATCH(B234,Protocolo!$A$5:$A$54,0))),30),"Por vencer","Vigente")))))</f>
      </c>
      <c r="K234" s="10"/>
    </row>
    <row r="235" spans="1:11" x14ac:dyDescent="0.25">
      <c r="A235" s="10"/>
      <c r="B235" s="10"/>
      <c r="C235" s="12">
        <f>IF(B235="","",IFERROR(INDEX(Protocolo!$B$5:$B$54,MATCH(B235,Protocolo!$A$5:$A$54,0)),""))</f>
      </c>
      <c r="D235" s="16"/>
      <c r="E235" s="10"/>
      <c r="F235" s="10"/>
      <c r="G235" s="14">
        <f>IF(OR(B235="",D235=""),"",IFERROR(IF(INDEX(Protocolo!$D$5:$D$54,MATCH(B235,Protocolo!$A$5:$A$54,0))="meses",EDATE(D235,INDEX(Protocolo!$C$5:$C$54,MATCH(B235,Protocolo!$A$5:$A$54,0))),D235+INDEX(Protocolo!$C$5:$C$54,MATCH(B235,Protocolo!$A$5:$A$54,0))*IF(INDEX(Protocolo!$D$5:$D$54,MATCH(B235,Protocolo!$A$5:$A$54,0))="semanas",7,1)),""))</f>
      </c>
      <c r="H235" s="15">
        <f>IF(G235="","",G235-TODAY())</f>
      </c>
      <c r="I235" s="12">
        <f>IF(OR(A235="",B235="",D235=""),"",IF(D235=SUMPRODUCT(MAX(($A$5:$A$504=A235)*($B$5:$B$504=B235)*$D$5:$D$504)),"Sí","Reemplazada"))</f>
      </c>
      <c r="J235" s="12">
        <f>IF(I235="","",IF(I235="Reemplazada","Reemplazada",IF(H235="","Sin fecha",IF(H235&lt;0,"Vencida",IF(H235&lt;=IFERROR(IF(INDEX(Protocolo!$E$5:$E$54,MATCH(B235,Protocolo!$A$5:$A$54,0))="",30,INDEX(Protocolo!$E$5:$E$54,MATCH(B235,Protocolo!$A$5:$A$54,0))),30),"Por vencer","Vigente")))))</f>
      </c>
      <c r="K235" s="10"/>
    </row>
    <row r="236" spans="1:11" x14ac:dyDescent="0.25">
      <c r="A236" s="10"/>
      <c r="B236" s="10"/>
      <c r="C236" s="12">
        <f>IF(B236="","",IFERROR(INDEX(Protocolo!$B$5:$B$54,MATCH(B236,Protocolo!$A$5:$A$54,0)),""))</f>
      </c>
      <c r="D236" s="16"/>
      <c r="E236" s="10"/>
      <c r="F236" s="10"/>
      <c r="G236" s="14">
        <f>IF(OR(B236="",D236=""),"",IFERROR(IF(INDEX(Protocolo!$D$5:$D$54,MATCH(B236,Protocolo!$A$5:$A$54,0))="meses",EDATE(D236,INDEX(Protocolo!$C$5:$C$54,MATCH(B236,Protocolo!$A$5:$A$54,0))),D236+INDEX(Protocolo!$C$5:$C$54,MATCH(B236,Protocolo!$A$5:$A$54,0))*IF(INDEX(Protocolo!$D$5:$D$54,MATCH(B236,Protocolo!$A$5:$A$54,0))="semanas",7,1)),""))</f>
      </c>
      <c r="H236" s="15">
        <f>IF(G236="","",G236-TODAY())</f>
      </c>
      <c r="I236" s="12">
        <f>IF(OR(A236="",B236="",D236=""),"",IF(D236=SUMPRODUCT(MAX(($A$5:$A$504=A236)*($B$5:$B$504=B236)*$D$5:$D$504)),"Sí","Reemplazada"))</f>
      </c>
      <c r="J236" s="12">
        <f>IF(I236="","",IF(I236="Reemplazada","Reemplazada",IF(H236="","Sin fecha",IF(H236&lt;0,"Vencida",IF(H236&lt;=IFERROR(IF(INDEX(Protocolo!$E$5:$E$54,MATCH(B236,Protocolo!$A$5:$A$54,0))="",30,INDEX(Protocolo!$E$5:$E$54,MATCH(B236,Protocolo!$A$5:$A$54,0))),30),"Por vencer","Vigente")))))</f>
      </c>
      <c r="K236" s="10"/>
    </row>
    <row r="237" spans="1:11" x14ac:dyDescent="0.25">
      <c r="A237" s="10"/>
      <c r="B237" s="10"/>
      <c r="C237" s="12">
        <f>IF(B237="","",IFERROR(INDEX(Protocolo!$B$5:$B$54,MATCH(B237,Protocolo!$A$5:$A$54,0)),""))</f>
      </c>
      <c r="D237" s="16"/>
      <c r="E237" s="10"/>
      <c r="F237" s="10"/>
      <c r="G237" s="14">
        <f>IF(OR(B237="",D237=""),"",IFERROR(IF(INDEX(Protocolo!$D$5:$D$54,MATCH(B237,Protocolo!$A$5:$A$54,0))="meses",EDATE(D237,INDEX(Protocolo!$C$5:$C$54,MATCH(B237,Protocolo!$A$5:$A$54,0))),D237+INDEX(Protocolo!$C$5:$C$54,MATCH(B237,Protocolo!$A$5:$A$54,0))*IF(INDEX(Protocolo!$D$5:$D$54,MATCH(B237,Protocolo!$A$5:$A$54,0))="semanas",7,1)),""))</f>
      </c>
      <c r="H237" s="15">
        <f>IF(G237="","",G237-TODAY())</f>
      </c>
      <c r="I237" s="12">
        <f>IF(OR(A237="",B237="",D237=""),"",IF(D237=SUMPRODUCT(MAX(($A$5:$A$504=A237)*($B$5:$B$504=B237)*$D$5:$D$504)),"Sí","Reemplazada"))</f>
      </c>
      <c r="J237" s="12">
        <f>IF(I237="","",IF(I237="Reemplazada","Reemplazada",IF(H237="","Sin fecha",IF(H237&lt;0,"Vencida",IF(H237&lt;=IFERROR(IF(INDEX(Protocolo!$E$5:$E$54,MATCH(B237,Protocolo!$A$5:$A$54,0))="",30,INDEX(Protocolo!$E$5:$E$54,MATCH(B237,Protocolo!$A$5:$A$54,0))),30),"Por vencer","Vigente")))))</f>
      </c>
      <c r="K237" s="10"/>
    </row>
    <row r="238" spans="1:11" x14ac:dyDescent="0.25">
      <c r="A238" s="10"/>
      <c r="B238" s="10"/>
      <c r="C238" s="12">
        <f>IF(B238="","",IFERROR(INDEX(Protocolo!$B$5:$B$54,MATCH(B238,Protocolo!$A$5:$A$54,0)),""))</f>
      </c>
      <c r="D238" s="16"/>
      <c r="E238" s="10"/>
      <c r="F238" s="10"/>
      <c r="G238" s="14">
        <f>IF(OR(B238="",D238=""),"",IFERROR(IF(INDEX(Protocolo!$D$5:$D$54,MATCH(B238,Protocolo!$A$5:$A$54,0))="meses",EDATE(D238,INDEX(Protocolo!$C$5:$C$54,MATCH(B238,Protocolo!$A$5:$A$54,0))),D238+INDEX(Protocolo!$C$5:$C$54,MATCH(B238,Protocolo!$A$5:$A$54,0))*IF(INDEX(Protocolo!$D$5:$D$54,MATCH(B238,Protocolo!$A$5:$A$54,0))="semanas",7,1)),""))</f>
      </c>
      <c r="H238" s="15">
        <f>IF(G238="","",G238-TODAY())</f>
      </c>
      <c r="I238" s="12">
        <f>IF(OR(A238="",B238="",D238=""),"",IF(D238=SUMPRODUCT(MAX(($A$5:$A$504=A238)*($B$5:$B$504=B238)*$D$5:$D$504)),"Sí","Reemplazada"))</f>
      </c>
      <c r="J238" s="12">
        <f>IF(I238="","",IF(I238="Reemplazada","Reemplazada",IF(H238="","Sin fecha",IF(H238&lt;0,"Vencida",IF(H238&lt;=IFERROR(IF(INDEX(Protocolo!$E$5:$E$54,MATCH(B238,Protocolo!$A$5:$A$54,0))="",30,INDEX(Protocolo!$E$5:$E$54,MATCH(B238,Protocolo!$A$5:$A$54,0))),30),"Por vencer","Vigente")))))</f>
      </c>
      <c r="K238" s="10"/>
    </row>
    <row r="239" spans="1:11" x14ac:dyDescent="0.25">
      <c r="A239" s="10"/>
      <c r="B239" s="10"/>
      <c r="C239" s="12">
        <f>IF(B239="","",IFERROR(INDEX(Protocolo!$B$5:$B$54,MATCH(B239,Protocolo!$A$5:$A$54,0)),""))</f>
      </c>
      <c r="D239" s="16"/>
      <c r="E239" s="10"/>
      <c r="F239" s="10"/>
      <c r="G239" s="14">
        <f>IF(OR(B239="",D239=""),"",IFERROR(IF(INDEX(Protocolo!$D$5:$D$54,MATCH(B239,Protocolo!$A$5:$A$54,0))="meses",EDATE(D239,INDEX(Protocolo!$C$5:$C$54,MATCH(B239,Protocolo!$A$5:$A$54,0))),D239+INDEX(Protocolo!$C$5:$C$54,MATCH(B239,Protocolo!$A$5:$A$54,0))*IF(INDEX(Protocolo!$D$5:$D$54,MATCH(B239,Protocolo!$A$5:$A$54,0))="semanas",7,1)),""))</f>
      </c>
      <c r="H239" s="15">
        <f>IF(G239="","",G239-TODAY())</f>
      </c>
      <c r="I239" s="12">
        <f>IF(OR(A239="",B239="",D239=""),"",IF(D239=SUMPRODUCT(MAX(($A$5:$A$504=A239)*($B$5:$B$504=B239)*$D$5:$D$504)),"Sí","Reemplazada"))</f>
      </c>
      <c r="J239" s="12">
        <f>IF(I239="","",IF(I239="Reemplazada","Reemplazada",IF(H239="","Sin fecha",IF(H239&lt;0,"Vencida",IF(H239&lt;=IFERROR(IF(INDEX(Protocolo!$E$5:$E$54,MATCH(B239,Protocolo!$A$5:$A$54,0))="",30,INDEX(Protocolo!$E$5:$E$54,MATCH(B239,Protocolo!$A$5:$A$54,0))),30),"Por vencer","Vigente")))))</f>
      </c>
      <c r="K239" s="10"/>
    </row>
    <row r="240" spans="1:11" x14ac:dyDescent="0.25">
      <c r="A240" s="10"/>
      <c r="B240" s="10"/>
      <c r="C240" s="12">
        <f>IF(B240="","",IFERROR(INDEX(Protocolo!$B$5:$B$54,MATCH(B240,Protocolo!$A$5:$A$54,0)),""))</f>
      </c>
      <c r="D240" s="16"/>
      <c r="E240" s="10"/>
      <c r="F240" s="10"/>
      <c r="G240" s="14">
        <f>IF(OR(B240="",D240=""),"",IFERROR(IF(INDEX(Protocolo!$D$5:$D$54,MATCH(B240,Protocolo!$A$5:$A$54,0))="meses",EDATE(D240,INDEX(Protocolo!$C$5:$C$54,MATCH(B240,Protocolo!$A$5:$A$54,0))),D240+INDEX(Protocolo!$C$5:$C$54,MATCH(B240,Protocolo!$A$5:$A$54,0))*IF(INDEX(Protocolo!$D$5:$D$54,MATCH(B240,Protocolo!$A$5:$A$54,0))="semanas",7,1)),""))</f>
      </c>
      <c r="H240" s="15">
        <f>IF(G240="","",G240-TODAY())</f>
      </c>
      <c r="I240" s="12">
        <f>IF(OR(A240="",B240="",D240=""),"",IF(D240=SUMPRODUCT(MAX(($A$5:$A$504=A240)*($B$5:$B$504=B240)*$D$5:$D$504)),"Sí","Reemplazada"))</f>
      </c>
      <c r="J240" s="12">
        <f>IF(I240="","",IF(I240="Reemplazada","Reemplazada",IF(H240="","Sin fecha",IF(H240&lt;0,"Vencida",IF(H240&lt;=IFERROR(IF(INDEX(Protocolo!$E$5:$E$54,MATCH(B240,Protocolo!$A$5:$A$54,0))="",30,INDEX(Protocolo!$E$5:$E$54,MATCH(B240,Protocolo!$A$5:$A$54,0))),30),"Por vencer","Vigente")))))</f>
      </c>
      <c r="K240" s="10"/>
    </row>
    <row r="241" spans="1:11" x14ac:dyDescent="0.25">
      <c r="A241" s="10"/>
      <c r="B241" s="10"/>
      <c r="C241" s="12">
        <f>IF(B241="","",IFERROR(INDEX(Protocolo!$B$5:$B$54,MATCH(B241,Protocolo!$A$5:$A$54,0)),""))</f>
      </c>
      <c r="D241" s="16"/>
      <c r="E241" s="10"/>
      <c r="F241" s="10"/>
      <c r="G241" s="14">
        <f>IF(OR(B241="",D241=""),"",IFERROR(IF(INDEX(Protocolo!$D$5:$D$54,MATCH(B241,Protocolo!$A$5:$A$54,0))="meses",EDATE(D241,INDEX(Protocolo!$C$5:$C$54,MATCH(B241,Protocolo!$A$5:$A$54,0))),D241+INDEX(Protocolo!$C$5:$C$54,MATCH(B241,Protocolo!$A$5:$A$54,0))*IF(INDEX(Protocolo!$D$5:$D$54,MATCH(B241,Protocolo!$A$5:$A$54,0))="semanas",7,1)),""))</f>
      </c>
      <c r="H241" s="15">
        <f>IF(G241="","",G241-TODAY())</f>
      </c>
      <c r="I241" s="12">
        <f>IF(OR(A241="",B241="",D241=""),"",IF(D241=SUMPRODUCT(MAX(($A$5:$A$504=A241)*($B$5:$B$504=B241)*$D$5:$D$504)),"Sí","Reemplazada"))</f>
      </c>
      <c r="J241" s="12">
        <f>IF(I241="","",IF(I241="Reemplazada","Reemplazada",IF(H241="","Sin fecha",IF(H241&lt;0,"Vencida",IF(H241&lt;=IFERROR(IF(INDEX(Protocolo!$E$5:$E$54,MATCH(B241,Protocolo!$A$5:$A$54,0))="",30,INDEX(Protocolo!$E$5:$E$54,MATCH(B241,Protocolo!$A$5:$A$54,0))),30),"Por vencer","Vigente")))))</f>
      </c>
      <c r="K241" s="10"/>
    </row>
    <row r="242" spans="1:11" x14ac:dyDescent="0.25">
      <c r="A242" s="10"/>
      <c r="B242" s="10"/>
      <c r="C242" s="12">
        <f>IF(B242="","",IFERROR(INDEX(Protocolo!$B$5:$B$54,MATCH(B242,Protocolo!$A$5:$A$54,0)),""))</f>
      </c>
      <c r="D242" s="16"/>
      <c r="E242" s="10"/>
      <c r="F242" s="10"/>
      <c r="G242" s="14">
        <f>IF(OR(B242="",D242=""),"",IFERROR(IF(INDEX(Protocolo!$D$5:$D$54,MATCH(B242,Protocolo!$A$5:$A$54,0))="meses",EDATE(D242,INDEX(Protocolo!$C$5:$C$54,MATCH(B242,Protocolo!$A$5:$A$54,0))),D242+INDEX(Protocolo!$C$5:$C$54,MATCH(B242,Protocolo!$A$5:$A$54,0))*IF(INDEX(Protocolo!$D$5:$D$54,MATCH(B242,Protocolo!$A$5:$A$54,0))="semanas",7,1)),""))</f>
      </c>
      <c r="H242" s="15">
        <f>IF(G242="","",G242-TODAY())</f>
      </c>
      <c r="I242" s="12">
        <f>IF(OR(A242="",B242="",D242=""),"",IF(D242=SUMPRODUCT(MAX(($A$5:$A$504=A242)*($B$5:$B$504=B242)*$D$5:$D$504)),"Sí","Reemplazada"))</f>
      </c>
      <c r="J242" s="12">
        <f>IF(I242="","",IF(I242="Reemplazada","Reemplazada",IF(H242="","Sin fecha",IF(H242&lt;0,"Vencida",IF(H242&lt;=IFERROR(IF(INDEX(Protocolo!$E$5:$E$54,MATCH(B242,Protocolo!$A$5:$A$54,0))="",30,INDEX(Protocolo!$E$5:$E$54,MATCH(B242,Protocolo!$A$5:$A$54,0))),30),"Por vencer","Vigente")))))</f>
      </c>
      <c r="K242" s="10"/>
    </row>
    <row r="243" spans="1:11" x14ac:dyDescent="0.25">
      <c r="A243" s="10"/>
      <c r="B243" s="10"/>
      <c r="C243" s="12">
        <f>IF(B243="","",IFERROR(INDEX(Protocolo!$B$5:$B$54,MATCH(B243,Protocolo!$A$5:$A$54,0)),""))</f>
      </c>
      <c r="D243" s="16"/>
      <c r="E243" s="10"/>
      <c r="F243" s="10"/>
      <c r="G243" s="14">
        <f>IF(OR(B243="",D243=""),"",IFERROR(IF(INDEX(Protocolo!$D$5:$D$54,MATCH(B243,Protocolo!$A$5:$A$54,0))="meses",EDATE(D243,INDEX(Protocolo!$C$5:$C$54,MATCH(B243,Protocolo!$A$5:$A$54,0))),D243+INDEX(Protocolo!$C$5:$C$54,MATCH(B243,Protocolo!$A$5:$A$54,0))*IF(INDEX(Protocolo!$D$5:$D$54,MATCH(B243,Protocolo!$A$5:$A$54,0))="semanas",7,1)),""))</f>
      </c>
      <c r="H243" s="15">
        <f>IF(G243="","",G243-TODAY())</f>
      </c>
      <c r="I243" s="12">
        <f>IF(OR(A243="",B243="",D243=""),"",IF(D243=SUMPRODUCT(MAX(($A$5:$A$504=A243)*($B$5:$B$504=B243)*$D$5:$D$504)),"Sí","Reemplazada"))</f>
      </c>
      <c r="J243" s="12">
        <f>IF(I243="","",IF(I243="Reemplazada","Reemplazada",IF(H243="","Sin fecha",IF(H243&lt;0,"Vencida",IF(H243&lt;=IFERROR(IF(INDEX(Protocolo!$E$5:$E$54,MATCH(B243,Protocolo!$A$5:$A$54,0))="",30,INDEX(Protocolo!$E$5:$E$54,MATCH(B243,Protocolo!$A$5:$A$54,0))),30),"Por vencer","Vigente")))))</f>
      </c>
      <c r="K243" s="10"/>
    </row>
    <row r="244" spans="1:11" x14ac:dyDescent="0.25">
      <c r="A244" s="10"/>
      <c r="B244" s="10"/>
      <c r="C244" s="12">
        <f>IF(B244="","",IFERROR(INDEX(Protocolo!$B$5:$B$54,MATCH(B244,Protocolo!$A$5:$A$54,0)),""))</f>
      </c>
      <c r="D244" s="16"/>
      <c r="E244" s="10"/>
      <c r="F244" s="10"/>
      <c r="G244" s="14">
        <f>IF(OR(B244="",D244=""),"",IFERROR(IF(INDEX(Protocolo!$D$5:$D$54,MATCH(B244,Protocolo!$A$5:$A$54,0))="meses",EDATE(D244,INDEX(Protocolo!$C$5:$C$54,MATCH(B244,Protocolo!$A$5:$A$54,0))),D244+INDEX(Protocolo!$C$5:$C$54,MATCH(B244,Protocolo!$A$5:$A$54,0))*IF(INDEX(Protocolo!$D$5:$D$54,MATCH(B244,Protocolo!$A$5:$A$54,0))="semanas",7,1)),""))</f>
      </c>
      <c r="H244" s="15">
        <f>IF(G244="","",G244-TODAY())</f>
      </c>
      <c r="I244" s="12">
        <f>IF(OR(A244="",B244="",D244=""),"",IF(D244=SUMPRODUCT(MAX(($A$5:$A$504=A244)*($B$5:$B$504=B244)*$D$5:$D$504)),"Sí","Reemplazada"))</f>
      </c>
      <c r="J244" s="12">
        <f>IF(I244="","",IF(I244="Reemplazada","Reemplazada",IF(H244="","Sin fecha",IF(H244&lt;0,"Vencida",IF(H244&lt;=IFERROR(IF(INDEX(Protocolo!$E$5:$E$54,MATCH(B244,Protocolo!$A$5:$A$54,0))="",30,INDEX(Protocolo!$E$5:$E$54,MATCH(B244,Protocolo!$A$5:$A$54,0))),30),"Por vencer","Vigente")))))</f>
      </c>
      <c r="K244" s="10"/>
    </row>
    <row r="245" spans="1:11" x14ac:dyDescent="0.25">
      <c r="A245" s="10"/>
      <c r="B245" s="10"/>
      <c r="C245" s="12">
        <f>IF(B245="","",IFERROR(INDEX(Protocolo!$B$5:$B$54,MATCH(B245,Protocolo!$A$5:$A$54,0)),""))</f>
      </c>
      <c r="D245" s="16"/>
      <c r="E245" s="10"/>
      <c r="F245" s="10"/>
      <c r="G245" s="14">
        <f>IF(OR(B245="",D245=""),"",IFERROR(IF(INDEX(Protocolo!$D$5:$D$54,MATCH(B245,Protocolo!$A$5:$A$54,0))="meses",EDATE(D245,INDEX(Protocolo!$C$5:$C$54,MATCH(B245,Protocolo!$A$5:$A$54,0))),D245+INDEX(Protocolo!$C$5:$C$54,MATCH(B245,Protocolo!$A$5:$A$54,0))*IF(INDEX(Protocolo!$D$5:$D$54,MATCH(B245,Protocolo!$A$5:$A$54,0))="semanas",7,1)),""))</f>
      </c>
      <c r="H245" s="15">
        <f>IF(G245="","",G245-TODAY())</f>
      </c>
      <c r="I245" s="12">
        <f>IF(OR(A245="",B245="",D245=""),"",IF(D245=SUMPRODUCT(MAX(($A$5:$A$504=A245)*($B$5:$B$504=B245)*$D$5:$D$504)),"Sí","Reemplazada"))</f>
      </c>
      <c r="J245" s="12">
        <f>IF(I245="","",IF(I245="Reemplazada","Reemplazada",IF(H245="","Sin fecha",IF(H245&lt;0,"Vencida",IF(H245&lt;=IFERROR(IF(INDEX(Protocolo!$E$5:$E$54,MATCH(B245,Protocolo!$A$5:$A$54,0))="",30,INDEX(Protocolo!$E$5:$E$54,MATCH(B245,Protocolo!$A$5:$A$54,0))),30),"Por vencer","Vigente")))))</f>
      </c>
      <c r="K245" s="10"/>
    </row>
    <row r="246" spans="1:11" x14ac:dyDescent="0.25">
      <c r="A246" s="10"/>
      <c r="B246" s="10"/>
      <c r="C246" s="12">
        <f>IF(B246="","",IFERROR(INDEX(Protocolo!$B$5:$B$54,MATCH(B246,Protocolo!$A$5:$A$54,0)),""))</f>
      </c>
      <c r="D246" s="16"/>
      <c r="E246" s="10"/>
      <c r="F246" s="10"/>
      <c r="G246" s="14">
        <f>IF(OR(B246="",D246=""),"",IFERROR(IF(INDEX(Protocolo!$D$5:$D$54,MATCH(B246,Protocolo!$A$5:$A$54,0))="meses",EDATE(D246,INDEX(Protocolo!$C$5:$C$54,MATCH(B246,Protocolo!$A$5:$A$54,0))),D246+INDEX(Protocolo!$C$5:$C$54,MATCH(B246,Protocolo!$A$5:$A$54,0))*IF(INDEX(Protocolo!$D$5:$D$54,MATCH(B246,Protocolo!$A$5:$A$54,0))="semanas",7,1)),""))</f>
      </c>
      <c r="H246" s="15">
        <f>IF(G246="","",G246-TODAY())</f>
      </c>
      <c r="I246" s="12">
        <f>IF(OR(A246="",B246="",D246=""),"",IF(D246=SUMPRODUCT(MAX(($A$5:$A$504=A246)*($B$5:$B$504=B246)*$D$5:$D$504)),"Sí","Reemplazada"))</f>
      </c>
      <c r="J246" s="12">
        <f>IF(I246="","",IF(I246="Reemplazada","Reemplazada",IF(H246="","Sin fecha",IF(H246&lt;0,"Vencida",IF(H246&lt;=IFERROR(IF(INDEX(Protocolo!$E$5:$E$54,MATCH(B246,Protocolo!$A$5:$A$54,0))="",30,INDEX(Protocolo!$E$5:$E$54,MATCH(B246,Protocolo!$A$5:$A$54,0))),30),"Por vencer","Vigente")))))</f>
      </c>
      <c r="K246" s="10"/>
    </row>
    <row r="247" spans="1:11" x14ac:dyDescent="0.25">
      <c r="A247" s="10"/>
      <c r="B247" s="10"/>
      <c r="C247" s="12">
        <f>IF(B247="","",IFERROR(INDEX(Protocolo!$B$5:$B$54,MATCH(B247,Protocolo!$A$5:$A$54,0)),""))</f>
      </c>
      <c r="D247" s="16"/>
      <c r="E247" s="10"/>
      <c r="F247" s="10"/>
      <c r="G247" s="14">
        <f>IF(OR(B247="",D247=""),"",IFERROR(IF(INDEX(Protocolo!$D$5:$D$54,MATCH(B247,Protocolo!$A$5:$A$54,0))="meses",EDATE(D247,INDEX(Protocolo!$C$5:$C$54,MATCH(B247,Protocolo!$A$5:$A$54,0))),D247+INDEX(Protocolo!$C$5:$C$54,MATCH(B247,Protocolo!$A$5:$A$54,0))*IF(INDEX(Protocolo!$D$5:$D$54,MATCH(B247,Protocolo!$A$5:$A$54,0))="semanas",7,1)),""))</f>
      </c>
      <c r="H247" s="15">
        <f>IF(G247="","",G247-TODAY())</f>
      </c>
      <c r="I247" s="12">
        <f>IF(OR(A247="",B247="",D247=""),"",IF(D247=SUMPRODUCT(MAX(($A$5:$A$504=A247)*($B$5:$B$504=B247)*$D$5:$D$504)),"Sí","Reemplazada"))</f>
      </c>
      <c r="J247" s="12">
        <f>IF(I247="","",IF(I247="Reemplazada","Reemplazada",IF(H247="","Sin fecha",IF(H247&lt;0,"Vencida",IF(H247&lt;=IFERROR(IF(INDEX(Protocolo!$E$5:$E$54,MATCH(B247,Protocolo!$A$5:$A$54,0))="",30,INDEX(Protocolo!$E$5:$E$54,MATCH(B247,Protocolo!$A$5:$A$54,0))),30),"Por vencer","Vigente")))))</f>
      </c>
      <c r="K247" s="10"/>
    </row>
    <row r="248" spans="1:11" x14ac:dyDescent="0.25">
      <c r="A248" s="10"/>
      <c r="B248" s="10"/>
      <c r="C248" s="12">
        <f>IF(B248="","",IFERROR(INDEX(Protocolo!$B$5:$B$54,MATCH(B248,Protocolo!$A$5:$A$54,0)),""))</f>
      </c>
      <c r="D248" s="16"/>
      <c r="E248" s="10"/>
      <c r="F248" s="10"/>
      <c r="G248" s="14">
        <f>IF(OR(B248="",D248=""),"",IFERROR(IF(INDEX(Protocolo!$D$5:$D$54,MATCH(B248,Protocolo!$A$5:$A$54,0))="meses",EDATE(D248,INDEX(Protocolo!$C$5:$C$54,MATCH(B248,Protocolo!$A$5:$A$54,0))),D248+INDEX(Protocolo!$C$5:$C$54,MATCH(B248,Protocolo!$A$5:$A$54,0))*IF(INDEX(Protocolo!$D$5:$D$54,MATCH(B248,Protocolo!$A$5:$A$54,0))="semanas",7,1)),""))</f>
      </c>
      <c r="H248" s="15">
        <f>IF(G248="","",G248-TODAY())</f>
      </c>
      <c r="I248" s="12">
        <f>IF(OR(A248="",B248="",D248=""),"",IF(D248=SUMPRODUCT(MAX(($A$5:$A$504=A248)*($B$5:$B$504=B248)*$D$5:$D$504)),"Sí","Reemplazada"))</f>
      </c>
      <c r="J248" s="12">
        <f>IF(I248="","",IF(I248="Reemplazada","Reemplazada",IF(H248="","Sin fecha",IF(H248&lt;0,"Vencida",IF(H248&lt;=IFERROR(IF(INDEX(Protocolo!$E$5:$E$54,MATCH(B248,Protocolo!$A$5:$A$54,0))="",30,INDEX(Protocolo!$E$5:$E$54,MATCH(B248,Protocolo!$A$5:$A$54,0))),30),"Por vencer","Vigente")))))</f>
      </c>
      <c r="K248" s="10"/>
    </row>
    <row r="249" spans="1:11" x14ac:dyDescent="0.25">
      <c r="A249" s="10"/>
      <c r="B249" s="10"/>
      <c r="C249" s="12">
        <f>IF(B249="","",IFERROR(INDEX(Protocolo!$B$5:$B$54,MATCH(B249,Protocolo!$A$5:$A$54,0)),""))</f>
      </c>
      <c r="D249" s="16"/>
      <c r="E249" s="10"/>
      <c r="F249" s="10"/>
      <c r="G249" s="14">
        <f>IF(OR(B249="",D249=""),"",IFERROR(IF(INDEX(Protocolo!$D$5:$D$54,MATCH(B249,Protocolo!$A$5:$A$54,0))="meses",EDATE(D249,INDEX(Protocolo!$C$5:$C$54,MATCH(B249,Protocolo!$A$5:$A$54,0))),D249+INDEX(Protocolo!$C$5:$C$54,MATCH(B249,Protocolo!$A$5:$A$54,0))*IF(INDEX(Protocolo!$D$5:$D$54,MATCH(B249,Protocolo!$A$5:$A$54,0))="semanas",7,1)),""))</f>
      </c>
      <c r="H249" s="15">
        <f>IF(G249="","",G249-TODAY())</f>
      </c>
      <c r="I249" s="12">
        <f>IF(OR(A249="",B249="",D249=""),"",IF(D249=SUMPRODUCT(MAX(($A$5:$A$504=A249)*($B$5:$B$504=B249)*$D$5:$D$504)),"Sí","Reemplazada"))</f>
      </c>
      <c r="J249" s="12">
        <f>IF(I249="","",IF(I249="Reemplazada","Reemplazada",IF(H249="","Sin fecha",IF(H249&lt;0,"Vencida",IF(H249&lt;=IFERROR(IF(INDEX(Protocolo!$E$5:$E$54,MATCH(B249,Protocolo!$A$5:$A$54,0))="",30,INDEX(Protocolo!$E$5:$E$54,MATCH(B249,Protocolo!$A$5:$A$54,0))),30),"Por vencer","Vigente")))))</f>
      </c>
      <c r="K249" s="10"/>
    </row>
    <row r="250" spans="1:11" x14ac:dyDescent="0.25">
      <c r="A250" s="10"/>
      <c r="B250" s="10"/>
      <c r="C250" s="12">
        <f>IF(B250="","",IFERROR(INDEX(Protocolo!$B$5:$B$54,MATCH(B250,Protocolo!$A$5:$A$54,0)),""))</f>
      </c>
      <c r="D250" s="16"/>
      <c r="E250" s="10"/>
      <c r="F250" s="10"/>
      <c r="G250" s="14">
        <f>IF(OR(B250="",D250=""),"",IFERROR(IF(INDEX(Protocolo!$D$5:$D$54,MATCH(B250,Protocolo!$A$5:$A$54,0))="meses",EDATE(D250,INDEX(Protocolo!$C$5:$C$54,MATCH(B250,Protocolo!$A$5:$A$54,0))),D250+INDEX(Protocolo!$C$5:$C$54,MATCH(B250,Protocolo!$A$5:$A$54,0))*IF(INDEX(Protocolo!$D$5:$D$54,MATCH(B250,Protocolo!$A$5:$A$54,0))="semanas",7,1)),""))</f>
      </c>
      <c r="H250" s="15">
        <f>IF(G250="","",G250-TODAY())</f>
      </c>
      <c r="I250" s="12">
        <f>IF(OR(A250="",B250="",D250=""),"",IF(D250=SUMPRODUCT(MAX(($A$5:$A$504=A250)*($B$5:$B$504=B250)*$D$5:$D$504)),"Sí","Reemplazada"))</f>
      </c>
      <c r="J250" s="12">
        <f>IF(I250="","",IF(I250="Reemplazada","Reemplazada",IF(H250="","Sin fecha",IF(H250&lt;0,"Vencida",IF(H250&lt;=IFERROR(IF(INDEX(Protocolo!$E$5:$E$54,MATCH(B250,Protocolo!$A$5:$A$54,0))="",30,INDEX(Protocolo!$E$5:$E$54,MATCH(B250,Protocolo!$A$5:$A$54,0))),30),"Por vencer","Vigente")))))</f>
      </c>
      <c r="K250" s="10"/>
    </row>
    <row r="251" spans="1:11" x14ac:dyDescent="0.25">
      <c r="A251" s="10"/>
      <c r="B251" s="10"/>
      <c r="C251" s="12">
        <f>IF(B251="","",IFERROR(INDEX(Protocolo!$B$5:$B$54,MATCH(B251,Protocolo!$A$5:$A$54,0)),""))</f>
      </c>
      <c r="D251" s="16"/>
      <c r="E251" s="10"/>
      <c r="F251" s="10"/>
      <c r="G251" s="14">
        <f>IF(OR(B251="",D251=""),"",IFERROR(IF(INDEX(Protocolo!$D$5:$D$54,MATCH(B251,Protocolo!$A$5:$A$54,0))="meses",EDATE(D251,INDEX(Protocolo!$C$5:$C$54,MATCH(B251,Protocolo!$A$5:$A$54,0))),D251+INDEX(Protocolo!$C$5:$C$54,MATCH(B251,Protocolo!$A$5:$A$54,0))*IF(INDEX(Protocolo!$D$5:$D$54,MATCH(B251,Protocolo!$A$5:$A$54,0))="semanas",7,1)),""))</f>
      </c>
      <c r="H251" s="15">
        <f>IF(G251="","",G251-TODAY())</f>
      </c>
      <c r="I251" s="12">
        <f>IF(OR(A251="",B251="",D251=""),"",IF(D251=SUMPRODUCT(MAX(($A$5:$A$504=A251)*($B$5:$B$504=B251)*$D$5:$D$504)),"Sí","Reemplazada"))</f>
      </c>
      <c r="J251" s="12">
        <f>IF(I251="","",IF(I251="Reemplazada","Reemplazada",IF(H251="","Sin fecha",IF(H251&lt;0,"Vencida",IF(H251&lt;=IFERROR(IF(INDEX(Protocolo!$E$5:$E$54,MATCH(B251,Protocolo!$A$5:$A$54,0))="",30,INDEX(Protocolo!$E$5:$E$54,MATCH(B251,Protocolo!$A$5:$A$54,0))),30),"Por vencer","Vigente")))))</f>
      </c>
      <c r="K251" s="10"/>
    </row>
    <row r="252" spans="1:11" x14ac:dyDescent="0.25">
      <c r="A252" s="10"/>
      <c r="B252" s="10"/>
      <c r="C252" s="12">
        <f>IF(B252="","",IFERROR(INDEX(Protocolo!$B$5:$B$54,MATCH(B252,Protocolo!$A$5:$A$54,0)),""))</f>
      </c>
      <c r="D252" s="16"/>
      <c r="E252" s="10"/>
      <c r="F252" s="10"/>
      <c r="G252" s="14">
        <f>IF(OR(B252="",D252=""),"",IFERROR(IF(INDEX(Protocolo!$D$5:$D$54,MATCH(B252,Protocolo!$A$5:$A$54,0))="meses",EDATE(D252,INDEX(Protocolo!$C$5:$C$54,MATCH(B252,Protocolo!$A$5:$A$54,0))),D252+INDEX(Protocolo!$C$5:$C$54,MATCH(B252,Protocolo!$A$5:$A$54,0))*IF(INDEX(Protocolo!$D$5:$D$54,MATCH(B252,Protocolo!$A$5:$A$54,0))="semanas",7,1)),""))</f>
      </c>
      <c r="H252" s="15">
        <f>IF(G252="","",G252-TODAY())</f>
      </c>
      <c r="I252" s="12">
        <f>IF(OR(A252="",B252="",D252=""),"",IF(D252=SUMPRODUCT(MAX(($A$5:$A$504=A252)*($B$5:$B$504=B252)*$D$5:$D$504)),"Sí","Reemplazada"))</f>
      </c>
      <c r="J252" s="12">
        <f>IF(I252="","",IF(I252="Reemplazada","Reemplazada",IF(H252="","Sin fecha",IF(H252&lt;0,"Vencida",IF(H252&lt;=IFERROR(IF(INDEX(Protocolo!$E$5:$E$54,MATCH(B252,Protocolo!$A$5:$A$54,0))="",30,INDEX(Protocolo!$E$5:$E$54,MATCH(B252,Protocolo!$A$5:$A$54,0))),30),"Por vencer","Vigente")))))</f>
      </c>
      <c r="K252" s="10"/>
    </row>
    <row r="253" spans="1:11" x14ac:dyDescent="0.25">
      <c r="A253" s="10"/>
      <c r="B253" s="10"/>
      <c r="C253" s="12">
        <f>IF(B253="","",IFERROR(INDEX(Protocolo!$B$5:$B$54,MATCH(B253,Protocolo!$A$5:$A$54,0)),""))</f>
      </c>
      <c r="D253" s="16"/>
      <c r="E253" s="10"/>
      <c r="F253" s="10"/>
      <c r="G253" s="14">
        <f>IF(OR(B253="",D253=""),"",IFERROR(IF(INDEX(Protocolo!$D$5:$D$54,MATCH(B253,Protocolo!$A$5:$A$54,0))="meses",EDATE(D253,INDEX(Protocolo!$C$5:$C$54,MATCH(B253,Protocolo!$A$5:$A$54,0))),D253+INDEX(Protocolo!$C$5:$C$54,MATCH(B253,Protocolo!$A$5:$A$54,0))*IF(INDEX(Protocolo!$D$5:$D$54,MATCH(B253,Protocolo!$A$5:$A$54,0))="semanas",7,1)),""))</f>
      </c>
      <c r="H253" s="15">
        <f>IF(G253="","",G253-TODAY())</f>
      </c>
      <c r="I253" s="12">
        <f>IF(OR(A253="",B253="",D253=""),"",IF(D253=SUMPRODUCT(MAX(($A$5:$A$504=A253)*($B$5:$B$504=B253)*$D$5:$D$504)),"Sí","Reemplazada"))</f>
      </c>
      <c r="J253" s="12">
        <f>IF(I253="","",IF(I253="Reemplazada","Reemplazada",IF(H253="","Sin fecha",IF(H253&lt;0,"Vencida",IF(H253&lt;=IFERROR(IF(INDEX(Protocolo!$E$5:$E$54,MATCH(B253,Protocolo!$A$5:$A$54,0))="",30,INDEX(Protocolo!$E$5:$E$54,MATCH(B253,Protocolo!$A$5:$A$54,0))),30),"Por vencer","Vigente")))))</f>
      </c>
      <c r="K253" s="10"/>
    </row>
    <row r="254" spans="1:11" x14ac:dyDescent="0.25">
      <c r="A254" s="10"/>
      <c r="B254" s="10"/>
      <c r="C254" s="12">
        <f>IF(B254="","",IFERROR(INDEX(Protocolo!$B$5:$B$54,MATCH(B254,Protocolo!$A$5:$A$54,0)),""))</f>
      </c>
      <c r="D254" s="16"/>
      <c r="E254" s="10"/>
      <c r="F254" s="10"/>
      <c r="G254" s="14">
        <f>IF(OR(B254="",D254=""),"",IFERROR(IF(INDEX(Protocolo!$D$5:$D$54,MATCH(B254,Protocolo!$A$5:$A$54,0))="meses",EDATE(D254,INDEX(Protocolo!$C$5:$C$54,MATCH(B254,Protocolo!$A$5:$A$54,0))),D254+INDEX(Protocolo!$C$5:$C$54,MATCH(B254,Protocolo!$A$5:$A$54,0))*IF(INDEX(Protocolo!$D$5:$D$54,MATCH(B254,Protocolo!$A$5:$A$54,0))="semanas",7,1)),""))</f>
      </c>
      <c r="H254" s="15">
        <f>IF(G254="","",G254-TODAY())</f>
      </c>
      <c r="I254" s="12">
        <f>IF(OR(A254="",B254="",D254=""),"",IF(D254=SUMPRODUCT(MAX(($A$5:$A$504=A254)*($B$5:$B$504=B254)*$D$5:$D$504)),"Sí","Reemplazada"))</f>
      </c>
      <c r="J254" s="12">
        <f>IF(I254="","",IF(I254="Reemplazada","Reemplazada",IF(H254="","Sin fecha",IF(H254&lt;0,"Vencida",IF(H254&lt;=IFERROR(IF(INDEX(Protocolo!$E$5:$E$54,MATCH(B254,Protocolo!$A$5:$A$54,0))="",30,INDEX(Protocolo!$E$5:$E$54,MATCH(B254,Protocolo!$A$5:$A$54,0))),30),"Por vencer","Vigente")))))</f>
      </c>
      <c r="K254" s="10"/>
    </row>
    <row r="255" spans="1:11" x14ac:dyDescent="0.25">
      <c r="A255" s="10"/>
      <c r="B255" s="10"/>
      <c r="C255" s="12">
        <f>IF(B255="","",IFERROR(INDEX(Protocolo!$B$5:$B$54,MATCH(B255,Protocolo!$A$5:$A$54,0)),""))</f>
      </c>
      <c r="D255" s="16"/>
      <c r="E255" s="10"/>
      <c r="F255" s="10"/>
      <c r="G255" s="14">
        <f>IF(OR(B255="",D255=""),"",IFERROR(IF(INDEX(Protocolo!$D$5:$D$54,MATCH(B255,Protocolo!$A$5:$A$54,0))="meses",EDATE(D255,INDEX(Protocolo!$C$5:$C$54,MATCH(B255,Protocolo!$A$5:$A$54,0))),D255+INDEX(Protocolo!$C$5:$C$54,MATCH(B255,Protocolo!$A$5:$A$54,0))*IF(INDEX(Protocolo!$D$5:$D$54,MATCH(B255,Protocolo!$A$5:$A$54,0))="semanas",7,1)),""))</f>
      </c>
      <c r="H255" s="15">
        <f>IF(G255="","",G255-TODAY())</f>
      </c>
      <c r="I255" s="12">
        <f>IF(OR(A255="",B255="",D255=""),"",IF(D255=SUMPRODUCT(MAX(($A$5:$A$504=A255)*($B$5:$B$504=B255)*$D$5:$D$504)),"Sí","Reemplazada"))</f>
      </c>
      <c r="J255" s="12">
        <f>IF(I255="","",IF(I255="Reemplazada","Reemplazada",IF(H255="","Sin fecha",IF(H255&lt;0,"Vencida",IF(H255&lt;=IFERROR(IF(INDEX(Protocolo!$E$5:$E$54,MATCH(B255,Protocolo!$A$5:$A$54,0))="",30,INDEX(Protocolo!$E$5:$E$54,MATCH(B255,Protocolo!$A$5:$A$54,0))),30),"Por vencer","Vigente")))))</f>
      </c>
      <c r="K255" s="10"/>
    </row>
    <row r="256" spans="1:11" x14ac:dyDescent="0.25">
      <c r="A256" s="10"/>
      <c r="B256" s="10"/>
      <c r="C256" s="12">
        <f>IF(B256="","",IFERROR(INDEX(Protocolo!$B$5:$B$54,MATCH(B256,Protocolo!$A$5:$A$54,0)),""))</f>
      </c>
      <c r="D256" s="16"/>
      <c r="E256" s="10"/>
      <c r="F256" s="10"/>
      <c r="G256" s="14">
        <f>IF(OR(B256="",D256=""),"",IFERROR(IF(INDEX(Protocolo!$D$5:$D$54,MATCH(B256,Protocolo!$A$5:$A$54,0))="meses",EDATE(D256,INDEX(Protocolo!$C$5:$C$54,MATCH(B256,Protocolo!$A$5:$A$54,0))),D256+INDEX(Protocolo!$C$5:$C$54,MATCH(B256,Protocolo!$A$5:$A$54,0))*IF(INDEX(Protocolo!$D$5:$D$54,MATCH(B256,Protocolo!$A$5:$A$54,0))="semanas",7,1)),""))</f>
      </c>
      <c r="H256" s="15">
        <f>IF(G256="","",G256-TODAY())</f>
      </c>
      <c r="I256" s="12">
        <f>IF(OR(A256="",B256="",D256=""),"",IF(D256=SUMPRODUCT(MAX(($A$5:$A$504=A256)*($B$5:$B$504=B256)*$D$5:$D$504)),"Sí","Reemplazada"))</f>
      </c>
      <c r="J256" s="12">
        <f>IF(I256="","",IF(I256="Reemplazada","Reemplazada",IF(H256="","Sin fecha",IF(H256&lt;0,"Vencida",IF(H256&lt;=IFERROR(IF(INDEX(Protocolo!$E$5:$E$54,MATCH(B256,Protocolo!$A$5:$A$54,0))="",30,INDEX(Protocolo!$E$5:$E$54,MATCH(B256,Protocolo!$A$5:$A$54,0))),30),"Por vencer","Vigente")))))</f>
      </c>
      <c r="K256" s="10"/>
    </row>
    <row r="257" spans="1:11" x14ac:dyDescent="0.25">
      <c r="A257" s="10"/>
      <c r="B257" s="10"/>
      <c r="C257" s="12">
        <f>IF(B257="","",IFERROR(INDEX(Protocolo!$B$5:$B$54,MATCH(B257,Protocolo!$A$5:$A$54,0)),""))</f>
      </c>
      <c r="D257" s="16"/>
      <c r="E257" s="10"/>
      <c r="F257" s="10"/>
      <c r="G257" s="14">
        <f>IF(OR(B257="",D257=""),"",IFERROR(IF(INDEX(Protocolo!$D$5:$D$54,MATCH(B257,Protocolo!$A$5:$A$54,0))="meses",EDATE(D257,INDEX(Protocolo!$C$5:$C$54,MATCH(B257,Protocolo!$A$5:$A$54,0))),D257+INDEX(Protocolo!$C$5:$C$54,MATCH(B257,Protocolo!$A$5:$A$54,0))*IF(INDEX(Protocolo!$D$5:$D$54,MATCH(B257,Protocolo!$A$5:$A$54,0))="semanas",7,1)),""))</f>
      </c>
      <c r="H257" s="15">
        <f>IF(G257="","",G257-TODAY())</f>
      </c>
      <c r="I257" s="12">
        <f>IF(OR(A257="",B257="",D257=""),"",IF(D257=SUMPRODUCT(MAX(($A$5:$A$504=A257)*($B$5:$B$504=B257)*$D$5:$D$504)),"Sí","Reemplazada"))</f>
      </c>
      <c r="J257" s="12">
        <f>IF(I257="","",IF(I257="Reemplazada","Reemplazada",IF(H257="","Sin fecha",IF(H257&lt;0,"Vencida",IF(H257&lt;=IFERROR(IF(INDEX(Protocolo!$E$5:$E$54,MATCH(B257,Protocolo!$A$5:$A$54,0))="",30,INDEX(Protocolo!$E$5:$E$54,MATCH(B257,Protocolo!$A$5:$A$54,0))),30),"Por vencer","Vigente")))))</f>
      </c>
      <c r="K257" s="10"/>
    </row>
    <row r="258" spans="1:11" x14ac:dyDescent="0.25">
      <c r="A258" s="10"/>
      <c r="B258" s="10"/>
      <c r="C258" s="12">
        <f>IF(B258="","",IFERROR(INDEX(Protocolo!$B$5:$B$54,MATCH(B258,Protocolo!$A$5:$A$54,0)),""))</f>
      </c>
      <c r="D258" s="16"/>
      <c r="E258" s="10"/>
      <c r="F258" s="10"/>
      <c r="G258" s="14">
        <f>IF(OR(B258="",D258=""),"",IFERROR(IF(INDEX(Protocolo!$D$5:$D$54,MATCH(B258,Protocolo!$A$5:$A$54,0))="meses",EDATE(D258,INDEX(Protocolo!$C$5:$C$54,MATCH(B258,Protocolo!$A$5:$A$54,0))),D258+INDEX(Protocolo!$C$5:$C$54,MATCH(B258,Protocolo!$A$5:$A$54,0))*IF(INDEX(Protocolo!$D$5:$D$54,MATCH(B258,Protocolo!$A$5:$A$54,0))="semanas",7,1)),""))</f>
      </c>
      <c r="H258" s="15">
        <f>IF(G258="","",G258-TODAY())</f>
      </c>
      <c r="I258" s="12">
        <f>IF(OR(A258="",B258="",D258=""),"",IF(D258=SUMPRODUCT(MAX(($A$5:$A$504=A258)*($B$5:$B$504=B258)*$D$5:$D$504)),"Sí","Reemplazada"))</f>
      </c>
      <c r="J258" s="12">
        <f>IF(I258="","",IF(I258="Reemplazada","Reemplazada",IF(H258="","Sin fecha",IF(H258&lt;0,"Vencida",IF(H258&lt;=IFERROR(IF(INDEX(Protocolo!$E$5:$E$54,MATCH(B258,Protocolo!$A$5:$A$54,0))="",30,INDEX(Protocolo!$E$5:$E$54,MATCH(B258,Protocolo!$A$5:$A$54,0))),30),"Por vencer","Vigente")))))</f>
      </c>
      <c r="K258" s="10"/>
    </row>
    <row r="259" spans="1:11" x14ac:dyDescent="0.25">
      <c r="A259" s="10"/>
      <c r="B259" s="10"/>
      <c r="C259" s="12">
        <f>IF(B259="","",IFERROR(INDEX(Protocolo!$B$5:$B$54,MATCH(B259,Protocolo!$A$5:$A$54,0)),""))</f>
      </c>
      <c r="D259" s="16"/>
      <c r="E259" s="10"/>
      <c r="F259" s="10"/>
      <c r="G259" s="14">
        <f>IF(OR(B259="",D259=""),"",IFERROR(IF(INDEX(Protocolo!$D$5:$D$54,MATCH(B259,Protocolo!$A$5:$A$54,0))="meses",EDATE(D259,INDEX(Protocolo!$C$5:$C$54,MATCH(B259,Protocolo!$A$5:$A$54,0))),D259+INDEX(Protocolo!$C$5:$C$54,MATCH(B259,Protocolo!$A$5:$A$54,0))*IF(INDEX(Protocolo!$D$5:$D$54,MATCH(B259,Protocolo!$A$5:$A$54,0))="semanas",7,1)),""))</f>
      </c>
      <c r="H259" s="15">
        <f>IF(G259="","",G259-TODAY())</f>
      </c>
      <c r="I259" s="12">
        <f>IF(OR(A259="",B259="",D259=""),"",IF(D259=SUMPRODUCT(MAX(($A$5:$A$504=A259)*($B$5:$B$504=B259)*$D$5:$D$504)),"Sí","Reemplazada"))</f>
      </c>
      <c r="J259" s="12">
        <f>IF(I259="","",IF(I259="Reemplazada","Reemplazada",IF(H259="","Sin fecha",IF(H259&lt;0,"Vencida",IF(H259&lt;=IFERROR(IF(INDEX(Protocolo!$E$5:$E$54,MATCH(B259,Protocolo!$A$5:$A$54,0))="",30,INDEX(Protocolo!$E$5:$E$54,MATCH(B259,Protocolo!$A$5:$A$54,0))),30),"Por vencer","Vigente")))))</f>
      </c>
      <c r="K259" s="10"/>
    </row>
    <row r="260" spans="1:11" x14ac:dyDescent="0.25">
      <c r="A260" s="10"/>
      <c r="B260" s="10"/>
      <c r="C260" s="12">
        <f>IF(B260="","",IFERROR(INDEX(Protocolo!$B$5:$B$54,MATCH(B260,Protocolo!$A$5:$A$54,0)),""))</f>
      </c>
      <c r="D260" s="16"/>
      <c r="E260" s="10"/>
      <c r="F260" s="10"/>
      <c r="G260" s="14">
        <f>IF(OR(B260="",D260=""),"",IFERROR(IF(INDEX(Protocolo!$D$5:$D$54,MATCH(B260,Protocolo!$A$5:$A$54,0))="meses",EDATE(D260,INDEX(Protocolo!$C$5:$C$54,MATCH(B260,Protocolo!$A$5:$A$54,0))),D260+INDEX(Protocolo!$C$5:$C$54,MATCH(B260,Protocolo!$A$5:$A$54,0))*IF(INDEX(Protocolo!$D$5:$D$54,MATCH(B260,Protocolo!$A$5:$A$54,0))="semanas",7,1)),""))</f>
      </c>
      <c r="H260" s="15">
        <f>IF(G260="","",G260-TODAY())</f>
      </c>
      <c r="I260" s="12">
        <f>IF(OR(A260="",B260="",D260=""),"",IF(D260=SUMPRODUCT(MAX(($A$5:$A$504=A260)*($B$5:$B$504=B260)*$D$5:$D$504)),"Sí","Reemplazada"))</f>
      </c>
      <c r="J260" s="12">
        <f>IF(I260="","",IF(I260="Reemplazada","Reemplazada",IF(H260="","Sin fecha",IF(H260&lt;0,"Vencida",IF(H260&lt;=IFERROR(IF(INDEX(Protocolo!$E$5:$E$54,MATCH(B260,Protocolo!$A$5:$A$54,0))="",30,INDEX(Protocolo!$E$5:$E$54,MATCH(B260,Protocolo!$A$5:$A$54,0))),30),"Por vencer","Vigente")))))</f>
      </c>
      <c r="K260" s="10"/>
    </row>
    <row r="261" spans="1:11" x14ac:dyDescent="0.25">
      <c r="A261" s="10"/>
      <c r="B261" s="10"/>
      <c r="C261" s="12">
        <f>IF(B261="","",IFERROR(INDEX(Protocolo!$B$5:$B$54,MATCH(B261,Protocolo!$A$5:$A$54,0)),""))</f>
      </c>
      <c r="D261" s="16"/>
      <c r="E261" s="10"/>
      <c r="F261" s="10"/>
      <c r="G261" s="14">
        <f>IF(OR(B261="",D261=""),"",IFERROR(IF(INDEX(Protocolo!$D$5:$D$54,MATCH(B261,Protocolo!$A$5:$A$54,0))="meses",EDATE(D261,INDEX(Protocolo!$C$5:$C$54,MATCH(B261,Protocolo!$A$5:$A$54,0))),D261+INDEX(Protocolo!$C$5:$C$54,MATCH(B261,Protocolo!$A$5:$A$54,0))*IF(INDEX(Protocolo!$D$5:$D$54,MATCH(B261,Protocolo!$A$5:$A$54,0))="semanas",7,1)),""))</f>
      </c>
      <c r="H261" s="15">
        <f>IF(G261="","",G261-TODAY())</f>
      </c>
      <c r="I261" s="12">
        <f>IF(OR(A261="",B261="",D261=""),"",IF(D261=SUMPRODUCT(MAX(($A$5:$A$504=A261)*($B$5:$B$504=B261)*$D$5:$D$504)),"Sí","Reemplazada"))</f>
      </c>
      <c r="J261" s="12">
        <f>IF(I261="","",IF(I261="Reemplazada","Reemplazada",IF(H261="","Sin fecha",IF(H261&lt;0,"Vencida",IF(H261&lt;=IFERROR(IF(INDEX(Protocolo!$E$5:$E$54,MATCH(B261,Protocolo!$A$5:$A$54,0))="",30,INDEX(Protocolo!$E$5:$E$54,MATCH(B261,Protocolo!$A$5:$A$54,0))),30),"Por vencer","Vigente")))))</f>
      </c>
      <c r="K261" s="10"/>
    </row>
    <row r="262" spans="1:11" x14ac:dyDescent="0.25">
      <c r="A262" s="10"/>
      <c r="B262" s="10"/>
      <c r="C262" s="12">
        <f>IF(B262="","",IFERROR(INDEX(Protocolo!$B$5:$B$54,MATCH(B262,Protocolo!$A$5:$A$54,0)),""))</f>
      </c>
      <c r="D262" s="16"/>
      <c r="E262" s="10"/>
      <c r="F262" s="10"/>
      <c r="G262" s="14">
        <f>IF(OR(B262="",D262=""),"",IFERROR(IF(INDEX(Protocolo!$D$5:$D$54,MATCH(B262,Protocolo!$A$5:$A$54,0))="meses",EDATE(D262,INDEX(Protocolo!$C$5:$C$54,MATCH(B262,Protocolo!$A$5:$A$54,0))),D262+INDEX(Protocolo!$C$5:$C$54,MATCH(B262,Protocolo!$A$5:$A$54,0))*IF(INDEX(Protocolo!$D$5:$D$54,MATCH(B262,Protocolo!$A$5:$A$54,0))="semanas",7,1)),""))</f>
      </c>
      <c r="H262" s="15">
        <f>IF(G262="","",G262-TODAY())</f>
      </c>
      <c r="I262" s="12">
        <f>IF(OR(A262="",B262="",D262=""),"",IF(D262=SUMPRODUCT(MAX(($A$5:$A$504=A262)*($B$5:$B$504=B262)*$D$5:$D$504)),"Sí","Reemplazada"))</f>
      </c>
      <c r="J262" s="12">
        <f>IF(I262="","",IF(I262="Reemplazada","Reemplazada",IF(H262="","Sin fecha",IF(H262&lt;0,"Vencida",IF(H262&lt;=IFERROR(IF(INDEX(Protocolo!$E$5:$E$54,MATCH(B262,Protocolo!$A$5:$A$54,0))="",30,INDEX(Protocolo!$E$5:$E$54,MATCH(B262,Protocolo!$A$5:$A$54,0))),30),"Por vencer","Vigente")))))</f>
      </c>
      <c r="K262" s="10"/>
    </row>
    <row r="263" spans="1:11" x14ac:dyDescent="0.25">
      <c r="A263" s="10"/>
      <c r="B263" s="10"/>
      <c r="C263" s="12">
        <f>IF(B263="","",IFERROR(INDEX(Protocolo!$B$5:$B$54,MATCH(B263,Protocolo!$A$5:$A$54,0)),""))</f>
      </c>
      <c r="D263" s="16"/>
      <c r="E263" s="10"/>
      <c r="F263" s="10"/>
      <c r="G263" s="14">
        <f>IF(OR(B263="",D263=""),"",IFERROR(IF(INDEX(Protocolo!$D$5:$D$54,MATCH(B263,Protocolo!$A$5:$A$54,0))="meses",EDATE(D263,INDEX(Protocolo!$C$5:$C$54,MATCH(B263,Protocolo!$A$5:$A$54,0))),D263+INDEX(Protocolo!$C$5:$C$54,MATCH(B263,Protocolo!$A$5:$A$54,0))*IF(INDEX(Protocolo!$D$5:$D$54,MATCH(B263,Protocolo!$A$5:$A$54,0))="semanas",7,1)),""))</f>
      </c>
      <c r="H263" s="15">
        <f>IF(G263="","",G263-TODAY())</f>
      </c>
      <c r="I263" s="12">
        <f>IF(OR(A263="",B263="",D263=""),"",IF(D263=SUMPRODUCT(MAX(($A$5:$A$504=A263)*($B$5:$B$504=B263)*$D$5:$D$504)),"Sí","Reemplazada"))</f>
      </c>
      <c r="J263" s="12">
        <f>IF(I263="","",IF(I263="Reemplazada","Reemplazada",IF(H263="","Sin fecha",IF(H263&lt;0,"Vencida",IF(H263&lt;=IFERROR(IF(INDEX(Protocolo!$E$5:$E$54,MATCH(B263,Protocolo!$A$5:$A$54,0))="",30,INDEX(Protocolo!$E$5:$E$54,MATCH(B263,Protocolo!$A$5:$A$54,0))),30),"Por vencer","Vigente")))))</f>
      </c>
      <c r="K263" s="10"/>
    </row>
    <row r="264" spans="1:11" x14ac:dyDescent="0.25">
      <c r="A264" s="10"/>
      <c r="B264" s="10"/>
      <c r="C264" s="12">
        <f>IF(B264="","",IFERROR(INDEX(Protocolo!$B$5:$B$54,MATCH(B264,Protocolo!$A$5:$A$54,0)),""))</f>
      </c>
      <c r="D264" s="16"/>
      <c r="E264" s="10"/>
      <c r="F264" s="10"/>
      <c r="G264" s="14">
        <f>IF(OR(B264="",D264=""),"",IFERROR(IF(INDEX(Protocolo!$D$5:$D$54,MATCH(B264,Protocolo!$A$5:$A$54,0))="meses",EDATE(D264,INDEX(Protocolo!$C$5:$C$54,MATCH(B264,Protocolo!$A$5:$A$54,0))),D264+INDEX(Protocolo!$C$5:$C$54,MATCH(B264,Protocolo!$A$5:$A$54,0))*IF(INDEX(Protocolo!$D$5:$D$54,MATCH(B264,Protocolo!$A$5:$A$54,0))="semanas",7,1)),""))</f>
      </c>
      <c r="H264" s="15">
        <f>IF(G264="","",G264-TODAY())</f>
      </c>
      <c r="I264" s="12">
        <f>IF(OR(A264="",B264="",D264=""),"",IF(D264=SUMPRODUCT(MAX(($A$5:$A$504=A264)*($B$5:$B$504=B264)*$D$5:$D$504)),"Sí","Reemplazada"))</f>
      </c>
      <c r="J264" s="12">
        <f>IF(I264="","",IF(I264="Reemplazada","Reemplazada",IF(H264="","Sin fecha",IF(H264&lt;0,"Vencida",IF(H264&lt;=IFERROR(IF(INDEX(Protocolo!$E$5:$E$54,MATCH(B264,Protocolo!$A$5:$A$54,0))="",30,INDEX(Protocolo!$E$5:$E$54,MATCH(B264,Protocolo!$A$5:$A$54,0))),30),"Por vencer","Vigente")))))</f>
      </c>
      <c r="K264" s="10"/>
    </row>
    <row r="265" spans="1:11" x14ac:dyDescent="0.25">
      <c r="A265" s="10"/>
      <c r="B265" s="10"/>
      <c r="C265" s="12">
        <f>IF(B265="","",IFERROR(INDEX(Protocolo!$B$5:$B$54,MATCH(B265,Protocolo!$A$5:$A$54,0)),""))</f>
      </c>
      <c r="D265" s="16"/>
      <c r="E265" s="10"/>
      <c r="F265" s="10"/>
      <c r="G265" s="14">
        <f>IF(OR(B265="",D265=""),"",IFERROR(IF(INDEX(Protocolo!$D$5:$D$54,MATCH(B265,Protocolo!$A$5:$A$54,0))="meses",EDATE(D265,INDEX(Protocolo!$C$5:$C$54,MATCH(B265,Protocolo!$A$5:$A$54,0))),D265+INDEX(Protocolo!$C$5:$C$54,MATCH(B265,Protocolo!$A$5:$A$54,0))*IF(INDEX(Protocolo!$D$5:$D$54,MATCH(B265,Protocolo!$A$5:$A$54,0))="semanas",7,1)),""))</f>
      </c>
      <c r="H265" s="15">
        <f>IF(G265="","",G265-TODAY())</f>
      </c>
      <c r="I265" s="12">
        <f>IF(OR(A265="",B265="",D265=""),"",IF(D265=SUMPRODUCT(MAX(($A$5:$A$504=A265)*($B$5:$B$504=B265)*$D$5:$D$504)),"Sí","Reemplazada"))</f>
      </c>
      <c r="J265" s="12">
        <f>IF(I265="","",IF(I265="Reemplazada","Reemplazada",IF(H265="","Sin fecha",IF(H265&lt;0,"Vencida",IF(H265&lt;=IFERROR(IF(INDEX(Protocolo!$E$5:$E$54,MATCH(B265,Protocolo!$A$5:$A$54,0))="",30,INDEX(Protocolo!$E$5:$E$54,MATCH(B265,Protocolo!$A$5:$A$54,0))),30),"Por vencer","Vigente")))))</f>
      </c>
      <c r="K265" s="10"/>
    </row>
    <row r="266" spans="1:11" x14ac:dyDescent="0.25">
      <c r="A266" s="10"/>
      <c r="B266" s="10"/>
      <c r="C266" s="12">
        <f>IF(B266="","",IFERROR(INDEX(Protocolo!$B$5:$B$54,MATCH(B266,Protocolo!$A$5:$A$54,0)),""))</f>
      </c>
      <c r="D266" s="16"/>
      <c r="E266" s="10"/>
      <c r="F266" s="10"/>
      <c r="G266" s="14">
        <f>IF(OR(B266="",D266=""),"",IFERROR(IF(INDEX(Protocolo!$D$5:$D$54,MATCH(B266,Protocolo!$A$5:$A$54,0))="meses",EDATE(D266,INDEX(Protocolo!$C$5:$C$54,MATCH(B266,Protocolo!$A$5:$A$54,0))),D266+INDEX(Protocolo!$C$5:$C$54,MATCH(B266,Protocolo!$A$5:$A$54,0))*IF(INDEX(Protocolo!$D$5:$D$54,MATCH(B266,Protocolo!$A$5:$A$54,0))="semanas",7,1)),""))</f>
      </c>
      <c r="H266" s="15">
        <f>IF(G266="","",G266-TODAY())</f>
      </c>
      <c r="I266" s="12">
        <f>IF(OR(A266="",B266="",D266=""),"",IF(D266=SUMPRODUCT(MAX(($A$5:$A$504=A266)*($B$5:$B$504=B266)*$D$5:$D$504)),"Sí","Reemplazada"))</f>
      </c>
      <c r="J266" s="12">
        <f>IF(I266="","",IF(I266="Reemplazada","Reemplazada",IF(H266="","Sin fecha",IF(H266&lt;0,"Vencida",IF(H266&lt;=IFERROR(IF(INDEX(Protocolo!$E$5:$E$54,MATCH(B266,Protocolo!$A$5:$A$54,0))="",30,INDEX(Protocolo!$E$5:$E$54,MATCH(B266,Protocolo!$A$5:$A$54,0))),30),"Por vencer","Vigente")))))</f>
      </c>
      <c r="K266" s="10"/>
    </row>
    <row r="267" spans="1:11" x14ac:dyDescent="0.25">
      <c r="A267" s="10"/>
      <c r="B267" s="10"/>
      <c r="C267" s="12">
        <f>IF(B267="","",IFERROR(INDEX(Protocolo!$B$5:$B$54,MATCH(B267,Protocolo!$A$5:$A$54,0)),""))</f>
      </c>
      <c r="D267" s="16"/>
      <c r="E267" s="10"/>
      <c r="F267" s="10"/>
      <c r="G267" s="14">
        <f>IF(OR(B267="",D267=""),"",IFERROR(IF(INDEX(Protocolo!$D$5:$D$54,MATCH(B267,Protocolo!$A$5:$A$54,0))="meses",EDATE(D267,INDEX(Protocolo!$C$5:$C$54,MATCH(B267,Protocolo!$A$5:$A$54,0))),D267+INDEX(Protocolo!$C$5:$C$54,MATCH(B267,Protocolo!$A$5:$A$54,0))*IF(INDEX(Protocolo!$D$5:$D$54,MATCH(B267,Protocolo!$A$5:$A$54,0))="semanas",7,1)),""))</f>
      </c>
      <c r="H267" s="15">
        <f>IF(G267="","",G267-TODAY())</f>
      </c>
      <c r="I267" s="12">
        <f>IF(OR(A267="",B267="",D267=""),"",IF(D267=SUMPRODUCT(MAX(($A$5:$A$504=A267)*($B$5:$B$504=B267)*$D$5:$D$504)),"Sí","Reemplazada"))</f>
      </c>
      <c r="J267" s="12">
        <f>IF(I267="","",IF(I267="Reemplazada","Reemplazada",IF(H267="","Sin fecha",IF(H267&lt;0,"Vencida",IF(H267&lt;=IFERROR(IF(INDEX(Protocolo!$E$5:$E$54,MATCH(B267,Protocolo!$A$5:$A$54,0))="",30,INDEX(Protocolo!$E$5:$E$54,MATCH(B267,Protocolo!$A$5:$A$54,0))),30),"Por vencer","Vigente")))))</f>
      </c>
      <c r="K267" s="10"/>
    </row>
    <row r="268" spans="1:11" x14ac:dyDescent="0.25">
      <c r="A268" s="10"/>
      <c r="B268" s="10"/>
      <c r="C268" s="12">
        <f>IF(B268="","",IFERROR(INDEX(Protocolo!$B$5:$B$54,MATCH(B268,Protocolo!$A$5:$A$54,0)),""))</f>
      </c>
      <c r="D268" s="16"/>
      <c r="E268" s="10"/>
      <c r="F268" s="10"/>
      <c r="G268" s="14">
        <f>IF(OR(B268="",D268=""),"",IFERROR(IF(INDEX(Protocolo!$D$5:$D$54,MATCH(B268,Protocolo!$A$5:$A$54,0))="meses",EDATE(D268,INDEX(Protocolo!$C$5:$C$54,MATCH(B268,Protocolo!$A$5:$A$54,0))),D268+INDEX(Protocolo!$C$5:$C$54,MATCH(B268,Protocolo!$A$5:$A$54,0))*IF(INDEX(Protocolo!$D$5:$D$54,MATCH(B268,Protocolo!$A$5:$A$54,0))="semanas",7,1)),""))</f>
      </c>
      <c r="H268" s="15">
        <f>IF(G268="","",G268-TODAY())</f>
      </c>
      <c r="I268" s="12">
        <f>IF(OR(A268="",B268="",D268=""),"",IF(D268=SUMPRODUCT(MAX(($A$5:$A$504=A268)*($B$5:$B$504=B268)*$D$5:$D$504)),"Sí","Reemplazada"))</f>
      </c>
      <c r="J268" s="12">
        <f>IF(I268="","",IF(I268="Reemplazada","Reemplazada",IF(H268="","Sin fecha",IF(H268&lt;0,"Vencida",IF(H268&lt;=IFERROR(IF(INDEX(Protocolo!$E$5:$E$54,MATCH(B268,Protocolo!$A$5:$A$54,0))="",30,INDEX(Protocolo!$E$5:$E$54,MATCH(B268,Protocolo!$A$5:$A$54,0))),30),"Por vencer","Vigente")))))</f>
      </c>
      <c r="K268" s="10"/>
    </row>
    <row r="269" spans="1:11" x14ac:dyDescent="0.25">
      <c r="A269" s="10"/>
      <c r="B269" s="10"/>
      <c r="C269" s="12">
        <f>IF(B269="","",IFERROR(INDEX(Protocolo!$B$5:$B$54,MATCH(B269,Protocolo!$A$5:$A$54,0)),""))</f>
      </c>
      <c r="D269" s="16"/>
      <c r="E269" s="10"/>
      <c r="F269" s="10"/>
      <c r="G269" s="14">
        <f>IF(OR(B269="",D269=""),"",IFERROR(IF(INDEX(Protocolo!$D$5:$D$54,MATCH(B269,Protocolo!$A$5:$A$54,0))="meses",EDATE(D269,INDEX(Protocolo!$C$5:$C$54,MATCH(B269,Protocolo!$A$5:$A$54,0))),D269+INDEX(Protocolo!$C$5:$C$54,MATCH(B269,Protocolo!$A$5:$A$54,0))*IF(INDEX(Protocolo!$D$5:$D$54,MATCH(B269,Protocolo!$A$5:$A$54,0))="semanas",7,1)),""))</f>
      </c>
      <c r="H269" s="15">
        <f>IF(G269="","",G269-TODAY())</f>
      </c>
      <c r="I269" s="12">
        <f>IF(OR(A269="",B269="",D269=""),"",IF(D269=SUMPRODUCT(MAX(($A$5:$A$504=A269)*($B$5:$B$504=B269)*$D$5:$D$504)),"Sí","Reemplazada"))</f>
      </c>
      <c r="J269" s="12">
        <f>IF(I269="","",IF(I269="Reemplazada","Reemplazada",IF(H269="","Sin fecha",IF(H269&lt;0,"Vencida",IF(H269&lt;=IFERROR(IF(INDEX(Protocolo!$E$5:$E$54,MATCH(B269,Protocolo!$A$5:$A$54,0))="",30,INDEX(Protocolo!$E$5:$E$54,MATCH(B269,Protocolo!$A$5:$A$54,0))),30),"Por vencer","Vigente")))))</f>
      </c>
      <c r="K269" s="10"/>
    </row>
    <row r="270" spans="1:11" x14ac:dyDescent="0.25">
      <c r="A270" s="10"/>
      <c r="B270" s="10"/>
      <c r="C270" s="12">
        <f>IF(B270="","",IFERROR(INDEX(Protocolo!$B$5:$B$54,MATCH(B270,Protocolo!$A$5:$A$54,0)),""))</f>
      </c>
      <c r="D270" s="16"/>
      <c r="E270" s="10"/>
      <c r="F270" s="10"/>
      <c r="G270" s="14">
        <f>IF(OR(B270="",D270=""),"",IFERROR(IF(INDEX(Protocolo!$D$5:$D$54,MATCH(B270,Protocolo!$A$5:$A$54,0))="meses",EDATE(D270,INDEX(Protocolo!$C$5:$C$54,MATCH(B270,Protocolo!$A$5:$A$54,0))),D270+INDEX(Protocolo!$C$5:$C$54,MATCH(B270,Protocolo!$A$5:$A$54,0))*IF(INDEX(Protocolo!$D$5:$D$54,MATCH(B270,Protocolo!$A$5:$A$54,0))="semanas",7,1)),""))</f>
      </c>
      <c r="H270" s="15">
        <f>IF(G270="","",G270-TODAY())</f>
      </c>
      <c r="I270" s="12">
        <f>IF(OR(A270="",B270="",D270=""),"",IF(D270=SUMPRODUCT(MAX(($A$5:$A$504=A270)*($B$5:$B$504=B270)*$D$5:$D$504)),"Sí","Reemplazada"))</f>
      </c>
      <c r="J270" s="12">
        <f>IF(I270="","",IF(I270="Reemplazada","Reemplazada",IF(H270="","Sin fecha",IF(H270&lt;0,"Vencida",IF(H270&lt;=IFERROR(IF(INDEX(Protocolo!$E$5:$E$54,MATCH(B270,Protocolo!$A$5:$A$54,0))="",30,INDEX(Protocolo!$E$5:$E$54,MATCH(B270,Protocolo!$A$5:$A$54,0))),30),"Por vencer","Vigente")))))</f>
      </c>
      <c r="K270" s="10"/>
    </row>
    <row r="271" spans="1:11" x14ac:dyDescent="0.25">
      <c r="A271" s="10"/>
      <c r="B271" s="10"/>
      <c r="C271" s="12">
        <f>IF(B271="","",IFERROR(INDEX(Protocolo!$B$5:$B$54,MATCH(B271,Protocolo!$A$5:$A$54,0)),""))</f>
      </c>
      <c r="D271" s="16"/>
      <c r="E271" s="10"/>
      <c r="F271" s="10"/>
      <c r="G271" s="14">
        <f>IF(OR(B271="",D271=""),"",IFERROR(IF(INDEX(Protocolo!$D$5:$D$54,MATCH(B271,Protocolo!$A$5:$A$54,0))="meses",EDATE(D271,INDEX(Protocolo!$C$5:$C$54,MATCH(B271,Protocolo!$A$5:$A$54,0))),D271+INDEX(Protocolo!$C$5:$C$54,MATCH(B271,Protocolo!$A$5:$A$54,0))*IF(INDEX(Protocolo!$D$5:$D$54,MATCH(B271,Protocolo!$A$5:$A$54,0))="semanas",7,1)),""))</f>
      </c>
      <c r="H271" s="15">
        <f>IF(G271="","",G271-TODAY())</f>
      </c>
      <c r="I271" s="12">
        <f>IF(OR(A271="",B271="",D271=""),"",IF(D271=SUMPRODUCT(MAX(($A$5:$A$504=A271)*($B$5:$B$504=B271)*$D$5:$D$504)),"Sí","Reemplazada"))</f>
      </c>
      <c r="J271" s="12">
        <f>IF(I271="","",IF(I271="Reemplazada","Reemplazada",IF(H271="","Sin fecha",IF(H271&lt;0,"Vencida",IF(H271&lt;=IFERROR(IF(INDEX(Protocolo!$E$5:$E$54,MATCH(B271,Protocolo!$A$5:$A$54,0))="",30,INDEX(Protocolo!$E$5:$E$54,MATCH(B271,Protocolo!$A$5:$A$54,0))),30),"Por vencer","Vigente")))))</f>
      </c>
      <c r="K271" s="10"/>
    </row>
    <row r="272" spans="1:11" x14ac:dyDescent="0.25">
      <c r="A272" s="10"/>
      <c r="B272" s="10"/>
      <c r="C272" s="12">
        <f>IF(B272="","",IFERROR(INDEX(Protocolo!$B$5:$B$54,MATCH(B272,Protocolo!$A$5:$A$54,0)),""))</f>
      </c>
      <c r="D272" s="16"/>
      <c r="E272" s="10"/>
      <c r="F272" s="10"/>
      <c r="G272" s="14">
        <f>IF(OR(B272="",D272=""),"",IFERROR(IF(INDEX(Protocolo!$D$5:$D$54,MATCH(B272,Protocolo!$A$5:$A$54,0))="meses",EDATE(D272,INDEX(Protocolo!$C$5:$C$54,MATCH(B272,Protocolo!$A$5:$A$54,0))),D272+INDEX(Protocolo!$C$5:$C$54,MATCH(B272,Protocolo!$A$5:$A$54,0))*IF(INDEX(Protocolo!$D$5:$D$54,MATCH(B272,Protocolo!$A$5:$A$54,0))="semanas",7,1)),""))</f>
      </c>
      <c r="H272" s="15">
        <f>IF(G272="","",G272-TODAY())</f>
      </c>
      <c r="I272" s="12">
        <f>IF(OR(A272="",B272="",D272=""),"",IF(D272=SUMPRODUCT(MAX(($A$5:$A$504=A272)*($B$5:$B$504=B272)*$D$5:$D$504)),"Sí","Reemplazada"))</f>
      </c>
      <c r="J272" s="12">
        <f>IF(I272="","",IF(I272="Reemplazada","Reemplazada",IF(H272="","Sin fecha",IF(H272&lt;0,"Vencida",IF(H272&lt;=IFERROR(IF(INDEX(Protocolo!$E$5:$E$54,MATCH(B272,Protocolo!$A$5:$A$54,0))="",30,INDEX(Protocolo!$E$5:$E$54,MATCH(B272,Protocolo!$A$5:$A$54,0))),30),"Por vencer","Vigente")))))</f>
      </c>
      <c r="K272" s="10"/>
    </row>
    <row r="273" spans="1:11" x14ac:dyDescent="0.25">
      <c r="A273" s="10"/>
      <c r="B273" s="10"/>
      <c r="C273" s="12">
        <f>IF(B273="","",IFERROR(INDEX(Protocolo!$B$5:$B$54,MATCH(B273,Protocolo!$A$5:$A$54,0)),""))</f>
      </c>
      <c r="D273" s="16"/>
      <c r="E273" s="10"/>
      <c r="F273" s="10"/>
      <c r="G273" s="14">
        <f>IF(OR(B273="",D273=""),"",IFERROR(IF(INDEX(Protocolo!$D$5:$D$54,MATCH(B273,Protocolo!$A$5:$A$54,0))="meses",EDATE(D273,INDEX(Protocolo!$C$5:$C$54,MATCH(B273,Protocolo!$A$5:$A$54,0))),D273+INDEX(Protocolo!$C$5:$C$54,MATCH(B273,Protocolo!$A$5:$A$54,0))*IF(INDEX(Protocolo!$D$5:$D$54,MATCH(B273,Protocolo!$A$5:$A$54,0))="semanas",7,1)),""))</f>
      </c>
      <c r="H273" s="15">
        <f>IF(G273="","",G273-TODAY())</f>
      </c>
      <c r="I273" s="12">
        <f>IF(OR(A273="",B273="",D273=""),"",IF(D273=SUMPRODUCT(MAX(($A$5:$A$504=A273)*($B$5:$B$504=B273)*$D$5:$D$504)),"Sí","Reemplazada"))</f>
      </c>
      <c r="J273" s="12">
        <f>IF(I273="","",IF(I273="Reemplazada","Reemplazada",IF(H273="","Sin fecha",IF(H273&lt;0,"Vencida",IF(H273&lt;=IFERROR(IF(INDEX(Protocolo!$E$5:$E$54,MATCH(B273,Protocolo!$A$5:$A$54,0))="",30,INDEX(Protocolo!$E$5:$E$54,MATCH(B273,Protocolo!$A$5:$A$54,0))),30),"Por vencer","Vigente")))))</f>
      </c>
      <c r="K273" s="10"/>
    </row>
    <row r="274" spans="1:11" x14ac:dyDescent="0.25">
      <c r="A274" s="10"/>
      <c r="B274" s="10"/>
      <c r="C274" s="12">
        <f>IF(B274="","",IFERROR(INDEX(Protocolo!$B$5:$B$54,MATCH(B274,Protocolo!$A$5:$A$54,0)),""))</f>
      </c>
      <c r="D274" s="16"/>
      <c r="E274" s="10"/>
      <c r="F274" s="10"/>
      <c r="G274" s="14">
        <f>IF(OR(B274="",D274=""),"",IFERROR(IF(INDEX(Protocolo!$D$5:$D$54,MATCH(B274,Protocolo!$A$5:$A$54,0))="meses",EDATE(D274,INDEX(Protocolo!$C$5:$C$54,MATCH(B274,Protocolo!$A$5:$A$54,0))),D274+INDEX(Protocolo!$C$5:$C$54,MATCH(B274,Protocolo!$A$5:$A$54,0))*IF(INDEX(Protocolo!$D$5:$D$54,MATCH(B274,Protocolo!$A$5:$A$54,0))="semanas",7,1)),""))</f>
      </c>
      <c r="H274" s="15">
        <f>IF(G274="","",G274-TODAY())</f>
      </c>
      <c r="I274" s="12">
        <f>IF(OR(A274="",B274="",D274=""),"",IF(D274=SUMPRODUCT(MAX(($A$5:$A$504=A274)*($B$5:$B$504=B274)*$D$5:$D$504)),"Sí","Reemplazada"))</f>
      </c>
      <c r="J274" s="12">
        <f>IF(I274="","",IF(I274="Reemplazada","Reemplazada",IF(H274="","Sin fecha",IF(H274&lt;0,"Vencida",IF(H274&lt;=IFERROR(IF(INDEX(Protocolo!$E$5:$E$54,MATCH(B274,Protocolo!$A$5:$A$54,0))="",30,INDEX(Protocolo!$E$5:$E$54,MATCH(B274,Protocolo!$A$5:$A$54,0))),30),"Por vencer","Vigente")))))</f>
      </c>
      <c r="K274" s="10"/>
    </row>
    <row r="275" spans="1:11" x14ac:dyDescent="0.25">
      <c r="A275" s="10"/>
      <c r="B275" s="10"/>
      <c r="C275" s="12">
        <f>IF(B275="","",IFERROR(INDEX(Protocolo!$B$5:$B$54,MATCH(B275,Protocolo!$A$5:$A$54,0)),""))</f>
      </c>
      <c r="D275" s="16"/>
      <c r="E275" s="10"/>
      <c r="F275" s="10"/>
      <c r="G275" s="14">
        <f>IF(OR(B275="",D275=""),"",IFERROR(IF(INDEX(Protocolo!$D$5:$D$54,MATCH(B275,Protocolo!$A$5:$A$54,0))="meses",EDATE(D275,INDEX(Protocolo!$C$5:$C$54,MATCH(B275,Protocolo!$A$5:$A$54,0))),D275+INDEX(Protocolo!$C$5:$C$54,MATCH(B275,Protocolo!$A$5:$A$54,0))*IF(INDEX(Protocolo!$D$5:$D$54,MATCH(B275,Protocolo!$A$5:$A$54,0))="semanas",7,1)),""))</f>
      </c>
      <c r="H275" s="15">
        <f>IF(G275="","",G275-TODAY())</f>
      </c>
      <c r="I275" s="12">
        <f>IF(OR(A275="",B275="",D275=""),"",IF(D275=SUMPRODUCT(MAX(($A$5:$A$504=A275)*($B$5:$B$504=B275)*$D$5:$D$504)),"Sí","Reemplazada"))</f>
      </c>
      <c r="J275" s="12">
        <f>IF(I275="","",IF(I275="Reemplazada","Reemplazada",IF(H275="","Sin fecha",IF(H275&lt;0,"Vencida",IF(H275&lt;=IFERROR(IF(INDEX(Protocolo!$E$5:$E$54,MATCH(B275,Protocolo!$A$5:$A$54,0))="",30,INDEX(Protocolo!$E$5:$E$54,MATCH(B275,Protocolo!$A$5:$A$54,0))),30),"Por vencer","Vigente")))))</f>
      </c>
      <c r="K275" s="10"/>
    </row>
    <row r="276" spans="1:11" x14ac:dyDescent="0.25">
      <c r="A276" s="10"/>
      <c r="B276" s="10"/>
      <c r="C276" s="12">
        <f>IF(B276="","",IFERROR(INDEX(Protocolo!$B$5:$B$54,MATCH(B276,Protocolo!$A$5:$A$54,0)),""))</f>
      </c>
      <c r="D276" s="16"/>
      <c r="E276" s="10"/>
      <c r="F276" s="10"/>
      <c r="G276" s="14">
        <f>IF(OR(B276="",D276=""),"",IFERROR(IF(INDEX(Protocolo!$D$5:$D$54,MATCH(B276,Protocolo!$A$5:$A$54,0))="meses",EDATE(D276,INDEX(Protocolo!$C$5:$C$54,MATCH(B276,Protocolo!$A$5:$A$54,0))),D276+INDEX(Protocolo!$C$5:$C$54,MATCH(B276,Protocolo!$A$5:$A$54,0))*IF(INDEX(Protocolo!$D$5:$D$54,MATCH(B276,Protocolo!$A$5:$A$54,0))="semanas",7,1)),""))</f>
      </c>
      <c r="H276" s="15">
        <f>IF(G276="","",G276-TODAY())</f>
      </c>
      <c r="I276" s="12">
        <f>IF(OR(A276="",B276="",D276=""),"",IF(D276=SUMPRODUCT(MAX(($A$5:$A$504=A276)*($B$5:$B$504=B276)*$D$5:$D$504)),"Sí","Reemplazada"))</f>
      </c>
      <c r="J276" s="12">
        <f>IF(I276="","",IF(I276="Reemplazada","Reemplazada",IF(H276="","Sin fecha",IF(H276&lt;0,"Vencida",IF(H276&lt;=IFERROR(IF(INDEX(Protocolo!$E$5:$E$54,MATCH(B276,Protocolo!$A$5:$A$54,0))="",30,INDEX(Protocolo!$E$5:$E$54,MATCH(B276,Protocolo!$A$5:$A$54,0))),30),"Por vencer","Vigente")))))</f>
      </c>
      <c r="K276" s="10"/>
    </row>
    <row r="277" spans="1:11" x14ac:dyDescent="0.25">
      <c r="A277" s="10"/>
      <c r="B277" s="10"/>
      <c r="C277" s="12">
        <f>IF(B277="","",IFERROR(INDEX(Protocolo!$B$5:$B$54,MATCH(B277,Protocolo!$A$5:$A$54,0)),""))</f>
      </c>
      <c r="D277" s="16"/>
      <c r="E277" s="10"/>
      <c r="F277" s="10"/>
      <c r="G277" s="14">
        <f>IF(OR(B277="",D277=""),"",IFERROR(IF(INDEX(Protocolo!$D$5:$D$54,MATCH(B277,Protocolo!$A$5:$A$54,0))="meses",EDATE(D277,INDEX(Protocolo!$C$5:$C$54,MATCH(B277,Protocolo!$A$5:$A$54,0))),D277+INDEX(Protocolo!$C$5:$C$54,MATCH(B277,Protocolo!$A$5:$A$54,0))*IF(INDEX(Protocolo!$D$5:$D$54,MATCH(B277,Protocolo!$A$5:$A$54,0))="semanas",7,1)),""))</f>
      </c>
      <c r="H277" s="15">
        <f>IF(G277="","",G277-TODAY())</f>
      </c>
      <c r="I277" s="12">
        <f>IF(OR(A277="",B277="",D277=""),"",IF(D277=SUMPRODUCT(MAX(($A$5:$A$504=A277)*($B$5:$B$504=B277)*$D$5:$D$504)),"Sí","Reemplazada"))</f>
      </c>
      <c r="J277" s="12">
        <f>IF(I277="","",IF(I277="Reemplazada","Reemplazada",IF(H277="","Sin fecha",IF(H277&lt;0,"Vencida",IF(H277&lt;=IFERROR(IF(INDEX(Protocolo!$E$5:$E$54,MATCH(B277,Protocolo!$A$5:$A$54,0))="",30,INDEX(Protocolo!$E$5:$E$54,MATCH(B277,Protocolo!$A$5:$A$54,0))),30),"Por vencer","Vigente")))))</f>
      </c>
      <c r="K277" s="10"/>
    </row>
    <row r="278" spans="1:11" x14ac:dyDescent="0.25">
      <c r="A278" s="10"/>
      <c r="B278" s="10"/>
      <c r="C278" s="12">
        <f>IF(B278="","",IFERROR(INDEX(Protocolo!$B$5:$B$54,MATCH(B278,Protocolo!$A$5:$A$54,0)),""))</f>
      </c>
      <c r="D278" s="16"/>
      <c r="E278" s="10"/>
      <c r="F278" s="10"/>
      <c r="G278" s="14">
        <f>IF(OR(B278="",D278=""),"",IFERROR(IF(INDEX(Protocolo!$D$5:$D$54,MATCH(B278,Protocolo!$A$5:$A$54,0))="meses",EDATE(D278,INDEX(Protocolo!$C$5:$C$54,MATCH(B278,Protocolo!$A$5:$A$54,0))),D278+INDEX(Protocolo!$C$5:$C$54,MATCH(B278,Protocolo!$A$5:$A$54,0))*IF(INDEX(Protocolo!$D$5:$D$54,MATCH(B278,Protocolo!$A$5:$A$54,0))="semanas",7,1)),""))</f>
      </c>
      <c r="H278" s="15">
        <f>IF(G278="","",G278-TODAY())</f>
      </c>
      <c r="I278" s="12">
        <f>IF(OR(A278="",B278="",D278=""),"",IF(D278=SUMPRODUCT(MAX(($A$5:$A$504=A278)*($B$5:$B$504=B278)*$D$5:$D$504)),"Sí","Reemplazada"))</f>
      </c>
      <c r="J278" s="12">
        <f>IF(I278="","",IF(I278="Reemplazada","Reemplazada",IF(H278="","Sin fecha",IF(H278&lt;0,"Vencida",IF(H278&lt;=IFERROR(IF(INDEX(Protocolo!$E$5:$E$54,MATCH(B278,Protocolo!$A$5:$A$54,0))="",30,INDEX(Protocolo!$E$5:$E$54,MATCH(B278,Protocolo!$A$5:$A$54,0))),30),"Por vencer","Vigente")))))</f>
      </c>
      <c r="K278" s="10"/>
    </row>
    <row r="279" spans="1:11" x14ac:dyDescent="0.25">
      <c r="A279" s="10"/>
      <c r="B279" s="10"/>
      <c r="C279" s="12">
        <f>IF(B279="","",IFERROR(INDEX(Protocolo!$B$5:$B$54,MATCH(B279,Protocolo!$A$5:$A$54,0)),""))</f>
      </c>
      <c r="D279" s="16"/>
      <c r="E279" s="10"/>
      <c r="F279" s="10"/>
      <c r="G279" s="14">
        <f>IF(OR(B279="",D279=""),"",IFERROR(IF(INDEX(Protocolo!$D$5:$D$54,MATCH(B279,Protocolo!$A$5:$A$54,0))="meses",EDATE(D279,INDEX(Protocolo!$C$5:$C$54,MATCH(B279,Protocolo!$A$5:$A$54,0))),D279+INDEX(Protocolo!$C$5:$C$54,MATCH(B279,Protocolo!$A$5:$A$54,0))*IF(INDEX(Protocolo!$D$5:$D$54,MATCH(B279,Protocolo!$A$5:$A$54,0))="semanas",7,1)),""))</f>
      </c>
      <c r="H279" s="15">
        <f>IF(G279="","",G279-TODAY())</f>
      </c>
      <c r="I279" s="12">
        <f>IF(OR(A279="",B279="",D279=""),"",IF(D279=SUMPRODUCT(MAX(($A$5:$A$504=A279)*($B$5:$B$504=B279)*$D$5:$D$504)),"Sí","Reemplazada"))</f>
      </c>
      <c r="J279" s="12">
        <f>IF(I279="","",IF(I279="Reemplazada","Reemplazada",IF(H279="","Sin fecha",IF(H279&lt;0,"Vencida",IF(H279&lt;=IFERROR(IF(INDEX(Protocolo!$E$5:$E$54,MATCH(B279,Protocolo!$A$5:$A$54,0))="",30,INDEX(Protocolo!$E$5:$E$54,MATCH(B279,Protocolo!$A$5:$A$54,0))),30),"Por vencer","Vigente")))))</f>
      </c>
      <c r="K279" s="10"/>
    </row>
    <row r="280" spans="1:11" x14ac:dyDescent="0.25">
      <c r="A280" s="10"/>
      <c r="B280" s="10"/>
      <c r="C280" s="12">
        <f>IF(B280="","",IFERROR(INDEX(Protocolo!$B$5:$B$54,MATCH(B280,Protocolo!$A$5:$A$54,0)),""))</f>
      </c>
      <c r="D280" s="16"/>
      <c r="E280" s="10"/>
      <c r="F280" s="10"/>
      <c r="G280" s="14">
        <f>IF(OR(B280="",D280=""),"",IFERROR(IF(INDEX(Protocolo!$D$5:$D$54,MATCH(B280,Protocolo!$A$5:$A$54,0))="meses",EDATE(D280,INDEX(Protocolo!$C$5:$C$54,MATCH(B280,Protocolo!$A$5:$A$54,0))),D280+INDEX(Protocolo!$C$5:$C$54,MATCH(B280,Protocolo!$A$5:$A$54,0))*IF(INDEX(Protocolo!$D$5:$D$54,MATCH(B280,Protocolo!$A$5:$A$54,0))="semanas",7,1)),""))</f>
      </c>
      <c r="H280" s="15">
        <f>IF(G280="","",G280-TODAY())</f>
      </c>
      <c r="I280" s="12">
        <f>IF(OR(A280="",B280="",D280=""),"",IF(D280=SUMPRODUCT(MAX(($A$5:$A$504=A280)*($B$5:$B$504=B280)*$D$5:$D$504)),"Sí","Reemplazada"))</f>
      </c>
      <c r="J280" s="12">
        <f>IF(I280="","",IF(I280="Reemplazada","Reemplazada",IF(H280="","Sin fecha",IF(H280&lt;0,"Vencida",IF(H280&lt;=IFERROR(IF(INDEX(Protocolo!$E$5:$E$54,MATCH(B280,Protocolo!$A$5:$A$54,0))="",30,INDEX(Protocolo!$E$5:$E$54,MATCH(B280,Protocolo!$A$5:$A$54,0))),30),"Por vencer","Vigente")))))</f>
      </c>
      <c r="K280" s="10"/>
    </row>
    <row r="281" spans="1:11" x14ac:dyDescent="0.25">
      <c r="A281" s="10"/>
      <c r="B281" s="10"/>
      <c r="C281" s="12">
        <f>IF(B281="","",IFERROR(INDEX(Protocolo!$B$5:$B$54,MATCH(B281,Protocolo!$A$5:$A$54,0)),""))</f>
      </c>
      <c r="D281" s="16"/>
      <c r="E281" s="10"/>
      <c r="F281" s="10"/>
      <c r="G281" s="14">
        <f>IF(OR(B281="",D281=""),"",IFERROR(IF(INDEX(Protocolo!$D$5:$D$54,MATCH(B281,Protocolo!$A$5:$A$54,0))="meses",EDATE(D281,INDEX(Protocolo!$C$5:$C$54,MATCH(B281,Protocolo!$A$5:$A$54,0))),D281+INDEX(Protocolo!$C$5:$C$54,MATCH(B281,Protocolo!$A$5:$A$54,0))*IF(INDEX(Protocolo!$D$5:$D$54,MATCH(B281,Protocolo!$A$5:$A$54,0))="semanas",7,1)),""))</f>
      </c>
      <c r="H281" s="15">
        <f>IF(G281="","",G281-TODAY())</f>
      </c>
      <c r="I281" s="12">
        <f>IF(OR(A281="",B281="",D281=""),"",IF(D281=SUMPRODUCT(MAX(($A$5:$A$504=A281)*($B$5:$B$504=B281)*$D$5:$D$504)),"Sí","Reemplazada"))</f>
      </c>
      <c r="J281" s="12">
        <f>IF(I281="","",IF(I281="Reemplazada","Reemplazada",IF(H281="","Sin fecha",IF(H281&lt;0,"Vencida",IF(H281&lt;=IFERROR(IF(INDEX(Protocolo!$E$5:$E$54,MATCH(B281,Protocolo!$A$5:$A$54,0))="",30,INDEX(Protocolo!$E$5:$E$54,MATCH(B281,Protocolo!$A$5:$A$54,0))),30),"Por vencer","Vigente")))))</f>
      </c>
      <c r="K281" s="10"/>
    </row>
    <row r="282" spans="1:11" x14ac:dyDescent="0.25">
      <c r="A282" s="10"/>
      <c r="B282" s="10"/>
      <c r="C282" s="12">
        <f>IF(B282="","",IFERROR(INDEX(Protocolo!$B$5:$B$54,MATCH(B282,Protocolo!$A$5:$A$54,0)),""))</f>
      </c>
      <c r="D282" s="16"/>
      <c r="E282" s="10"/>
      <c r="F282" s="10"/>
      <c r="G282" s="14">
        <f>IF(OR(B282="",D282=""),"",IFERROR(IF(INDEX(Protocolo!$D$5:$D$54,MATCH(B282,Protocolo!$A$5:$A$54,0))="meses",EDATE(D282,INDEX(Protocolo!$C$5:$C$54,MATCH(B282,Protocolo!$A$5:$A$54,0))),D282+INDEX(Protocolo!$C$5:$C$54,MATCH(B282,Protocolo!$A$5:$A$54,0))*IF(INDEX(Protocolo!$D$5:$D$54,MATCH(B282,Protocolo!$A$5:$A$54,0))="semanas",7,1)),""))</f>
      </c>
      <c r="H282" s="15">
        <f>IF(G282="","",G282-TODAY())</f>
      </c>
      <c r="I282" s="12">
        <f>IF(OR(A282="",B282="",D282=""),"",IF(D282=SUMPRODUCT(MAX(($A$5:$A$504=A282)*($B$5:$B$504=B282)*$D$5:$D$504)),"Sí","Reemplazada"))</f>
      </c>
      <c r="J282" s="12">
        <f>IF(I282="","",IF(I282="Reemplazada","Reemplazada",IF(H282="","Sin fecha",IF(H282&lt;0,"Vencida",IF(H282&lt;=IFERROR(IF(INDEX(Protocolo!$E$5:$E$54,MATCH(B282,Protocolo!$A$5:$A$54,0))="",30,INDEX(Protocolo!$E$5:$E$54,MATCH(B282,Protocolo!$A$5:$A$54,0))),30),"Por vencer","Vigente")))))</f>
      </c>
      <c r="K282" s="10"/>
    </row>
    <row r="283" spans="1:11" x14ac:dyDescent="0.25">
      <c r="A283" s="10"/>
      <c r="B283" s="10"/>
      <c r="C283" s="12">
        <f>IF(B283="","",IFERROR(INDEX(Protocolo!$B$5:$B$54,MATCH(B283,Protocolo!$A$5:$A$54,0)),""))</f>
      </c>
      <c r="D283" s="16"/>
      <c r="E283" s="10"/>
      <c r="F283" s="10"/>
      <c r="G283" s="14">
        <f>IF(OR(B283="",D283=""),"",IFERROR(IF(INDEX(Protocolo!$D$5:$D$54,MATCH(B283,Protocolo!$A$5:$A$54,0))="meses",EDATE(D283,INDEX(Protocolo!$C$5:$C$54,MATCH(B283,Protocolo!$A$5:$A$54,0))),D283+INDEX(Protocolo!$C$5:$C$54,MATCH(B283,Protocolo!$A$5:$A$54,0))*IF(INDEX(Protocolo!$D$5:$D$54,MATCH(B283,Protocolo!$A$5:$A$54,0))="semanas",7,1)),""))</f>
      </c>
      <c r="H283" s="15">
        <f>IF(G283="","",G283-TODAY())</f>
      </c>
      <c r="I283" s="12">
        <f>IF(OR(A283="",B283="",D283=""),"",IF(D283=SUMPRODUCT(MAX(($A$5:$A$504=A283)*($B$5:$B$504=B283)*$D$5:$D$504)),"Sí","Reemplazada"))</f>
      </c>
      <c r="J283" s="12">
        <f>IF(I283="","",IF(I283="Reemplazada","Reemplazada",IF(H283="","Sin fecha",IF(H283&lt;0,"Vencida",IF(H283&lt;=IFERROR(IF(INDEX(Protocolo!$E$5:$E$54,MATCH(B283,Protocolo!$A$5:$A$54,0))="",30,INDEX(Protocolo!$E$5:$E$54,MATCH(B283,Protocolo!$A$5:$A$54,0))),30),"Por vencer","Vigente")))))</f>
      </c>
      <c r="K283" s="10"/>
    </row>
    <row r="284" spans="1:11" x14ac:dyDescent="0.25">
      <c r="A284" s="10"/>
      <c r="B284" s="10"/>
      <c r="C284" s="12">
        <f>IF(B284="","",IFERROR(INDEX(Protocolo!$B$5:$B$54,MATCH(B284,Protocolo!$A$5:$A$54,0)),""))</f>
      </c>
      <c r="D284" s="16"/>
      <c r="E284" s="10"/>
      <c r="F284" s="10"/>
      <c r="G284" s="14">
        <f>IF(OR(B284="",D284=""),"",IFERROR(IF(INDEX(Protocolo!$D$5:$D$54,MATCH(B284,Protocolo!$A$5:$A$54,0))="meses",EDATE(D284,INDEX(Protocolo!$C$5:$C$54,MATCH(B284,Protocolo!$A$5:$A$54,0))),D284+INDEX(Protocolo!$C$5:$C$54,MATCH(B284,Protocolo!$A$5:$A$54,0))*IF(INDEX(Protocolo!$D$5:$D$54,MATCH(B284,Protocolo!$A$5:$A$54,0))="semanas",7,1)),""))</f>
      </c>
      <c r="H284" s="15">
        <f>IF(G284="","",G284-TODAY())</f>
      </c>
      <c r="I284" s="12">
        <f>IF(OR(A284="",B284="",D284=""),"",IF(D284=SUMPRODUCT(MAX(($A$5:$A$504=A284)*($B$5:$B$504=B284)*$D$5:$D$504)),"Sí","Reemplazada"))</f>
      </c>
      <c r="J284" s="12">
        <f>IF(I284="","",IF(I284="Reemplazada","Reemplazada",IF(H284="","Sin fecha",IF(H284&lt;0,"Vencida",IF(H284&lt;=IFERROR(IF(INDEX(Protocolo!$E$5:$E$54,MATCH(B284,Protocolo!$A$5:$A$54,0))="",30,INDEX(Protocolo!$E$5:$E$54,MATCH(B284,Protocolo!$A$5:$A$54,0))),30),"Por vencer","Vigente")))))</f>
      </c>
      <c r="K284" s="10"/>
    </row>
    <row r="285" spans="1:11" x14ac:dyDescent="0.25">
      <c r="A285" s="10"/>
      <c r="B285" s="10"/>
      <c r="C285" s="12">
        <f>IF(B285="","",IFERROR(INDEX(Protocolo!$B$5:$B$54,MATCH(B285,Protocolo!$A$5:$A$54,0)),""))</f>
      </c>
      <c r="D285" s="16"/>
      <c r="E285" s="10"/>
      <c r="F285" s="10"/>
      <c r="G285" s="14">
        <f>IF(OR(B285="",D285=""),"",IFERROR(IF(INDEX(Protocolo!$D$5:$D$54,MATCH(B285,Protocolo!$A$5:$A$54,0))="meses",EDATE(D285,INDEX(Protocolo!$C$5:$C$54,MATCH(B285,Protocolo!$A$5:$A$54,0))),D285+INDEX(Protocolo!$C$5:$C$54,MATCH(B285,Protocolo!$A$5:$A$54,0))*IF(INDEX(Protocolo!$D$5:$D$54,MATCH(B285,Protocolo!$A$5:$A$54,0))="semanas",7,1)),""))</f>
      </c>
      <c r="H285" s="15">
        <f>IF(G285="","",G285-TODAY())</f>
      </c>
      <c r="I285" s="12">
        <f>IF(OR(A285="",B285="",D285=""),"",IF(D285=SUMPRODUCT(MAX(($A$5:$A$504=A285)*($B$5:$B$504=B285)*$D$5:$D$504)),"Sí","Reemplazada"))</f>
      </c>
      <c r="J285" s="12">
        <f>IF(I285="","",IF(I285="Reemplazada","Reemplazada",IF(H285="","Sin fecha",IF(H285&lt;0,"Vencida",IF(H285&lt;=IFERROR(IF(INDEX(Protocolo!$E$5:$E$54,MATCH(B285,Protocolo!$A$5:$A$54,0))="",30,INDEX(Protocolo!$E$5:$E$54,MATCH(B285,Protocolo!$A$5:$A$54,0))),30),"Por vencer","Vigente")))))</f>
      </c>
      <c r="K285" s="10"/>
    </row>
    <row r="286" spans="1:11" x14ac:dyDescent="0.25">
      <c r="A286" s="10"/>
      <c r="B286" s="10"/>
      <c r="C286" s="12">
        <f>IF(B286="","",IFERROR(INDEX(Protocolo!$B$5:$B$54,MATCH(B286,Protocolo!$A$5:$A$54,0)),""))</f>
      </c>
      <c r="D286" s="16"/>
      <c r="E286" s="10"/>
      <c r="F286" s="10"/>
      <c r="G286" s="14">
        <f>IF(OR(B286="",D286=""),"",IFERROR(IF(INDEX(Protocolo!$D$5:$D$54,MATCH(B286,Protocolo!$A$5:$A$54,0))="meses",EDATE(D286,INDEX(Protocolo!$C$5:$C$54,MATCH(B286,Protocolo!$A$5:$A$54,0))),D286+INDEX(Protocolo!$C$5:$C$54,MATCH(B286,Protocolo!$A$5:$A$54,0))*IF(INDEX(Protocolo!$D$5:$D$54,MATCH(B286,Protocolo!$A$5:$A$54,0))="semanas",7,1)),""))</f>
      </c>
      <c r="H286" s="15">
        <f>IF(G286="","",G286-TODAY())</f>
      </c>
      <c r="I286" s="12">
        <f>IF(OR(A286="",B286="",D286=""),"",IF(D286=SUMPRODUCT(MAX(($A$5:$A$504=A286)*($B$5:$B$504=B286)*$D$5:$D$504)),"Sí","Reemplazada"))</f>
      </c>
      <c r="J286" s="12">
        <f>IF(I286="","",IF(I286="Reemplazada","Reemplazada",IF(H286="","Sin fecha",IF(H286&lt;0,"Vencida",IF(H286&lt;=IFERROR(IF(INDEX(Protocolo!$E$5:$E$54,MATCH(B286,Protocolo!$A$5:$A$54,0))="",30,INDEX(Protocolo!$E$5:$E$54,MATCH(B286,Protocolo!$A$5:$A$54,0))),30),"Por vencer","Vigente")))))</f>
      </c>
      <c r="K286" s="10"/>
    </row>
    <row r="287" spans="1:11" x14ac:dyDescent="0.25">
      <c r="A287" s="10"/>
      <c r="B287" s="10"/>
      <c r="C287" s="12">
        <f>IF(B287="","",IFERROR(INDEX(Protocolo!$B$5:$B$54,MATCH(B287,Protocolo!$A$5:$A$54,0)),""))</f>
      </c>
      <c r="D287" s="16"/>
      <c r="E287" s="10"/>
      <c r="F287" s="10"/>
      <c r="G287" s="14">
        <f>IF(OR(B287="",D287=""),"",IFERROR(IF(INDEX(Protocolo!$D$5:$D$54,MATCH(B287,Protocolo!$A$5:$A$54,0))="meses",EDATE(D287,INDEX(Protocolo!$C$5:$C$54,MATCH(B287,Protocolo!$A$5:$A$54,0))),D287+INDEX(Protocolo!$C$5:$C$54,MATCH(B287,Protocolo!$A$5:$A$54,0))*IF(INDEX(Protocolo!$D$5:$D$54,MATCH(B287,Protocolo!$A$5:$A$54,0))="semanas",7,1)),""))</f>
      </c>
      <c r="H287" s="15">
        <f>IF(G287="","",G287-TODAY())</f>
      </c>
      <c r="I287" s="12">
        <f>IF(OR(A287="",B287="",D287=""),"",IF(D287=SUMPRODUCT(MAX(($A$5:$A$504=A287)*($B$5:$B$504=B287)*$D$5:$D$504)),"Sí","Reemplazada"))</f>
      </c>
      <c r="J287" s="12">
        <f>IF(I287="","",IF(I287="Reemplazada","Reemplazada",IF(H287="","Sin fecha",IF(H287&lt;0,"Vencida",IF(H287&lt;=IFERROR(IF(INDEX(Protocolo!$E$5:$E$54,MATCH(B287,Protocolo!$A$5:$A$54,0))="",30,INDEX(Protocolo!$E$5:$E$54,MATCH(B287,Protocolo!$A$5:$A$54,0))),30),"Por vencer","Vigente")))))</f>
      </c>
      <c r="K287" s="10"/>
    </row>
    <row r="288" spans="1:11" x14ac:dyDescent="0.25">
      <c r="A288" s="10"/>
      <c r="B288" s="10"/>
      <c r="C288" s="12">
        <f>IF(B288="","",IFERROR(INDEX(Protocolo!$B$5:$B$54,MATCH(B288,Protocolo!$A$5:$A$54,0)),""))</f>
      </c>
      <c r="D288" s="16"/>
      <c r="E288" s="10"/>
      <c r="F288" s="10"/>
      <c r="G288" s="14">
        <f>IF(OR(B288="",D288=""),"",IFERROR(IF(INDEX(Protocolo!$D$5:$D$54,MATCH(B288,Protocolo!$A$5:$A$54,0))="meses",EDATE(D288,INDEX(Protocolo!$C$5:$C$54,MATCH(B288,Protocolo!$A$5:$A$54,0))),D288+INDEX(Protocolo!$C$5:$C$54,MATCH(B288,Protocolo!$A$5:$A$54,0))*IF(INDEX(Protocolo!$D$5:$D$54,MATCH(B288,Protocolo!$A$5:$A$54,0))="semanas",7,1)),""))</f>
      </c>
      <c r="H288" s="15">
        <f>IF(G288="","",G288-TODAY())</f>
      </c>
      <c r="I288" s="12">
        <f>IF(OR(A288="",B288="",D288=""),"",IF(D288=SUMPRODUCT(MAX(($A$5:$A$504=A288)*($B$5:$B$504=B288)*$D$5:$D$504)),"Sí","Reemplazada"))</f>
      </c>
      <c r="J288" s="12">
        <f>IF(I288="","",IF(I288="Reemplazada","Reemplazada",IF(H288="","Sin fecha",IF(H288&lt;0,"Vencida",IF(H288&lt;=IFERROR(IF(INDEX(Protocolo!$E$5:$E$54,MATCH(B288,Protocolo!$A$5:$A$54,0))="",30,INDEX(Protocolo!$E$5:$E$54,MATCH(B288,Protocolo!$A$5:$A$54,0))),30),"Por vencer","Vigente")))))</f>
      </c>
      <c r="K288" s="10"/>
    </row>
    <row r="289" spans="1:11" x14ac:dyDescent="0.25">
      <c r="A289" s="10"/>
      <c r="B289" s="10"/>
      <c r="C289" s="12">
        <f>IF(B289="","",IFERROR(INDEX(Protocolo!$B$5:$B$54,MATCH(B289,Protocolo!$A$5:$A$54,0)),""))</f>
      </c>
      <c r="D289" s="16"/>
      <c r="E289" s="10"/>
      <c r="F289" s="10"/>
      <c r="G289" s="14">
        <f>IF(OR(B289="",D289=""),"",IFERROR(IF(INDEX(Protocolo!$D$5:$D$54,MATCH(B289,Protocolo!$A$5:$A$54,0))="meses",EDATE(D289,INDEX(Protocolo!$C$5:$C$54,MATCH(B289,Protocolo!$A$5:$A$54,0))),D289+INDEX(Protocolo!$C$5:$C$54,MATCH(B289,Protocolo!$A$5:$A$54,0))*IF(INDEX(Protocolo!$D$5:$D$54,MATCH(B289,Protocolo!$A$5:$A$54,0))="semanas",7,1)),""))</f>
      </c>
      <c r="H289" s="15">
        <f>IF(G289="","",G289-TODAY())</f>
      </c>
      <c r="I289" s="12">
        <f>IF(OR(A289="",B289="",D289=""),"",IF(D289=SUMPRODUCT(MAX(($A$5:$A$504=A289)*($B$5:$B$504=B289)*$D$5:$D$504)),"Sí","Reemplazada"))</f>
      </c>
      <c r="J289" s="12">
        <f>IF(I289="","",IF(I289="Reemplazada","Reemplazada",IF(H289="","Sin fecha",IF(H289&lt;0,"Vencida",IF(H289&lt;=IFERROR(IF(INDEX(Protocolo!$E$5:$E$54,MATCH(B289,Protocolo!$A$5:$A$54,0))="",30,INDEX(Protocolo!$E$5:$E$54,MATCH(B289,Protocolo!$A$5:$A$54,0))),30),"Por vencer","Vigente")))))</f>
      </c>
      <c r="K289" s="10"/>
    </row>
    <row r="290" spans="1:11" x14ac:dyDescent="0.25">
      <c r="A290" s="10"/>
      <c r="B290" s="10"/>
      <c r="C290" s="12">
        <f>IF(B290="","",IFERROR(INDEX(Protocolo!$B$5:$B$54,MATCH(B290,Protocolo!$A$5:$A$54,0)),""))</f>
      </c>
      <c r="D290" s="16"/>
      <c r="E290" s="10"/>
      <c r="F290" s="10"/>
      <c r="G290" s="14">
        <f>IF(OR(B290="",D290=""),"",IFERROR(IF(INDEX(Protocolo!$D$5:$D$54,MATCH(B290,Protocolo!$A$5:$A$54,0))="meses",EDATE(D290,INDEX(Protocolo!$C$5:$C$54,MATCH(B290,Protocolo!$A$5:$A$54,0))),D290+INDEX(Protocolo!$C$5:$C$54,MATCH(B290,Protocolo!$A$5:$A$54,0))*IF(INDEX(Protocolo!$D$5:$D$54,MATCH(B290,Protocolo!$A$5:$A$54,0))="semanas",7,1)),""))</f>
      </c>
      <c r="H290" s="15">
        <f>IF(G290="","",G290-TODAY())</f>
      </c>
      <c r="I290" s="12">
        <f>IF(OR(A290="",B290="",D290=""),"",IF(D290=SUMPRODUCT(MAX(($A$5:$A$504=A290)*($B$5:$B$504=B290)*$D$5:$D$504)),"Sí","Reemplazada"))</f>
      </c>
      <c r="J290" s="12">
        <f>IF(I290="","",IF(I290="Reemplazada","Reemplazada",IF(H290="","Sin fecha",IF(H290&lt;0,"Vencida",IF(H290&lt;=IFERROR(IF(INDEX(Protocolo!$E$5:$E$54,MATCH(B290,Protocolo!$A$5:$A$54,0))="",30,INDEX(Protocolo!$E$5:$E$54,MATCH(B290,Protocolo!$A$5:$A$54,0))),30),"Por vencer","Vigente")))))</f>
      </c>
      <c r="K290" s="10"/>
    </row>
    <row r="291" spans="1:11" x14ac:dyDescent="0.25">
      <c r="A291" s="10"/>
      <c r="B291" s="10"/>
      <c r="C291" s="12">
        <f>IF(B291="","",IFERROR(INDEX(Protocolo!$B$5:$B$54,MATCH(B291,Protocolo!$A$5:$A$54,0)),""))</f>
      </c>
      <c r="D291" s="16"/>
      <c r="E291" s="10"/>
      <c r="F291" s="10"/>
      <c r="G291" s="14">
        <f>IF(OR(B291="",D291=""),"",IFERROR(IF(INDEX(Protocolo!$D$5:$D$54,MATCH(B291,Protocolo!$A$5:$A$54,0))="meses",EDATE(D291,INDEX(Protocolo!$C$5:$C$54,MATCH(B291,Protocolo!$A$5:$A$54,0))),D291+INDEX(Protocolo!$C$5:$C$54,MATCH(B291,Protocolo!$A$5:$A$54,0))*IF(INDEX(Protocolo!$D$5:$D$54,MATCH(B291,Protocolo!$A$5:$A$54,0))="semanas",7,1)),""))</f>
      </c>
      <c r="H291" s="15">
        <f>IF(G291="","",G291-TODAY())</f>
      </c>
      <c r="I291" s="12">
        <f>IF(OR(A291="",B291="",D291=""),"",IF(D291=SUMPRODUCT(MAX(($A$5:$A$504=A291)*($B$5:$B$504=B291)*$D$5:$D$504)),"Sí","Reemplazada"))</f>
      </c>
      <c r="J291" s="12">
        <f>IF(I291="","",IF(I291="Reemplazada","Reemplazada",IF(H291="","Sin fecha",IF(H291&lt;0,"Vencida",IF(H291&lt;=IFERROR(IF(INDEX(Protocolo!$E$5:$E$54,MATCH(B291,Protocolo!$A$5:$A$54,0))="",30,INDEX(Protocolo!$E$5:$E$54,MATCH(B291,Protocolo!$A$5:$A$54,0))),30),"Por vencer","Vigente")))))</f>
      </c>
      <c r="K291" s="10"/>
    </row>
    <row r="292" spans="1:11" x14ac:dyDescent="0.25">
      <c r="A292" s="10"/>
      <c r="B292" s="10"/>
      <c r="C292" s="12">
        <f>IF(B292="","",IFERROR(INDEX(Protocolo!$B$5:$B$54,MATCH(B292,Protocolo!$A$5:$A$54,0)),""))</f>
      </c>
      <c r="D292" s="16"/>
      <c r="E292" s="10"/>
      <c r="F292" s="10"/>
      <c r="G292" s="14">
        <f>IF(OR(B292="",D292=""),"",IFERROR(IF(INDEX(Protocolo!$D$5:$D$54,MATCH(B292,Protocolo!$A$5:$A$54,0))="meses",EDATE(D292,INDEX(Protocolo!$C$5:$C$54,MATCH(B292,Protocolo!$A$5:$A$54,0))),D292+INDEX(Protocolo!$C$5:$C$54,MATCH(B292,Protocolo!$A$5:$A$54,0))*IF(INDEX(Protocolo!$D$5:$D$54,MATCH(B292,Protocolo!$A$5:$A$54,0))="semanas",7,1)),""))</f>
      </c>
      <c r="H292" s="15">
        <f>IF(G292="","",G292-TODAY())</f>
      </c>
      <c r="I292" s="12">
        <f>IF(OR(A292="",B292="",D292=""),"",IF(D292=SUMPRODUCT(MAX(($A$5:$A$504=A292)*($B$5:$B$504=B292)*$D$5:$D$504)),"Sí","Reemplazada"))</f>
      </c>
      <c r="J292" s="12">
        <f>IF(I292="","",IF(I292="Reemplazada","Reemplazada",IF(H292="","Sin fecha",IF(H292&lt;0,"Vencida",IF(H292&lt;=IFERROR(IF(INDEX(Protocolo!$E$5:$E$54,MATCH(B292,Protocolo!$A$5:$A$54,0))="",30,INDEX(Protocolo!$E$5:$E$54,MATCH(B292,Protocolo!$A$5:$A$54,0))),30),"Por vencer","Vigente")))))</f>
      </c>
      <c r="K292" s="10"/>
    </row>
    <row r="293" spans="1:11" x14ac:dyDescent="0.25">
      <c r="A293" s="10"/>
      <c r="B293" s="10"/>
      <c r="C293" s="12">
        <f>IF(B293="","",IFERROR(INDEX(Protocolo!$B$5:$B$54,MATCH(B293,Protocolo!$A$5:$A$54,0)),""))</f>
      </c>
      <c r="D293" s="16"/>
      <c r="E293" s="10"/>
      <c r="F293" s="10"/>
      <c r="G293" s="14">
        <f>IF(OR(B293="",D293=""),"",IFERROR(IF(INDEX(Protocolo!$D$5:$D$54,MATCH(B293,Protocolo!$A$5:$A$54,0))="meses",EDATE(D293,INDEX(Protocolo!$C$5:$C$54,MATCH(B293,Protocolo!$A$5:$A$54,0))),D293+INDEX(Protocolo!$C$5:$C$54,MATCH(B293,Protocolo!$A$5:$A$54,0))*IF(INDEX(Protocolo!$D$5:$D$54,MATCH(B293,Protocolo!$A$5:$A$54,0))="semanas",7,1)),""))</f>
      </c>
      <c r="H293" s="15">
        <f>IF(G293="","",G293-TODAY())</f>
      </c>
      <c r="I293" s="12">
        <f>IF(OR(A293="",B293="",D293=""),"",IF(D293=SUMPRODUCT(MAX(($A$5:$A$504=A293)*($B$5:$B$504=B293)*$D$5:$D$504)),"Sí","Reemplazada"))</f>
      </c>
      <c r="J293" s="12">
        <f>IF(I293="","",IF(I293="Reemplazada","Reemplazada",IF(H293="","Sin fecha",IF(H293&lt;0,"Vencida",IF(H293&lt;=IFERROR(IF(INDEX(Protocolo!$E$5:$E$54,MATCH(B293,Protocolo!$A$5:$A$54,0))="",30,INDEX(Protocolo!$E$5:$E$54,MATCH(B293,Protocolo!$A$5:$A$54,0))),30),"Por vencer","Vigente")))))</f>
      </c>
      <c r="K293" s="10"/>
    </row>
    <row r="294" spans="1:11" x14ac:dyDescent="0.25">
      <c r="A294" s="10"/>
      <c r="B294" s="10"/>
      <c r="C294" s="12">
        <f>IF(B294="","",IFERROR(INDEX(Protocolo!$B$5:$B$54,MATCH(B294,Protocolo!$A$5:$A$54,0)),""))</f>
      </c>
      <c r="D294" s="16"/>
      <c r="E294" s="10"/>
      <c r="F294" s="10"/>
      <c r="G294" s="14">
        <f>IF(OR(B294="",D294=""),"",IFERROR(IF(INDEX(Protocolo!$D$5:$D$54,MATCH(B294,Protocolo!$A$5:$A$54,0))="meses",EDATE(D294,INDEX(Protocolo!$C$5:$C$54,MATCH(B294,Protocolo!$A$5:$A$54,0))),D294+INDEX(Protocolo!$C$5:$C$54,MATCH(B294,Protocolo!$A$5:$A$54,0))*IF(INDEX(Protocolo!$D$5:$D$54,MATCH(B294,Protocolo!$A$5:$A$54,0))="semanas",7,1)),""))</f>
      </c>
      <c r="H294" s="15">
        <f>IF(G294="","",G294-TODAY())</f>
      </c>
      <c r="I294" s="12">
        <f>IF(OR(A294="",B294="",D294=""),"",IF(D294=SUMPRODUCT(MAX(($A$5:$A$504=A294)*($B$5:$B$504=B294)*$D$5:$D$504)),"Sí","Reemplazada"))</f>
      </c>
      <c r="J294" s="12">
        <f>IF(I294="","",IF(I294="Reemplazada","Reemplazada",IF(H294="","Sin fecha",IF(H294&lt;0,"Vencida",IF(H294&lt;=IFERROR(IF(INDEX(Protocolo!$E$5:$E$54,MATCH(B294,Protocolo!$A$5:$A$54,0))="",30,INDEX(Protocolo!$E$5:$E$54,MATCH(B294,Protocolo!$A$5:$A$54,0))),30),"Por vencer","Vigente")))))</f>
      </c>
      <c r="K294" s="10"/>
    </row>
    <row r="295" spans="1:11" x14ac:dyDescent="0.25">
      <c r="A295" s="10"/>
      <c r="B295" s="10"/>
      <c r="C295" s="12">
        <f>IF(B295="","",IFERROR(INDEX(Protocolo!$B$5:$B$54,MATCH(B295,Protocolo!$A$5:$A$54,0)),""))</f>
      </c>
      <c r="D295" s="16"/>
      <c r="E295" s="10"/>
      <c r="F295" s="10"/>
      <c r="G295" s="14">
        <f>IF(OR(B295="",D295=""),"",IFERROR(IF(INDEX(Protocolo!$D$5:$D$54,MATCH(B295,Protocolo!$A$5:$A$54,0))="meses",EDATE(D295,INDEX(Protocolo!$C$5:$C$54,MATCH(B295,Protocolo!$A$5:$A$54,0))),D295+INDEX(Protocolo!$C$5:$C$54,MATCH(B295,Protocolo!$A$5:$A$54,0))*IF(INDEX(Protocolo!$D$5:$D$54,MATCH(B295,Protocolo!$A$5:$A$54,0))="semanas",7,1)),""))</f>
      </c>
      <c r="H295" s="15">
        <f>IF(G295="","",G295-TODAY())</f>
      </c>
      <c r="I295" s="12">
        <f>IF(OR(A295="",B295="",D295=""),"",IF(D295=SUMPRODUCT(MAX(($A$5:$A$504=A295)*($B$5:$B$504=B295)*$D$5:$D$504)),"Sí","Reemplazada"))</f>
      </c>
      <c r="J295" s="12">
        <f>IF(I295="","",IF(I295="Reemplazada","Reemplazada",IF(H295="","Sin fecha",IF(H295&lt;0,"Vencida",IF(H295&lt;=IFERROR(IF(INDEX(Protocolo!$E$5:$E$54,MATCH(B295,Protocolo!$A$5:$A$54,0))="",30,INDEX(Protocolo!$E$5:$E$54,MATCH(B295,Protocolo!$A$5:$A$54,0))),30),"Por vencer","Vigente")))))</f>
      </c>
      <c r="K295" s="10"/>
    </row>
    <row r="296" spans="1:11" x14ac:dyDescent="0.25">
      <c r="A296" s="10"/>
      <c r="B296" s="10"/>
      <c r="C296" s="12">
        <f>IF(B296="","",IFERROR(INDEX(Protocolo!$B$5:$B$54,MATCH(B296,Protocolo!$A$5:$A$54,0)),""))</f>
      </c>
      <c r="D296" s="16"/>
      <c r="E296" s="10"/>
      <c r="F296" s="10"/>
      <c r="G296" s="14">
        <f>IF(OR(B296="",D296=""),"",IFERROR(IF(INDEX(Protocolo!$D$5:$D$54,MATCH(B296,Protocolo!$A$5:$A$54,0))="meses",EDATE(D296,INDEX(Protocolo!$C$5:$C$54,MATCH(B296,Protocolo!$A$5:$A$54,0))),D296+INDEX(Protocolo!$C$5:$C$54,MATCH(B296,Protocolo!$A$5:$A$54,0))*IF(INDEX(Protocolo!$D$5:$D$54,MATCH(B296,Protocolo!$A$5:$A$54,0))="semanas",7,1)),""))</f>
      </c>
      <c r="H296" s="15">
        <f>IF(G296="","",G296-TODAY())</f>
      </c>
      <c r="I296" s="12">
        <f>IF(OR(A296="",B296="",D296=""),"",IF(D296=SUMPRODUCT(MAX(($A$5:$A$504=A296)*($B$5:$B$504=B296)*$D$5:$D$504)),"Sí","Reemplazada"))</f>
      </c>
      <c r="J296" s="12">
        <f>IF(I296="","",IF(I296="Reemplazada","Reemplazada",IF(H296="","Sin fecha",IF(H296&lt;0,"Vencida",IF(H296&lt;=IFERROR(IF(INDEX(Protocolo!$E$5:$E$54,MATCH(B296,Protocolo!$A$5:$A$54,0))="",30,INDEX(Protocolo!$E$5:$E$54,MATCH(B296,Protocolo!$A$5:$A$54,0))),30),"Por vencer","Vigente")))))</f>
      </c>
      <c r="K296" s="10"/>
    </row>
    <row r="297" spans="1:11" x14ac:dyDescent="0.25">
      <c r="A297" s="10"/>
      <c r="B297" s="10"/>
      <c r="C297" s="12">
        <f>IF(B297="","",IFERROR(INDEX(Protocolo!$B$5:$B$54,MATCH(B297,Protocolo!$A$5:$A$54,0)),""))</f>
      </c>
      <c r="D297" s="16"/>
      <c r="E297" s="10"/>
      <c r="F297" s="10"/>
      <c r="G297" s="14">
        <f>IF(OR(B297="",D297=""),"",IFERROR(IF(INDEX(Protocolo!$D$5:$D$54,MATCH(B297,Protocolo!$A$5:$A$54,0))="meses",EDATE(D297,INDEX(Protocolo!$C$5:$C$54,MATCH(B297,Protocolo!$A$5:$A$54,0))),D297+INDEX(Protocolo!$C$5:$C$54,MATCH(B297,Protocolo!$A$5:$A$54,0))*IF(INDEX(Protocolo!$D$5:$D$54,MATCH(B297,Protocolo!$A$5:$A$54,0))="semanas",7,1)),""))</f>
      </c>
      <c r="H297" s="15">
        <f>IF(G297="","",G297-TODAY())</f>
      </c>
      <c r="I297" s="12">
        <f>IF(OR(A297="",B297="",D297=""),"",IF(D297=SUMPRODUCT(MAX(($A$5:$A$504=A297)*($B$5:$B$504=B297)*$D$5:$D$504)),"Sí","Reemplazada"))</f>
      </c>
      <c r="J297" s="12">
        <f>IF(I297="","",IF(I297="Reemplazada","Reemplazada",IF(H297="","Sin fecha",IF(H297&lt;0,"Vencida",IF(H297&lt;=IFERROR(IF(INDEX(Protocolo!$E$5:$E$54,MATCH(B297,Protocolo!$A$5:$A$54,0))="",30,INDEX(Protocolo!$E$5:$E$54,MATCH(B297,Protocolo!$A$5:$A$54,0))),30),"Por vencer","Vigente")))))</f>
      </c>
      <c r="K297" s="10"/>
    </row>
    <row r="298" spans="1:11" x14ac:dyDescent="0.25">
      <c r="A298" s="10"/>
      <c r="B298" s="10"/>
      <c r="C298" s="12">
        <f>IF(B298="","",IFERROR(INDEX(Protocolo!$B$5:$B$54,MATCH(B298,Protocolo!$A$5:$A$54,0)),""))</f>
      </c>
      <c r="D298" s="16"/>
      <c r="E298" s="10"/>
      <c r="F298" s="10"/>
      <c r="G298" s="14">
        <f>IF(OR(B298="",D298=""),"",IFERROR(IF(INDEX(Protocolo!$D$5:$D$54,MATCH(B298,Protocolo!$A$5:$A$54,0))="meses",EDATE(D298,INDEX(Protocolo!$C$5:$C$54,MATCH(B298,Protocolo!$A$5:$A$54,0))),D298+INDEX(Protocolo!$C$5:$C$54,MATCH(B298,Protocolo!$A$5:$A$54,0))*IF(INDEX(Protocolo!$D$5:$D$54,MATCH(B298,Protocolo!$A$5:$A$54,0))="semanas",7,1)),""))</f>
      </c>
      <c r="H298" s="15">
        <f>IF(G298="","",G298-TODAY())</f>
      </c>
      <c r="I298" s="12">
        <f>IF(OR(A298="",B298="",D298=""),"",IF(D298=SUMPRODUCT(MAX(($A$5:$A$504=A298)*($B$5:$B$504=B298)*$D$5:$D$504)),"Sí","Reemplazada"))</f>
      </c>
      <c r="J298" s="12">
        <f>IF(I298="","",IF(I298="Reemplazada","Reemplazada",IF(H298="","Sin fecha",IF(H298&lt;0,"Vencida",IF(H298&lt;=IFERROR(IF(INDEX(Protocolo!$E$5:$E$54,MATCH(B298,Protocolo!$A$5:$A$54,0))="",30,INDEX(Protocolo!$E$5:$E$54,MATCH(B298,Protocolo!$A$5:$A$54,0))),30),"Por vencer","Vigente")))))</f>
      </c>
      <c r="K298" s="10"/>
    </row>
    <row r="299" spans="1:11" x14ac:dyDescent="0.25">
      <c r="A299" s="10"/>
      <c r="B299" s="10"/>
      <c r="C299" s="12">
        <f>IF(B299="","",IFERROR(INDEX(Protocolo!$B$5:$B$54,MATCH(B299,Protocolo!$A$5:$A$54,0)),""))</f>
      </c>
      <c r="D299" s="16"/>
      <c r="E299" s="10"/>
      <c r="F299" s="10"/>
      <c r="G299" s="14">
        <f>IF(OR(B299="",D299=""),"",IFERROR(IF(INDEX(Protocolo!$D$5:$D$54,MATCH(B299,Protocolo!$A$5:$A$54,0))="meses",EDATE(D299,INDEX(Protocolo!$C$5:$C$54,MATCH(B299,Protocolo!$A$5:$A$54,0))),D299+INDEX(Protocolo!$C$5:$C$54,MATCH(B299,Protocolo!$A$5:$A$54,0))*IF(INDEX(Protocolo!$D$5:$D$54,MATCH(B299,Protocolo!$A$5:$A$54,0))="semanas",7,1)),""))</f>
      </c>
      <c r="H299" s="15">
        <f>IF(G299="","",G299-TODAY())</f>
      </c>
      <c r="I299" s="12">
        <f>IF(OR(A299="",B299="",D299=""),"",IF(D299=SUMPRODUCT(MAX(($A$5:$A$504=A299)*($B$5:$B$504=B299)*$D$5:$D$504)),"Sí","Reemplazada"))</f>
      </c>
      <c r="J299" s="12">
        <f>IF(I299="","",IF(I299="Reemplazada","Reemplazada",IF(H299="","Sin fecha",IF(H299&lt;0,"Vencida",IF(H299&lt;=IFERROR(IF(INDEX(Protocolo!$E$5:$E$54,MATCH(B299,Protocolo!$A$5:$A$54,0))="",30,INDEX(Protocolo!$E$5:$E$54,MATCH(B299,Protocolo!$A$5:$A$54,0))),30),"Por vencer","Vigente")))))</f>
      </c>
      <c r="K299" s="10"/>
    </row>
    <row r="300" spans="1:11" x14ac:dyDescent="0.25">
      <c r="A300" s="10"/>
      <c r="B300" s="10"/>
      <c r="C300" s="12">
        <f>IF(B300="","",IFERROR(INDEX(Protocolo!$B$5:$B$54,MATCH(B300,Protocolo!$A$5:$A$54,0)),""))</f>
      </c>
      <c r="D300" s="16"/>
      <c r="E300" s="10"/>
      <c r="F300" s="10"/>
      <c r="G300" s="14">
        <f>IF(OR(B300="",D300=""),"",IFERROR(IF(INDEX(Protocolo!$D$5:$D$54,MATCH(B300,Protocolo!$A$5:$A$54,0))="meses",EDATE(D300,INDEX(Protocolo!$C$5:$C$54,MATCH(B300,Protocolo!$A$5:$A$54,0))),D300+INDEX(Protocolo!$C$5:$C$54,MATCH(B300,Protocolo!$A$5:$A$54,0))*IF(INDEX(Protocolo!$D$5:$D$54,MATCH(B300,Protocolo!$A$5:$A$54,0))="semanas",7,1)),""))</f>
      </c>
      <c r="H300" s="15">
        <f>IF(G300="","",G300-TODAY())</f>
      </c>
      <c r="I300" s="12">
        <f>IF(OR(A300="",B300="",D300=""),"",IF(D300=SUMPRODUCT(MAX(($A$5:$A$504=A300)*($B$5:$B$504=B300)*$D$5:$D$504)),"Sí","Reemplazada"))</f>
      </c>
      <c r="J300" s="12">
        <f>IF(I300="","",IF(I300="Reemplazada","Reemplazada",IF(H300="","Sin fecha",IF(H300&lt;0,"Vencida",IF(H300&lt;=IFERROR(IF(INDEX(Protocolo!$E$5:$E$54,MATCH(B300,Protocolo!$A$5:$A$54,0))="",30,INDEX(Protocolo!$E$5:$E$54,MATCH(B300,Protocolo!$A$5:$A$54,0))),30),"Por vencer","Vigente")))))</f>
      </c>
      <c r="K300" s="10"/>
    </row>
    <row r="301" spans="1:11" x14ac:dyDescent="0.25">
      <c r="A301" s="10"/>
      <c r="B301" s="10"/>
      <c r="C301" s="12">
        <f>IF(B301="","",IFERROR(INDEX(Protocolo!$B$5:$B$54,MATCH(B301,Protocolo!$A$5:$A$54,0)),""))</f>
      </c>
      <c r="D301" s="16"/>
      <c r="E301" s="10"/>
      <c r="F301" s="10"/>
      <c r="G301" s="14">
        <f>IF(OR(B301="",D301=""),"",IFERROR(IF(INDEX(Protocolo!$D$5:$D$54,MATCH(B301,Protocolo!$A$5:$A$54,0))="meses",EDATE(D301,INDEX(Protocolo!$C$5:$C$54,MATCH(B301,Protocolo!$A$5:$A$54,0))),D301+INDEX(Protocolo!$C$5:$C$54,MATCH(B301,Protocolo!$A$5:$A$54,0))*IF(INDEX(Protocolo!$D$5:$D$54,MATCH(B301,Protocolo!$A$5:$A$54,0))="semanas",7,1)),""))</f>
      </c>
      <c r="H301" s="15">
        <f>IF(G301="","",G301-TODAY())</f>
      </c>
      <c r="I301" s="12">
        <f>IF(OR(A301="",B301="",D301=""),"",IF(D301=SUMPRODUCT(MAX(($A$5:$A$504=A301)*($B$5:$B$504=B301)*$D$5:$D$504)),"Sí","Reemplazada"))</f>
      </c>
      <c r="J301" s="12">
        <f>IF(I301="","",IF(I301="Reemplazada","Reemplazada",IF(H301="","Sin fecha",IF(H301&lt;0,"Vencida",IF(H301&lt;=IFERROR(IF(INDEX(Protocolo!$E$5:$E$54,MATCH(B301,Protocolo!$A$5:$A$54,0))="",30,INDEX(Protocolo!$E$5:$E$54,MATCH(B301,Protocolo!$A$5:$A$54,0))),30),"Por vencer","Vigente")))))</f>
      </c>
      <c r="K301" s="10"/>
    </row>
    <row r="302" spans="1:11" x14ac:dyDescent="0.25">
      <c r="A302" s="10"/>
      <c r="B302" s="10"/>
      <c r="C302" s="12">
        <f>IF(B302="","",IFERROR(INDEX(Protocolo!$B$5:$B$54,MATCH(B302,Protocolo!$A$5:$A$54,0)),""))</f>
      </c>
      <c r="D302" s="16"/>
      <c r="E302" s="10"/>
      <c r="F302" s="10"/>
      <c r="G302" s="14">
        <f>IF(OR(B302="",D302=""),"",IFERROR(IF(INDEX(Protocolo!$D$5:$D$54,MATCH(B302,Protocolo!$A$5:$A$54,0))="meses",EDATE(D302,INDEX(Protocolo!$C$5:$C$54,MATCH(B302,Protocolo!$A$5:$A$54,0))),D302+INDEX(Protocolo!$C$5:$C$54,MATCH(B302,Protocolo!$A$5:$A$54,0))*IF(INDEX(Protocolo!$D$5:$D$54,MATCH(B302,Protocolo!$A$5:$A$54,0))="semanas",7,1)),""))</f>
      </c>
      <c r="H302" s="15">
        <f>IF(G302="","",G302-TODAY())</f>
      </c>
      <c r="I302" s="12">
        <f>IF(OR(A302="",B302="",D302=""),"",IF(D302=SUMPRODUCT(MAX(($A$5:$A$504=A302)*($B$5:$B$504=B302)*$D$5:$D$504)),"Sí","Reemplazada"))</f>
      </c>
      <c r="J302" s="12">
        <f>IF(I302="","",IF(I302="Reemplazada","Reemplazada",IF(H302="","Sin fecha",IF(H302&lt;0,"Vencida",IF(H302&lt;=IFERROR(IF(INDEX(Protocolo!$E$5:$E$54,MATCH(B302,Protocolo!$A$5:$A$54,0))="",30,INDEX(Protocolo!$E$5:$E$54,MATCH(B302,Protocolo!$A$5:$A$54,0))),30),"Por vencer","Vigente")))))</f>
      </c>
      <c r="K302" s="10"/>
    </row>
    <row r="303" spans="1:11" x14ac:dyDescent="0.25">
      <c r="A303" s="10"/>
      <c r="B303" s="10"/>
      <c r="C303" s="12">
        <f>IF(B303="","",IFERROR(INDEX(Protocolo!$B$5:$B$54,MATCH(B303,Protocolo!$A$5:$A$54,0)),""))</f>
      </c>
      <c r="D303" s="16"/>
      <c r="E303" s="10"/>
      <c r="F303" s="10"/>
      <c r="G303" s="14">
        <f>IF(OR(B303="",D303=""),"",IFERROR(IF(INDEX(Protocolo!$D$5:$D$54,MATCH(B303,Protocolo!$A$5:$A$54,0))="meses",EDATE(D303,INDEX(Protocolo!$C$5:$C$54,MATCH(B303,Protocolo!$A$5:$A$54,0))),D303+INDEX(Protocolo!$C$5:$C$54,MATCH(B303,Protocolo!$A$5:$A$54,0))*IF(INDEX(Protocolo!$D$5:$D$54,MATCH(B303,Protocolo!$A$5:$A$54,0))="semanas",7,1)),""))</f>
      </c>
      <c r="H303" s="15">
        <f>IF(G303="","",G303-TODAY())</f>
      </c>
      <c r="I303" s="12">
        <f>IF(OR(A303="",B303="",D303=""),"",IF(D303=SUMPRODUCT(MAX(($A$5:$A$504=A303)*($B$5:$B$504=B303)*$D$5:$D$504)),"Sí","Reemplazada"))</f>
      </c>
      <c r="J303" s="12">
        <f>IF(I303="","",IF(I303="Reemplazada","Reemplazada",IF(H303="","Sin fecha",IF(H303&lt;0,"Vencida",IF(H303&lt;=IFERROR(IF(INDEX(Protocolo!$E$5:$E$54,MATCH(B303,Protocolo!$A$5:$A$54,0))="",30,INDEX(Protocolo!$E$5:$E$54,MATCH(B303,Protocolo!$A$5:$A$54,0))),30),"Por vencer","Vigente")))))</f>
      </c>
      <c r="K303" s="10"/>
    </row>
    <row r="304" spans="1:11" x14ac:dyDescent="0.25">
      <c r="A304" s="10"/>
      <c r="B304" s="10"/>
      <c r="C304" s="12">
        <f>IF(B304="","",IFERROR(INDEX(Protocolo!$B$5:$B$54,MATCH(B304,Protocolo!$A$5:$A$54,0)),""))</f>
      </c>
      <c r="D304" s="16"/>
      <c r="E304" s="10"/>
      <c r="F304" s="10"/>
      <c r="G304" s="14">
        <f>IF(OR(B304="",D304=""),"",IFERROR(IF(INDEX(Protocolo!$D$5:$D$54,MATCH(B304,Protocolo!$A$5:$A$54,0))="meses",EDATE(D304,INDEX(Protocolo!$C$5:$C$54,MATCH(B304,Protocolo!$A$5:$A$54,0))),D304+INDEX(Protocolo!$C$5:$C$54,MATCH(B304,Protocolo!$A$5:$A$54,0))*IF(INDEX(Protocolo!$D$5:$D$54,MATCH(B304,Protocolo!$A$5:$A$54,0))="semanas",7,1)),""))</f>
      </c>
      <c r="H304" s="15">
        <f>IF(G304="","",G304-TODAY())</f>
      </c>
      <c r="I304" s="12">
        <f>IF(OR(A304="",B304="",D304=""),"",IF(D304=SUMPRODUCT(MAX(($A$5:$A$504=A304)*($B$5:$B$504=B304)*$D$5:$D$504)),"Sí","Reemplazada"))</f>
      </c>
      <c r="J304" s="12">
        <f>IF(I304="","",IF(I304="Reemplazada","Reemplazada",IF(H304="","Sin fecha",IF(H304&lt;0,"Vencida",IF(H304&lt;=IFERROR(IF(INDEX(Protocolo!$E$5:$E$54,MATCH(B304,Protocolo!$A$5:$A$54,0))="",30,INDEX(Protocolo!$E$5:$E$54,MATCH(B304,Protocolo!$A$5:$A$54,0))),30),"Por vencer","Vigente")))))</f>
      </c>
      <c r="K304" s="10"/>
    </row>
    <row r="305" spans="1:11" x14ac:dyDescent="0.25">
      <c r="A305" s="10"/>
      <c r="B305" s="10"/>
      <c r="C305" s="12">
        <f>IF(B305="","",IFERROR(INDEX(Protocolo!$B$5:$B$54,MATCH(B305,Protocolo!$A$5:$A$54,0)),""))</f>
      </c>
      <c r="D305" s="16"/>
      <c r="E305" s="10"/>
      <c r="F305" s="10"/>
      <c r="G305" s="14">
        <f>IF(OR(B305="",D305=""),"",IFERROR(IF(INDEX(Protocolo!$D$5:$D$54,MATCH(B305,Protocolo!$A$5:$A$54,0))="meses",EDATE(D305,INDEX(Protocolo!$C$5:$C$54,MATCH(B305,Protocolo!$A$5:$A$54,0))),D305+INDEX(Protocolo!$C$5:$C$54,MATCH(B305,Protocolo!$A$5:$A$54,0))*IF(INDEX(Protocolo!$D$5:$D$54,MATCH(B305,Protocolo!$A$5:$A$54,0))="semanas",7,1)),""))</f>
      </c>
      <c r="H305" s="15">
        <f>IF(G305="","",G305-TODAY())</f>
      </c>
      <c r="I305" s="12">
        <f>IF(OR(A305="",B305="",D305=""),"",IF(D305=SUMPRODUCT(MAX(($A$5:$A$504=A305)*($B$5:$B$504=B305)*$D$5:$D$504)),"Sí","Reemplazada"))</f>
      </c>
      <c r="J305" s="12">
        <f>IF(I305="","",IF(I305="Reemplazada","Reemplazada",IF(H305="","Sin fecha",IF(H305&lt;0,"Vencida",IF(H305&lt;=IFERROR(IF(INDEX(Protocolo!$E$5:$E$54,MATCH(B305,Protocolo!$A$5:$A$54,0))="",30,INDEX(Protocolo!$E$5:$E$54,MATCH(B305,Protocolo!$A$5:$A$54,0))),30),"Por vencer","Vigente")))))</f>
      </c>
      <c r="K305" s="10"/>
    </row>
    <row r="306" spans="1:11" x14ac:dyDescent="0.25">
      <c r="A306" s="10"/>
      <c r="B306" s="10"/>
      <c r="C306" s="12">
        <f>IF(B306="","",IFERROR(INDEX(Protocolo!$B$5:$B$54,MATCH(B306,Protocolo!$A$5:$A$54,0)),""))</f>
      </c>
      <c r="D306" s="16"/>
      <c r="E306" s="10"/>
      <c r="F306" s="10"/>
      <c r="G306" s="14">
        <f>IF(OR(B306="",D306=""),"",IFERROR(IF(INDEX(Protocolo!$D$5:$D$54,MATCH(B306,Protocolo!$A$5:$A$54,0))="meses",EDATE(D306,INDEX(Protocolo!$C$5:$C$54,MATCH(B306,Protocolo!$A$5:$A$54,0))),D306+INDEX(Protocolo!$C$5:$C$54,MATCH(B306,Protocolo!$A$5:$A$54,0))*IF(INDEX(Protocolo!$D$5:$D$54,MATCH(B306,Protocolo!$A$5:$A$54,0))="semanas",7,1)),""))</f>
      </c>
      <c r="H306" s="15">
        <f>IF(G306="","",G306-TODAY())</f>
      </c>
      <c r="I306" s="12">
        <f>IF(OR(A306="",B306="",D306=""),"",IF(D306=SUMPRODUCT(MAX(($A$5:$A$504=A306)*($B$5:$B$504=B306)*$D$5:$D$504)),"Sí","Reemplazada"))</f>
      </c>
      <c r="J306" s="12">
        <f>IF(I306="","",IF(I306="Reemplazada","Reemplazada",IF(H306="","Sin fecha",IF(H306&lt;0,"Vencida",IF(H306&lt;=IFERROR(IF(INDEX(Protocolo!$E$5:$E$54,MATCH(B306,Protocolo!$A$5:$A$54,0))="",30,INDEX(Protocolo!$E$5:$E$54,MATCH(B306,Protocolo!$A$5:$A$54,0))),30),"Por vencer","Vigente")))))</f>
      </c>
      <c r="K306" s="10"/>
    </row>
    <row r="307" spans="1:11" x14ac:dyDescent="0.25">
      <c r="A307" s="10"/>
      <c r="B307" s="10"/>
      <c r="C307" s="12">
        <f>IF(B307="","",IFERROR(INDEX(Protocolo!$B$5:$B$54,MATCH(B307,Protocolo!$A$5:$A$54,0)),""))</f>
      </c>
      <c r="D307" s="16"/>
      <c r="E307" s="10"/>
      <c r="F307" s="10"/>
      <c r="G307" s="14">
        <f>IF(OR(B307="",D307=""),"",IFERROR(IF(INDEX(Protocolo!$D$5:$D$54,MATCH(B307,Protocolo!$A$5:$A$54,0))="meses",EDATE(D307,INDEX(Protocolo!$C$5:$C$54,MATCH(B307,Protocolo!$A$5:$A$54,0))),D307+INDEX(Protocolo!$C$5:$C$54,MATCH(B307,Protocolo!$A$5:$A$54,0))*IF(INDEX(Protocolo!$D$5:$D$54,MATCH(B307,Protocolo!$A$5:$A$54,0))="semanas",7,1)),""))</f>
      </c>
      <c r="H307" s="15">
        <f>IF(G307="","",G307-TODAY())</f>
      </c>
      <c r="I307" s="12">
        <f>IF(OR(A307="",B307="",D307=""),"",IF(D307=SUMPRODUCT(MAX(($A$5:$A$504=A307)*($B$5:$B$504=B307)*$D$5:$D$504)),"Sí","Reemplazada"))</f>
      </c>
      <c r="J307" s="12">
        <f>IF(I307="","",IF(I307="Reemplazada","Reemplazada",IF(H307="","Sin fecha",IF(H307&lt;0,"Vencida",IF(H307&lt;=IFERROR(IF(INDEX(Protocolo!$E$5:$E$54,MATCH(B307,Protocolo!$A$5:$A$54,0))="",30,INDEX(Protocolo!$E$5:$E$54,MATCH(B307,Protocolo!$A$5:$A$54,0))),30),"Por vencer","Vigente")))))</f>
      </c>
      <c r="K307" s="10"/>
    </row>
    <row r="308" spans="1:11" x14ac:dyDescent="0.25">
      <c r="A308" s="10"/>
      <c r="B308" s="10"/>
      <c r="C308" s="12">
        <f>IF(B308="","",IFERROR(INDEX(Protocolo!$B$5:$B$54,MATCH(B308,Protocolo!$A$5:$A$54,0)),""))</f>
      </c>
      <c r="D308" s="16"/>
      <c r="E308" s="10"/>
      <c r="F308" s="10"/>
      <c r="G308" s="14">
        <f>IF(OR(B308="",D308=""),"",IFERROR(IF(INDEX(Protocolo!$D$5:$D$54,MATCH(B308,Protocolo!$A$5:$A$54,0))="meses",EDATE(D308,INDEX(Protocolo!$C$5:$C$54,MATCH(B308,Protocolo!$A$5:$A$54,0))),D308+INDEX(Protocolo!$C$5:$C$54,MATCH(B308,Protocolo!$A$5:$A$54,0))*IF(INDEX(Protocolo!$D$5:$D$54,MATCH(B308,Protocolo!$A$5:$A$54,0))="semanas",7,1)),""))</f>
      </c>
      <c r="H308" s="15">
        <f>IF(G308="","",G308-TODAY())</f>
      </c>
      <c r="I308" s="12">
        <f>IF(OR(A308="",B308="",D308=""),"",IF(D308=SUMPRODUCT(MAX(($A$5:$A$504=A308)*($B$5:$B$504=B308)*$D$5:$D$504)),"Sí","Reemplazada"))</f>
      </c>
      <c r="J308" s="12">
        <f>IF(I308="","",IF(I308="Reemplazada","Reemplazada",IF(H308="","Sin fecha",IF(H308&lt;0,"Vencida",IF(H308&lt;=IFERROR(IF(INDEX(Protocolo!$E$5:$E$54,MATCH(B308,Protocolo!$A$5:$A$54,0))="",30,INDEX(Protocolo!$E$5:$E$54,MATCH(B308,Protocolo!$A$5:$A$54,0))),30),"Por vencer","Vigente")))))</f>
      </c>
      <c r="K308" s="10"/>
    </row>
    <row r="309" spans="1:11" x14ac:dyDescent="0.25">
      <c r="A309" s="10"/>
      <c r="B309" s="10"/>
      <c r="C309" s="12">
        <f>IF(B309="","",IFERROR(INDEX(Protocolo!$B$5:$B$54,MATCH(B309,Protocolo!$A$5:$A$54,0)),""))</f>
      </c>
      <c r="D309" s="16"/>
      <c r="E309" s="10"/>
      <c r="F309" s="10"/>
      <c r="G309" s="14">
        <f>IF(OR(B309="",D309=""),"",IFERROR(IF(INDEX(Protocolo!$D$5:$D$54,MATCH(B309,Protocolo!$A$5:$A$54,0))="meses",EDATE(D309,INDEX(Protocolo!$C$5:$C$54,MATCH(B309,Protocolo!$A$5:$A$54,0))),D309+INDEX(Protocolo!$C$5:$C$54,MATCH(B309,Protocolo!$A$5:$A$54,0))*IF(INDEX(Protocolo!$D$5:$D$54,MATCH(B309,Protocolo!$A$5:$A$54,0))="semanas",7,1)),""))</f>
      </c>
      <c r="H309" s="15">
        <f>IF(G309="","",G309-TODAY())</f>
      </c>
      <c r="I309" s="12">
        <f>IF(OR(A309="",B309="",D309=""),"",IF(D309=SUMPRODUCT(MAX(($A$5:$A$504=A309)*($B$5:$B$504=B309)*$D$5:$D$504)),"Sí","Reemplazada"))</f>
      </c>
      <c r="J309" s="12">
        <f>IF(I309="","",IF(I309="Reemplazada","Reemplazada",IF(H309="","Sin fecha",IF(H309&lt;0,"Vencida",IF(H309&lt;=IFERROR(IF(INDEX(Protocolo!$E$5:$E$54,MATCH(B309,Protocolo!$A$5:$A$54,0))="",30,INDEX(Protocolo!$E$5:$E$54,MATCH(B309,Protocolo!$A$5:$A$54,0))),30),"Por vencer","Vigente")))))</f>
      </c>
      <c r="K309" s="10"/>
    </row>
    <row r="310" spans="1:11" x14ac:dyDescent="0.25">
      <c r="A310" s="10"/>
      <c r="B310" s="10"/>
      <c r="C310" s="12">
        <f>IF(B310="","",IFERROR(INDEX(Protocolo!$B$5:$B$54,MATCH(B310,Protocolo!$A$5:$A$54,0)),""))</f>
      </c>
      <c r="D310" s="16"/>
      <c r="E310" s="10"/>
      <c r="F310" s="10"/>
      <c r="G310" s="14">
        <f>IF(OR(B310="",D310=""),"",IFERROR(IF(INDEX(Protocolo!$D$5:$D$54,MATCH(B310,Protocolo!$A$5:$A$54,0))="meses",EDATE(D310,INDEX(Protocolo!$C$5:$C$54,MATCH(B310,Protocolo!$A$5:$A$54,0))),D310+INDEX(Protocolo!$C$5:$C$54,MATCH(B310,Protocolo!$A$5:$A$54,0))*IF(INDEX(Protocolo!$D$5:$D$54,MATCH(B310,Protocolo!$A$5:$A$54,0))="semanas",7,1)),""))</f>
      </c>
      <c r="H310" s="15">
        <f>IF(G310="","",G310-TODAY())</f>
      </c>
      <c r="I310" s="12">
        <f>IF(OR(A310="",B310="",D310=""),"",IF(D310=SUMPRODUCT(MAX(($A$5:$A$504=A310)*($B$5:$B$504=B310)*$D$5:$D$504)),"Sí","Reemplazada"))</f>
      </c>
      <c r="J310" s="12">
        <f>IF(I310="","",IF(I310="Reemplazada","Reemplazada",IF(H310="","Sin fecha",IF(H310&lt;0,"Vencida",IF(H310&lt;=IFERROR(IF(INDEX(Protocolo!$E$5:$E$54,MATCH(B310,Protocolo!$A$5:$A$54,0))="",30,INDEX(Protocolo!$E$5:$E$54,MATCH(B310,Protocolo!$A$5:$A$54,0))),30),"Por vencer","Vigente")))))</f>
      </c>
      <c r="K310" s="10"/>
    </row>
    <row r="311" spans="1:11" x14ac:dyDescent="0.25">
      <c r="A311" s="10"/>
      <c r="B311" s="10"/>
      <c r="C311" s="12">
        <f>IF(B311="","",IFERROR(INDEX(Protocolo!$B$5:$B$54,MATCH(B311,Protocolo!$A$5:$A$54,0)),""))</f>
      </c>
      <c r="D311" s="16"/>
      <c r="E311" s="10"/>
      <c r="F311" s="10"/>
      <c r="G311" s="14">
        <f>IF(OR(B311="",D311=""),"",IFERROR(IF(INDEX(Protocolo!$D$5:$D$54,MATCH(B311,Protocolo!$A$5:$A$54,0))="meses",EDATE(D311,INDEX(Protocolo!$C$5:$C$54,MATCH(B311,Protocolo!$A$5:$A$54,0))),D311+INDEX(Protocolo!$C$5:$C$54,MATCH(B311,Protocolo!$A$5:$A$54,0))*IF(INDEX(Protocolo!$D$5:$D$54,MATCH(B311,Protocolo!$A$5:$A$54,0))="semanas",7,1)),""))</f>
      </c>
      <c r="H311" s="15">
        <f>IF(G311="","",G311-TODAY())</f>
      </c>
      <c r="I311" s="12">
        <f>IF(OR(A311="",B311="",D311=""),"",IF(D311=SUMPRODUCT(MAX(($A$5:$A$504=A311)*($B$5:$B$504=B311)*$D$5:$D$504)),"Sí","Reemplazada"))</f>
      </c>
      <c r="J311" s="12">
        <f>IF(I311="","",IF(I311="Reemplazada","Reemplazada",IF(H311="","Sin fecha",IF(H311&lt;0,"Vencida",IF(H311&lt;=IFERROR(IF(INDEX(Protocolo!$E$5:$E$54,MATCH(B311,Protocolo!$A$5:$A$54,0))="",30,INDEX(Protocolo!$E$5:$E$54,MATCH(B311,Protocolo!$A$5:$A$54,0))),30),"Por vencer","Vigente")))))</f>
      </c>
      <c r="K311" s="10"/>
    </row>
    <row r="312" spans="1:11" x14ac:dyDescent="0.25">
      <c r="A312" s="10"/>
      <c r="B312" s="10"/>
      <c r="C312" s="12">
        <f>IF(B312="","",IFERROR(INDEX(Protocolo!$B$5:$B$54,MATCH(B312,Protocolo!$A$5:$A$54,0)),""))</f>
      </c>
      <c r="D312" s="16"/>
      <c r="E312" s="10"/>
      <c r="F312" s="10"/>
      <c r="G312" s="14">
        <f>IF(OR(B312="",D312=""),"",IFERROR(IF(INDEX(Protocolo!$D$5:$D$54,MATCH(B312,Protocolo!$A$5:$A$54,0))="meses",EDATE(D312,INDEX(Protocolo!$C$5:$C$54,MATCH(B312,Protocolo!$A$5:$A$54,0))),D312+INDEX(Protocolo!$C$5:$C$54,MATCH(B312,Protocolo!$A$5:$A$54,0))*IF(INDEX(Protocolo!$D$5:$D$54,MATCH(B312,Protocolo!$A$5:$A$54,0))="semanas",7,1)),""))</f>
      </c>
      <c r="H312" s="15">
        <f>IF(G312="","",G312-TODAY())</f>
      </c>
      <c r="I312" s="12">
        <f>IF(OR(A312="",B312="",D312=""),"",IF(D312=SUMPRODUCT(MAX(($A$5:$A$504=A312)*($B$5:$B$504=B312)*$D$5:$D$504)),"Sí","Reemplazada"))</f>
      </c>
      <c r="J312" s="12">
        <f>IF(I312="","",IF(I312="Reemplazada","Reemplazada",IF(H312="","Sin fecha",IF(H312&lt;0,"Vencida",IF(H312&lt;=IFERROR(IF(INDEX(Protocolo!$E$5:$E$54,MATCH(B312,Protocolo!$A$5:$A$54,0))="",30,INDEX(Protocolo!$E$5:$E$54,MATCH(B312,Protocolo!$A$5:$A$54,0))),30),"Por vencer","Vigente")))))</f>
      </c>
      <c r="K312" s="10"/>
    </row>
    <row r="313" spans="1:11" x14ac:dyDescent="0.25">
      <c r="A313" s="10"/>
      <c r="B313" s="10"/>
      <c r="C313" s="12">
        <f>IF(B313="","",IFERROR(INDEX(Protocolo!$B$5:$B$54,MATCH(B313,Protocolo!$A$5:$A$54,0)),""))</f>
      </c>
      <c r="D313" s="16"/>
      <c r="E313" s="10"/>
      <c r="F313" s="10"/>
      <c r="G313" s="14">
        <f>IF(OR(B313="",D313=""),"",IFERROR(IF(INDEX(Protocolo!$D$5:$D$54,MATCH(B313,Protocolo!$A$5:$A$54,0))="meses",EDATE(D313,INDEX(Protocolo!$C$5:$C$54,MATCH(B313,Protocolo!$A$5:$A$54,0))),D313+INDEX(Protocolo!$C$5:$C$54,MATCH(B313,Protocolo!$A$5:$A$54,0))*IF(INDEX(Protocolo!$D$5:$D$54,MATCH(B313,Protocolo!$A$5:$A$54,0))="semanas",7,1)),""))</f>
      </c>
      <c r="H313" s="15">
        <f>IF(G313="","",G313-TODAY())</f>
      </c>
      <c r="I313" s="12">
        <f>IF(OR(A313="",B313="",D313=""),"",IF(D313=SUMPRODUCT(MAX(($A$5:$A$504=A313)*($B$5:$B$504=B313)*$D$5:$D$504)),"Sí","Reemplazada"))</f>
      </c>
      <c r="J313" s="12">
        <f>IF(I313="","",IF(I313="Reemplazada","Reemplazada",IF(H313="","Sin fecha",IF(H313&lt;0,"Vencida",IF(H313&lt;=IFERROR(IF(INDEX(Protocolo!$E$5:$E$54,MATCH(B313,Protocolo!$A$5:$A$54,0))="",30,INDEX(Protocolo!$E$5:$E$54,MATCH(B313,Protocolo!$A$5:$A$54,0))),30),"Por vencer","Vigente")))))</f>
      </c>
      <c r="K313" s="10"/>
    </row>
    <row r="314" spans="1:11" x14ac:dyDescent="0.25">
      <c r="A314" s="10"/>
      <c r="B314" s="10"/>
      <c r="C314" s="12">
        <f>IF(B314="","",IFERROR(INDEX(Protocolo!$B$5:$B$54,MATCH(B314,Protocolo!$A$5:$A$54,0)),""))</f>
      </c>
      <c r="D314" s="16"/>
      <c r="E314" s="10"/>
      <c r="F314" s="10"/>
      <c r="G314" s="14">
        <f>IF(OR(B314="",D314=""),"",IFERROR(IF(INDEX(Protocolo!$D$5:$D$54,MATCH(B314,Protocolo!$A$5:$A$54,0))="meses",EDATE(D314,INDEX(Protocolo!$C$5:$C$54,MATCH(B314,Protocolo!$A$5:$A$54,0))),D314+INDEX(Protocolo!$C$5:$C$54,MATCH(B314,Protocolo!$A$5:$A$54,0))*IF(INDEX(Protocolo!$D$5:$D$54,MATCH(B314,Protocolo!$A$5:$A$54,0))="semanas",7,1)),""))</f>
      </c>
      <c r="H314" s="15">
        <f>IF(G314="","",G314-TODAY())</f>
      </c>
      <c r="I314" s="12">
        <f>IF(OR(A314="",B314="",D314=""),"",IF(D314=SUMPRODUCT(MAX(($A$5:$A$504=A314)*($B$5:$B$504=B314)*$D$5:$D$504)),"Sí","Reemplazada"))</f>
      </c>
      <c r="J314" s="12">
        <f>IF(I314="","",IF(I314="Reemplazada","Reemplazada",IF(H314="","Sin fecha",IF(H314&lt;0,"Vencida",IF(H314&lt;=IFERROR(IF(INDEX(Protocolo!$E$5:$E$54,MATCH(B314,Protocolo!$A$5:$A$54,0))="",30,INDEX(Protocolo!$E$5:$E$54,MATCH(B314,Protocolo!$A$5:$A$54,0))),30),"Por vencer","Vigente")))))</f>
      </c>
      <c r="K314" s="10"/>
    </row>
    <row r="315" spans="1:11" x14ac:dyDescent="0.25">
      <c r="A315" s="10"/>
      <c r="B315" s="10"/>
      <c r="C315" s="12">
        <f>IF(B315="","",IFERROR(INDEX(Protocolo!$B$5:$B$54,MATCH(B315,Protocolo!$A$5:$A$54,0)),""))</f>
      </c>
      <c r="D315" s="16"/>
      <c r="E315" s="10"/>
      <c r="F315" s="10"/>
      <c r="G315" s="14">
        <f>IF(OR(B315="",D315=""),"",IFERROR(IF(INDEX(Protocolo!$D$5:$D$54,MATCH(B315,Protocolo!$A$5:$A$54,0))="meses",EDATE(D315,INDEX(Protocolo!$C$5:$C$54,MATCH(B315,Protocolo!$A$5:$A$54,0))),D315+INDEX(Protocolo!$C$5:$C$54,MATCH(B315,Protocolo!$A$5:$A$54,0))*IF(INDEX(Protocolo!$D$5:$D$54,MATCH(B315,Protocolo!$A$5:$A$54,0))="semanas",7,1)),""))</f>
      </c>
      <c r="H315" s="15">
        <f>IF(G315="","",G315-TODAY())</f>
      </c>
      <c r="I315" s="12">
        <f>IF(OR(A315="",B315="",D315=""),"",IF(D315=SUMPRODUCT(MAX(($A$5:$A$504=A315)*($B$5:$B$504=B315)*$D$5:$D$504)),"Sí","Reemplazada"))</f>
      </c>
      <c r="J315" s="12">
        <f>IF(I315="","",IF(I315="Reemplazada","Reemplazada",IF(H315="","Sin fecha",IF(H315&lt;0,"Vencida",IF(H315&lt;=IFERROR(IF(INDEX(Protocolo!$E$5:$E$54,MATCH(B315,Protocolo!$A$5:$A$54,0))="",30,INDEX(Protocolo!$E$5:$E$54,MATCH(B315,Protocolo!$A$5:$A$54,0))),30),"Por vencer","Vigente")))))</f>
      </c>
      <c r="K315" s="10"/>
    </row>
    <row r="316" spans="1:11" x14ac:dyDescent="0.25">
      <c r="A316" s="10"/>
      <c r="B316" s="10"/>
      <c r="C316" s="12">
        <f>IF(B316="","",IFERROR(INDEX(Protocolo!$B$5:$B$54,MATCH(B316,Protocolo!$A$5:$A$54,0)),""))</f>
      </c>
      <c r="D316" s="16"/>
      <c r="E316" s="10"/>
      <c r="F316" s="10"/>
      <c r="G316" s="14">
        <f>IF(OR(B316="",D316=""),"",IFERROR(IF(INDEX(Protocolo!$D$5:$D$54,MATCH(B316,Protocolo!$A$5:$A$54,0))="meses",EDATE(D316,INDEX(Protocolo!$C$5:$C$54,MATCH(B316,Protocolo!$A$5:$A$54,0))),D316+INDEX(Protocolo!$C$5:$C$54,MATCH(B316,Protocolo!$A$5:$A$54,0))*IF(INDEX(Protocolo!$D$5:$D$54,MATCH(B316,Protocolo!$A$5:$A$54,0))="semanas",7,1)),""))</f>
      </c>
      <c r="H316" s="15">
        <f>IF(G316="","",G316-TODAY())</f>
      </c>
      <c r="I316" s="12">
        <f>IF(OR(A316="",B316="",D316=""),"",IF(D316=SUMPRODUCT(MAX(($A$5:$A$504=A316)*($B$5:$B$504=B316)*$D$5:$D$504)),"Sí","Reemplazada"))</f>
      </c>
      <c r="J316" s="12">
        <f>IF(I316="","",IF(I316="Reemplazada","Reemplazada",IF(H316="","Sin fecha",IF(H316&lt;0,"Vencida",IF(H316&lt;=IFERROR(IF(INDEX(Protocolo!$E$5:$E$54,MATCH(B316,Protocolo!$A$5:$A$54,0))="",30,INDEX(Protocolo!$E$5:$E$54,MATCH(B316,Protocolo!$A$5:$A$54,0))),30),"Por vencer","Vigente")))))</f>
      </c>
      <c r="K316" s="10"/>
    </row>
    <row r="317" spans="1:11" x14ac:dyDescent="0.25">
      <c r="A317" s="10"/>
      <c r="B317" s="10"/>
      <c r="C317" s="12">
        <f>IF(B317="","",IFERROR(INDEX(Protocolo!$B$5:$B$54,MATCH(B317,Protocolo!$A$5:$A$54,0)),""))</f>
      </c>
      <c r="D317" s="16"/>
      <c r="E317" s="10"/>
      <c r="F317" s="10"/>
      <c r="G317" s="14">
        <f>IF(OR(B317="",D317=""),"",IFERROR(IF(INDEX(Protocolo!$D$5:$D$54,MATCH(B317,Protocolo!$A$5:$A$54,0))="meses",EDATE(D317,INDEX(Protocolo!$C$5:$C$54,MATCH(B317,Protocolo!$A$5:$A$54,0))),D317+INDEX(Protocolo!$C$5:$C$54,MATCH(B317,Protocolo!$A$5:$A$54,0))*IF(INDEX(Protocolo!$D$5:$D$54,MATCH(B317,Protocolo!$A$5:$A$54,0))="semanas",7,1)),""))</f>
      </c>
      <c r="H317" s="15">
        <f>IF(G317="","",G317-TODAY())</f>
      </c>
      <c r="I317" s="12">
        <f>IF(OR(A317="",B317="",D317=""),"",IF(D317=SUMPRODUCT(MAX(($A$5:$A$504=A317)*($B$5:$B$504=B317)*$D$5:$D$504)),"Sí","Reemplazada"))</f>
      </c>
      <c r="J317" s="12">
        <f>IF(I317="","",IF(I317="Reemplazada","Reemplazada",IF(H317="","Sin fecha",IF(H317&lt;0,"Vencida",IF(H317&lt;=IFERROR(IF(INDEX(Protocolo!$E$5:$E$54,MATCH(B317,Protocolo!$A$5:$A$54,0))="",30,INDEX(Protocolo!$E$5:$E$54,MATCH(B317,Protocolo!$A$5:$A$54,0))),30),"Por vencer","Vigente")))))</f>
      </c>
      <c r="K317" s="10"/>
    </row>
    <row r="318" spans="1:11" x14ac:dyDescent="0.25">
      <c r="A318" s="10"/>
      <c r="B318" s="10"/>
      <c r="C318" s="12">
        <f>IF(B318="","",IFERROR(INDEX(Protocolo!$B$5:$B$54,MATCH(B318,Protocolo!$A$5:$A$54,0)),""))</f>
      </c>
      <c r="D318" s="16"/>
      <c r="E318" s="10"/>
      <c r="F318" s="10"/>
      <c r="G318" s="14">
        <f>IF(OR(B318="",D318=""),"",IFERROR(IF(INDEX(Protocolo!$D$5:$D$54,MATCH(B318,Protocolo!$A$5:$A$54,0))="meses",EDATE(D318,INDEX(Protocolo!$C$5:$C$54,MATCH(B318,Protocolo!$A$5:$A$54,0))),D318+INDEX(Protocolo!$C$5:$C$54,MATCH(B318,Protocolo!$A$5:$A$54,0))*IF(INDEX(Protocolo!$D$5:$D$54,MATCH(B318,Protocolo!$A$5:$A$54,0))="semanas",7,1)),""))</f>
      </c>
      <c r="H318" s="15">
        <f>IF(G318="","",G318-TODAY())</f>
      </c>
      <c r="I318" s="12">
        <f>IF(OR(A318="",B318="",D318=""),"",IF(D318=SUMPRODUCT(MAX(($A$5:$A$504=A318)*($B$5:$B$504=B318)*$D$5:$D$504)),"Sí","Reemplazada"))</f>
      </c>
      <c r="J318" s="12">
        <f>IF(I318="","",IF(I318="Reemplazada","Reemplazada",IF(H318="","Sin fecha",IF(H318&lt;0,"Vencida",IF(H318&lt;=IFERROR(IF(INDEX(Protocolo!$E$5:$E$54,MATCH(B318,Protocolo!$A$5:$A$54,0))="",30,INDEX(Protocolo!$E$5:$E$54,MATCH(B318,Protocolo!$A$5:$A$54,0))),30),"Por vencer","Vigente")))))</f>
      </c>
      <c r="K318" s="10"/>
    </row>
    <row r="319" spans="1:11" x14ac:dyDescent="0.25">
      <c r="A319" s="10"/>
      <c r="B319" s="10"/>
      <c r="C319" s="12">
        <f>IF(B319="","",IFERROR(INDEX(Protocolo!$B$5:$B$54,MATCH(B319,Protocolo!$A$5:$A$54,0)),""))</f>
      </c>
      <c r="D319" s="16"/>
      <c r="E319" s="10"/>
      <c r="F319" s="10"/>
      <c r="G319" s="14">
        <f>IF(OR(B319="",D319=""),"",IFERROR(IF(INDEX(Protocolo!$D$5:$D$54,MATCH(B319,Protocolo!$A$5:$A$54,0))="meses",EDATE(D319,INDEX(Protocolo!$C$5:$C$54,MATCH(B319,Protocolo!$A$5:$A$54,0))),D319+INDEX(Protocolo!$C$5:$C$54,MATCH(B319,Protocolo!$A$5:$A$54,0))*IF(INDEX(Protocolo!$D$5:$D$54,MATCH(B319,Protocolo!$A$5:$A$54,0))="semanas",7,1)),""))</f>
      </c>
      <c r="H319" s="15">
        <f>IF(G319="","",G319-TODAY())</f>
      </c>
      <c r="I319" s="12">
        <f>IF(OR(A319="",B319="",D319=""),"",IF(D319=SUMPRODUCT(MAX(($A$5:$A$504=A319)*($B$5:$B$504=B319)*$D$5:$D$504)),"Sí","Reemplazada"))</f>
      </c>
      <c r="J319" s="12">
        <f>IF(I319="","",IF(I319="Reemplazada","Reemplazada",IF(H319="","Sin fecha",IF(H319&lt;0,"Vencida",IF(H319&lt;=IFERROR(IF(INDEX(Protocolo!$E$5:$E$54,MATCH(B319,Protocolo!$A$5:$A$54,0))="",30,INDEX(Protocolo!$E$5:$E$54,MATCH(B319,Protocolo!$A$5:$A$54,0))),30),"Por vencer","Vigente")))))</f>
      </c>
      <c r="K319" s="10"/>
    </row>
    <row r="320" spans="1:11" x14ac:dyDescent="0.25">
      <c r="A320" s="10"/>
      <c r="B320" s="10"/>
      <c r="C320" s="12">
        <f>IF(B320="","",IFERROR(INDEX(Protocolo!$B$5:$B$54,MATCH(B320,Protocolo!$A$5:$A$54,0)),""))</f>
      </c>
      <c r="D320" s="16"/>
      <c r="E320" s="10"/>
      <c r="F320" s="10"/>
      <c r="G320" s="14">
        <f>IF(OR(B320="",D320=""),"",IFERROR(IF(INDEX(Protocolo!$D$5:$D$54,MATCH(B320,Protocolo!$A$5:$A$54,0))="meses",EDATE(D320,INDEX(Protocolo!$C$5:$C$54,MATCH(B320,Protocolo!$A$5:$A$54,0))),D320+INDEX(Protocolo!$C$5:$C$54,MATCH(B320,Protocolo!$A$5:$A$54,0))*IF(INDEX(Protocolo!$D$5:$D$54,MATCH(B320,Protocolo!$A$5:$A$54,0))="semanas",7,1)),""))</f>
      </c>
      <c r="H320" s="15">
        <f>IF(G320="","",G320-TODAY())</f>
      </c>
      <c r="I320" s="12">
        <f>IF(OR(A320="",B320="",D320=""),"",IF(D320=SUMPRODUCT(MAX(($A$5:$A$504=A320)*($B$5:$B$504=B320)*$D$5:$D$504)),"Sí","Reemplazada"))</f>
      </c>
      <c r="J320" s="12">
        <f>IF(I320="","",IF(I320="Reemplazada","Reemplazada",IF(H320="","Sin fecha",IF(H320&lt;0,"Vencida",IF(H320&lt;=IFERROR(IF(INDEX(Protocolo!$E$5:$E$54,MATCH(B320,Protocolo!$A$5:$A$54,0))="",30,INDEX(Protocolo!$E$5:$E$54,MATCH(B320,Protocolo!$A$5:$A$54,0))),30),"Por vencer","Vigente")))))</f>
      </c>
      <c r="K320" s="10"/>
    </row>
    <row r="321" spans="1:11" x14ac:dyDescent="0.25">
      <c r="A321" s="10"/>
      <c r="B321" s="10"/>
      <c r="C321" s="12">
        <f>IF(B321="","",IFERROR(INDEX(Protocolo!$B$5:$B$54,MATCH(B321,Protocolo!$A$5:$A$54,0)),""))</f>
      </c>
      <c r="D321" s="16"/>
      <c r="E321" s="10"/>
      <c r="F321" s="10"/>
      <c r="G321" s="14">
        <f>IF(OR(B321="",D321=""),"",IFERROR(IF(INDEX(Protocolo!$D$5:$D$54,MATCH(B321,Protocolo!$A$5:$A$54,0))="meses",EDATE(D321,INDEX(Protocolo!$C$5:$C$54,MATCH(B321,Protocolo!$A$5:$A$54,0))),D321+INDEX(Protocolo!$C$5:$C$54,MATCH(B321,Protocolo!$A$5:$A$54,0))*IF(INDEX(Protocolo!$D$5:$D$54,MATCH(B321,Protocolo!$A$5:$A$54,0))="semanas",7,1)),""))</f>
      </c>
      <c r="H321" s="15">
        <f>IF(G321="","",G321-TODAY())</f>
      </c>
      <c r="I321" s="12">
        <f>IF(OR(A321="",B321="",D321=""),"",IF(D321=SUMPRODUCT(MAX(($A$5:$A$504=A321)*($B$5:$B$504=B321)*$D$5:$D$504)),"Sí","Reemplazada"))</f>
      </c>
      <c r="J321" s="12">
        <f>IF(I321="","",IF(I321="Reemplazada","Reemplazada",IF(H321="","Sin fecha",IF(H321&lt;0,"Vencida",IF(H321&lt;=IFERROR(IF(INDEX(Protocolo!$E$5:$E$54,MATCH(B321,Protocolo!$A$5:$A$54,0))="",30,INDEX(Protocolo!$E$5:$E$54,MATCH(B321,Protocolo!$A$5:$A$54,0))),30),"Por vencer","Vigente")))))</f>
      </c>
      <c r="K321" s="10"/>
    </row>
    <row r="322" spans="1:11" x14ac:dyDescent="0.25">
      <c r="A322" s="10"/>
      <c r="B322" s="10"/>
      <c r="C322" s="12">
        <f>IF(B322="","",IFERROR(INDEX(Protocolo!$B$5:$B$54,MATCH(B322,Protocolo!$A$5:$A$54,0)),""))</f>
      </c>
      <c r="D322" s="16"/>
      <c r="E322" s="10"/>
      <c r="F322" s="10"/>
      <c r="G322" s="14">
        <f>IF(OR(B322="",D322=""),"",IFERROR(IF(INDEX(Protocolo!$D$5:$D$54,MATCH(B322,Protocolo!$A$5:$A$54,0))="meses",EDATE(D322,INDEX(Protocolo!$C$5:$C$54,MATCH(B322,Protocolo!$A$5:$A$54,0))),D322+INDEX(Protocolo!$C$5:$C$54,MATCH(B322,Protocolo!$A$5:$A$54,0))*IF(INDEX(Protocolo!$D$5:$D$54,MATCH(B322,Protocolo!$A$5:$A$54,0))="semanas",7,1)),""))</f>
      </c>
      <c r="H322" s="15">
        <f>IF(G322="","",G322-TODAY())</f>
      </c>
      <c r="I322" s="12">
        <f>IF(OR(A322="",B322="",D322=""),"",IF(D322=SUMPRODUCT(MAX(($A$5:$A$504=A322)*($B$5:$B$504=B322)*$D$5:$D$504)),"Sí","Reemplazada"))</f>
      </c>
      <c r="J322" s="12">
        <f>IF(I322="","",IF(I322="Reemplazada","Reemplazada",IF(H322="","Sin fecha",IF(H322&lt;0,"Vencida",IF(H322&lt;=IFERROR(IF(INDEX(Protocolo!$E$5:$E$54,MATCH(B322,Protocolo!$A$5:$A$54,0))="",30,INDEX(Protocolo!$E$5:$E$54,MATCH(B322,Protocolo!$A$5:$A$54,0))),30),"Por vencer","Vigente")))))</f>
      </c>
      <c r="K322" s="10"/>
    </row>
    <row r="323" spans="1:11" x14ac:dyDescent="0.25">
      <c r="A323" s="10"/>
      <c r="B323" s="10"/>
      <c r="C323" s="12">
        <f>IF(B323="","",IFERROR(INDEX(Protocolo!$B$5:$B$54,MATCH(B323,Protocolo!$A$5:$A$54,0)),""))</f>
      </c>
      <c r="D323" s="16"/>
      <c r="E323" s="10"/>
      <c r="F323" s="10"/>
      <c r="G323" s="14">
        <f>IF(OR(B323="",D323=""),"",IFERROR(IF(INDEX(Protocolo!$D$5:$D$54,MATCH(B323,Protocolo!$A$5:$A$54,0))="meses",EDATE(D323,INDEX(Protocolo!$C$5:$C$54,MATCH(B323,Protocolo!$A$5:$A$54,0))),D323+INDEX(Protocolo!$C$5:$C$54,MATCH(B323,Protocolo!$A$5:$A$54,0))*IF(INDEX(Protocolo!$D$5:$D$54,MATCH(B323,Protocolo!$A$5:$A$54,0))="semanas",7,1)),""))</f>
      </c>
      <c r="H323" s="15">
        <f>IF(G323="","",G323-TODAY())</f>
      </c>
      <c r="I323" s="12">
        <f>IF(OR(A323="",B323="",D323=""),"",IF(D323=SUMPRODUCT(MAX(($A$5:$A$504=A323)*($B$5:$B$504=B323)*$D$5:$D$504)),"Sí","Reemplazada"))</f>
      </c>
      <c r="J323" s="12">
        <f>IF(I323="","",IF(I323="Reemplazada","Reemplazada",IF(H323="","Sin fecha",IF(H323&lt;0,"Vencida",IF(H323&lt;=IFERROR(IF(INDEX(Protocolo!$E$5:$E$54,MATCH(B323,Protocolo!$A$5:$A$54,0))="",30,INDEX(Protocolo!$E$5:$E$54,MATCH(B323,Protocolo!$A$5:$A$54,0))),30),"Por vencer","Vigente")))))</f>
      </c>
      <c r="K323" s="10"/>
    </row>
    <row r="324" spans="1:11" x14ac:dyDescent="0.25">
      <c r="A324" s="10"/>
      <c r="B324" s="10"/>
      <c r="C324" s="12">
        <f>IF(B324="","",IFERROR(INDEX(Protocolo!$B$5:$B$54,MATCH(B324,Protocolo!$A$5:$A$54,0)),""))</f>
      </c>
      <c r="D324" s="16"/>
      <c r="E324" s="10"/>
      <c r="F324" s="10"/>
      <c r="G324" s="14">
        <f>IF(OR(B324="",D324=""),"",IFERROR(IF(INDEX(Protocolo!$D$5:$D$54,MATCH(B324,Protocolo!$A$5:$A$54,0))="meses",EDATE(D324,INDEX(Protocolo!$C$5:$C$54,MATCH(B324,Protocolo!$A$5:$A$54,0))),D324+INDEX(Protocolo!$C$5:$C$54,MATCH(B324,Protocolo!$A$5:$A$54,0))*IF(INDEX(Protocolo!$D$5:$D$54,MATCH(B324,Protocolo!$A$5:$A$54,0))="semanas",7,1)),""))</f>
      </c>
      <c r="H324" s="15">
        <f>IF(G324="","",G324-TODAY())</f>
      </c>
      <c r="I324" s="12">
        <f>IF(OR(A324="",B324="",D324=""),"",IF(D324=SUMPRODUCT(MAX(($A$5:$A$504=A324)*($B$5:$B$504=B324)*$D$5:$D$504)),"Sí","Reemplazada"))</f>
      </c>
      <c r="J324" s="12">
        <f>IF(I324="","",IF(I324="Reemplazada","Reemplazada",IF(H324="","Sin fecha",IF(H324&lt;0,"Vencida",IF(H324&lt;=IFERROR(IF(INDEX(Protocolo!$E$5:$E$54,MATCH(B324,Protocolo!$A$5:$A$54,0))="",30,INDEX(Protocolo!$E$5:$E$54,MATCH(B324,Protocolo!$A$5:$A$54,0))),30),"Por vencer","Vigente")))))</f>
      </c>
      <c r="K324" s="10"/>
    </row>
    <row r="325" spans="1:11" x14ac:dyDescent="0.25">
      <c r="A325" s="10"/>
      <c r="B325" s="10"/>
      <c r="C325" s="12">
        <f>IF(B325="","",IFERROR(INDEX(Protocolo!$B$5:$B$54,MATCH(B325,Protocolo!$A$5:$A$54,0)),""))</f>
      </c>
      <c r="D325" s="16"/>
      <c r="E325" s="10"/>
      <c r="F325" s="10"/>
      <c r="G325" s="14">
        <f>IF(OR(B325="",D325=""),"",IFERROR(IF(INDEX(Protocolo!$D$5:$D$54,MATCH(B325,Protocolo!$A$5:$A$54,0))="meses",EDATE(D325,INDEX(Protocolo!$C$5:$C$54,MATCH(B325,Protocolo!$A$5:$A$54,0))),D325+INDEX(Protocolo!$C$5:$C$54,MATCH(B325,Protocolo!$A$5:$A$54,0))*IF(INDEX(Protocolo!$D$5:$D$54,MATCH(B325,Protocolo!$A$5:$A$54,0))="semanas",7,1)),""))</f>
      </c>
      <c r="H325" s="15">
        <f>IF(G325="","",G325-TODAY())</f>
      </c>
      <c r="I325" s="12">
        <f>IF(OR(A325="",B325="",D325=""),"",IF(D325=SUMPRODUCT(MAX(($A$5:$A$504=A325)*($B$5:$B$504=B325)*$D$5:$D$504)),"Sí","Reemplazada"))</f>
      </c>
      <c r="J325" s="12">
        <f>IF(I325="","",IF(I325="Reemplazada","Reemplazada",IF(H325="","Sin fecha",IF(H325&lt;0,"Vencida",IF(H325&lt;=IFERROR(IF(INDEX(Protocolo!$E$5:$E$54,MATCH(B325,Protocolo!$A$5:$A$54,0))="",30,INDEX(Protocolo!$E$5:$E$54,MATCH(B325,Protocolo!$A$5:$A$54,0))),30),"Por vencer","Vigente")))))</f>
      </c>
      <c r="K325" s="10"/>
    </row>
    <row r="326" spans="1:11" x14ac:dyDescent="0.25">
      <c r="A326" s="10"/>
      <c r="B326" s="10"/>
      <c r="C326" s="12">
        <f>IF(B326="","",IFERROR(INDEX(Protocolo!$B$5:$B$54,MATCH(B326,Protocolo!$A$5:$A$54,0)),""))</f>
      </c>
      <c r="D326" s="16"/>
      <c r="E326" s="10"/>
      <c r="F326" s="10"/>
      <c r="G326" s="14">
        <f>IF(OR(B326="",D326=""),"",IFERROR(IF(INDEX(Protocolo!$D$5:$D$54,MATCH(B326,Protocolo!$A$5:$A$54,0))="meses",EDATE(D326,INDEX(Protocolo!$C$5:$C$54,MATCH(B326,Protocolo!$A$5:$A$54,0))),D326+INDEX(Protocolo!$C$5:$C$54,MATCH(B326,Protocolo!$A$5:$A$54,0))*IF(INDEX(Protocolo!$D$5:$D$54,MATCH(B326,Protocolo!$A$5:$A$54,0))="semanas",7,1)),""))</f>
      </c>
      <c r="H326" s="15">
        <f>IF(G326="","",G326-TODAY())</f>
      </c>
      <c r="I326" s="12">
        <f>IF(OR(A326="",B326="",D326=""),"",IF(D326=SUMPRODUCT(MAX(($A$5:$A$504=A326)*($B$5:$B$504=B326)*$D$5:$D$504)),"Sí","Reemplazada"))</f>
      </c>
      <c r="J326" s="12">
        <f>IF(I326="","",IF(I326="Reemplazada","Reemplazada",IF(H326="","Sin fecha",IF(H326&lt;0,"Vencida",IF(H326&lt;=IFERROR(IF(INDEX(Protocolo!$E$5:$E$54,MATCH(B326,Protocolo!$A$5:$A$54,0))="",30,INDEX(Protocolo!$E$5:$E$54,MATCH(B326,Protocolo!$A$5:$A$54,0))),30),"Por vencer","Vigente")))))</f>
      </c>
      <c r="K326" s="10"/>
    </row>
    <row r="327" spans="1:11" x14ac:dyDescent="0.25">
      <c r="A327" s="10"/>
      <c r="B327" s="10"/>
      <c r="C327" s="12">
        <f>IF(B327="","",IFERROR(INDEX(Protocolo!$B$5:$B$54,MATCH(B327,Protocolo!$A$5:$A$54,0)),""))</f>
      </c>
      <c r="D327" s="16"/>
      <c r="E327" s="10"/>
      <c r="F327" s="10"/>
      <c r="G327" s="14">
        <f>IF(OR(B327="",D327=""),"",IFERROR(IF(INDEX(Protocolo!$D$5:$D$54,MATCH(B327,Protocolo!$A$5:$A$54,0))="meses",EDATE(D327,INDEX(Protocolo!$C$5:$C$54,MATCH(B327,Protocolo!$A$5:$A$54,0))),D327+INDEX(Protocolo!$C$5:$C$54,MATCH(B327,Protocolo!$A$5:$A$54,0))*IF(INDEX(Protocolo!$D$5:$D$54,MATCH(B327,Protocolo!$A$5:$A$54,0))="semanas",7,1)),""))</f>
      </c>
      <c r="H327" s="15">
        <f>IF(G327="","",G327-TODAY())</f>
      </c>
      <c r="I327" s="12">
        <f>IF(OR(A327="",B327="",D327=""),"",IF(D327=SUMPRODUCT(MAX(($A$5:$A$504=A327)*($B$5:$B$504=B327)*$D$5:$D$504)),"Sí","Reemplazada"))</f>
      </c>
      <c r="J327" s="12">
        <f>IF(I327="","",IF(I327="Reemplazada","Reemplazada",IF(H327="","Sin fecha",IF(H327&lt;0,"Vencida",IF(H327&lt;=IFERROR(IF(INDEX(Protocolo!$E$5:$E$54,MATCH(B327,Protocolo!$A$5:$A$54,0))="",30,INDEX(Protocolo!$E$5:$E$54,MATCH(B327,Protocolo!$A$5:$A$54,0))),30),"Por vencer","Vigente")))))</f>
      </c>
      <c r="K327" s="10"/>
    </row>
    <row r="328" spans="1:11" x14ac:dyDescent="0.25">
      <c r="A328" s="10"/>
      <c r="B328" s="10"/>
      <c r="C328" s="12">
        <f>IF(B328="","",IFERROR(INDEX(Protocolo!$B$5:$B$54,MATCH(B328,Protocolo!$A$5:$A$54,0)),""))</f>
      </c>
      <c r="D328" s="16"/>
      <c r="E328" s="10"/>
      <c r="F328" s="10"/>
      <c r="G328" s="14">
        <f>IF(OR(B328="",D328=""),"",IFERROR(IF(INDEX(Protocolo!$D$5:$D$54,MATCH(B328,Protocolo!$A$5:$A$54,0))="meses",EDATE(D328,INDEX(Protocolo!$C$5:$C$54,MATCH(B328,Protocolo!$A$5:$A$54,0))),D328+INDEX(Protocolo!$C$5:$C$54,MATCH(B328,Protocolo!$A$5:$A$54,0))*IF(INDEX(Protocolo!$D$5:$D$54,MATCH(B328,Protocolo!$A$5:$A$54,0))="semanas",7,1)),""))</f>
      </c>
      <c r="H328" s="15">
        <f>IF(G328="","",G328-TODAY())</f>
      </c>
      <c r="I328" s="12">
        <f>IF(OR(A328="",B328="",D328=""),"",IF(D328=SUMPRODUCT(MAX(($A$5:$A$504=A328)*($B$5:$B$504=B328)*$D$5:$D$504)),"Sí","Reemplazada"))</f>
      </c>
      <c r="J328" s="12">
        <f>IF(I328="","",IF(I328="Reemplazada","Reemplazada",IF(H328="","Sin fecha",IF(H328&lt;0,"Vencida",IF(H328&lt;=IFERROR(IF(INDEX(Protocolo!$E$5:$E$54,MATCH(B328,Protocolo!$A$5:$A$54,0))="",30,INDEX(Protocolo!$E$5:$E$54,MATCH(B328,Protocolo!$A$5:$A$54,0))),30),"Por vencer","Vigente")))))</f>
      </c>
      <c r="K328" s="10"/>
    </row>
    <row r="329" spans="1:11" x14ac:dyDescent="0.25">
      <c r="A329" s="10"/>
      <c r="B329" s="10"/>
      <c r="C329" s="12">
        <f>IF(B329="","",IFERROR(INDEX(Protocolo!$B$5:$B$54,MATCH(B329,Protocolo!$A$5:$A$54,0)),""))</f>
      </c>
      <c r="D329" s="16"/>
      <c r="E329" s="10"/>
      <c r="F329" s="10"/>
      <c r="G329" s="14">
        <f>IF(OR(B329="",D329=""),"",IFERROR(IF(INDEX(Protocolo!$D$5:$D$54,MATCH(B329,Protocolo!$A$5:$A$54,0))="meses",EDATE(D329,INDEX(Protocolo!$C$5:$C$54,MATCH(B329,Protocolo!$A$5:$A$54,0))),D329+INDEX(Protocolo!$C$5:$C$54,MATCH(B329,Protocolo!$A$5:$A$54,0))*IF(INDEX(Protocolo!$D$5:$D$54,MATCH(B329,Protocolo!$A$5:$A$54,0))="semanas",7,1)),""))</f>
      </c>
      <c r="H329" s="15">
        <f>IF(G329="","",G329-TODAY())</f>
      </c>
      <c r="I329" s="12">
        <f>IF(OR(A329="",B329="",D329=""),"",IF(D329=SUMPRODUCT(MAX(($A$5:$A$504=A329)*($B$5:$B$504=B329)*$D$5:$D$504)),"Sí","Reemplazada"))</f>
      </c>
      <c r="J329" s="12">
        <f>IF(I329="","",IF(I329="Reemplazada","Reemplazada",IF(H329="","Sin fecha",IF(H329&lt;0,"Vencida",IF(H329&lt;=IFERROR(IF(INDEX(Protocolo!$E$5:$E$54,MATCH(B329,Protocolo!$A$5:$A$54,0))="",30,INDEX(Protocolo!$E$5:$E$54,MATCH(B329,Protocolo!$A$5:$A$54,0))),30),"Por vencer","Vigente")))))</f>
      </c>
      <c r="K329" s="10"/>
    </row>
    <row r="330" spans="1:11" x14ac:dyDescent="0.25">
      <c r="A330" s="10"/>
      <c r="B330" s="10"/>
      <c r="C330" s="12">
        <f>IF(B330="","",IFERROR(INDEX(Protocolo!$B$5:$B$54,MATCH(B330,Protocolo!$A$5:$A$54,0)),""))</f>
      </c>
      <c r="D330" s="16"/>
      <c r="E330" s="10"/>
      <c r="F330" s="10"/>
      <c r="G330" s="14">
        <f>IF(OR(B330="",D330=""),"",IFERROR(IF(INDEX(Protocolo!$D$5:$D$54,MATCH(B330,Protocolo!$A$5:$A$54,0))="meses",EDATE(D330,INDEX(Protocolo!$C$5:$C$54,MATCH(B330,Protocolo!$A$5:$A$54,0))),D330+INDEX(Protocolo!$C$5:$C$54,MATCH(B330,Protocolo!$A$5:$A$54,0))*IF(INDEX(Protocolo!$D$5:$D$54,MATCH(B330,Protocolo!$A$5:$A$54,0))="semanas",7,1)),""))</f>
      </c>
      <c r="H330" s="15">
        <f>IF(G330="","",G330-TODAY())</f>
      </c>
      <c r="I330" s="12">
        <f>IF(OR(A330="",B330="",D330=""),"",IF(D330=SUMPRODUCT(MAX(($A$5:$A$504=A330)*($B$5:$B$504=B330)*$D$5:$D$504)),"Sí","Reemplazada"))</f>
      </c>
      <c r="J330" s="12">
        <f>IF(I330="","",IF(I330="Reemplazada","Reemplazada",IF(H330="","Sin fecha",IF(H330&lt;0,"Vencida",IF(H330&lt;=IFERROR(IF(INDEX(Protocolo!$E$5:$E$54,MATCH(B330,Protocolo!$A$5:$A$54,0))="",30,INDEX(Protocolo!$E$5:$E$54,MATCH(B330,Protocolo!$A$5:$A$54,0))),30),"Por vencer","Vigente")))))</f>
      </c>
      <c r="K330" s="10"/>
    </row>
    <row r="331" spans="1:11" x14ac:dyDescent="0.25">
      <c r="A331" s="10"/>
      <c r="B331" s="10"/>
      <c r="C331" s="12">
        <f>IF(B331="","",IFERROR(INDEX(Protocolo!$B$5:$B$54,MATCH(B331,Protocolo!$A$5:$A$54,0)),""))</f>
      </c>
      <c r="D331" s="16"/>
      <c r="E331" s="10"/>
      <c r="F331" s="10"/>
      <c r="G331" s="14">
        <f>IF(OR(B331="",D331=""),"",IFERROR(IF(INDEX(Protocolo!$D$5:$D$54,MATCH(B331,Protocolo!$A$5:$A$54,0))="meses",EDATE(D331,INDEX(Protocolo!$C$5:$C$54,MATCH(B331,Protocolo!$A$5:$A$54,0))),D331+INDEX(Protocolo!$C$5:$C$54,MATCH(B331,Protocolo!$A$5:$A$54,0))*IF(INDEX(Protocolo!$D$5:$D$54,MATCH(B331,Protocolo!$A$5:$A$54,0))="semanas",7,1)),""))</f>
      </c>
      <c r="H331" s="15">
        <f>IF(G331="","",G331-TODAY())</f>
      </c>
      <c r="I331" s="12">
        <f>IF(OR(A331="",B331="",D331=""),"",IF(D331=SUMPRODUCT(MAX(($A$5:$A$504=A331)*($B$5:$B$504=B331)*$D$5:$D$504)),"Sí","Reemplazada"))</f>
      </c>
      <c r="J331" s="12">
        <f>IF(I331="","",IF(I331="Reemplazada","Reemplazada",IF(H331="","Sin fecha",IF(H331&lt;0,"Vencida",IF(H331&lt;=IFERROR(IF(INDEX(Protocolo!$E$5:$E$54,MATCH(B331,Protocolo!$A$5:$A$54,0))="",30,INDEX(Protocolo!$E$5:$E$54,MATCH(B331,Protocolo!$A$5:$A$54,0))),30),"Por vencer","Vigente")))))</f>
      </c>
      <c r="K331" s="10"/>
    </row>
    <row r="332" spans="1:11" x14ac:dyDescent="0.25">
      <c r="A332" s="10"/>
      <c r="B332" s="10"/>
      <c r="C332" s="12">
        <f>IF(B332="","",IFERROR(INDEX(Protocolo!$B$5:$B$54,MATCH(B332,Protocolo!$A$5:$A$54,0)),""))</f>
      </c>
      <c r="D332" s="16"/>
      <c r="E332" s="10"/>
      <c r="F332" s="10"/>
      <c r="G332" s="14">
        <f>IF(OR(B332="",D332=""),"",IFERROR(IF(INDEX(Protocolo!$D$5:$D$54,MATCH(B332,Protocolo!$A$5:$A$54,0))="meses",EDATE(D332,INDEX(Protocolo!$C$5:$C$54,MATCH(B332,Protocolo!$A$5:$A$54,0))),D332+INDEX(Protocolo!$C$5:$C$54,MATCH(B332,Protocolo!$A$5:$A$54,0))*IF(INDEX(Protocolo!$D$5:$D$54,MATCH(B332,Protocolo!$A$5:$A$54,0))="semanas",7,1)),""))</f>
      </c>
      <c r="H332" s="15">
        <f>IF(G332="","",G332-TODAY())</f>
      </c>
      <c r="I332" s="12">
        <f>IF(OR(A332="",B332="",D332=""),"",IF(D332=SUMPRODUCT(MAX(($A$5:$A$504=A332)*($B$5:$B$504=B332)*$D$5:$D$504)),"Sí","Reemplazada"))</f>
      </c>
      <c r="J332" s="12">
        <f>IF(I332="","",IF(I332="Reemplazada","Reemplazada",IF(H332="","Sin fecha",IF(H332&lt;0,"Vencida",IF(H332&lt;=IFERROR(IF(INDEX(Protocolo!$E$5:$E$54,MATCH(B332,Protocolo!$A$5:$A$54,0))="",30,INDEX(Protocolo!$E$5:$E$54,MATCH(B332,Protocolo!$A$5:$A$54,0))),30),"Por vencer","Vigente")))))</f>
      </c>
      <c r="K332" s="10"/>
    </row>
    <row r="333" spans="1:11" x14ac:dyDescent="0.25">
      <c r="A333" s="10"/>
      <c r="B333" s="10"/>
      <c r="C333" s="12">
        <f>IF(B333="","",IFERROR(INDEX(Protocolo!$B$5:$B$54,MATCH(B333,Protocolo!$A$5:$A$54,0)),""))</f>
      </c>
      <c r="D333" s="16"/>
      <c r="E333" s="10"/>
      <c r="F333" s="10"/>
      <c r="G333" s="14">
        <f>IF(OR(B333="",D333=""),"",IFERROR(IF(INDEX(Protocolo!$D$5:$D$54,MATCH(B333,Protocolo!$A$5:$A$54,0))="meses",EDATE(D333,INDEX(Protocolo!$C$5:$C$54,MATCH(B333,Protocolo!$A$5:$A$54,0))),D333+INDEX(Protocolo!$C$5:$C$54,MATCH(B333,Protocolo!$A$5:$A$54,0))*IF(INDEX(Protocolo!$D$5:$D$54,MATCH(B333,Protocolo!$A$5:$A$54,0))="semanas",7,1)),""))</f>
      </c>
      <c r="H333" s="15">
        <f>IF(G333="","",G333-TODAY())</f>
      </c>
      <c r="I333" s="12">
        <f>IF(OR(A333="",B333="",D333=""),"",IF(D333=SUMPRODUCT(MAX(($A$5:$A$504=A333)*($B$5:$B$504=B333)*$D$5:$D$504)),"Sí","Reemplazada"))</f>
      </c>
      <c r="J333" s="12">
        <f>IF(I333="","",IF(I333="Reemplazada","Reemplazada",IF(H333="","Sin fecha",IF(H333&lt;0,"Vencida",IF(H333&lt;=IFERROR(IF(INDEX(Protocolo!$E$5:$E$54,MATCH(B333,Protocolo!$A$5:$A$54,0))="",30,INDEX(Protocolo!$E$5:$E$54,MATCH(B333,Protocolo!$A$5:$A$54,0))),30),"Por vencer","Vigente")))))</f>
      </c>
      <c r="K333" s="10"/>
    </row>
    <row r="334" spans="1:11" x14ac:dyDescent="0.25">
      <c r="A334" s="10"/>
      <c r="B334" s="10"/>
      <c r="C334" s="12">
        <f>IF(B334="","",IFERROR(INDEX(Protocolo!$B$5:$B$54,MATCH(B334,Protocolo!$A$5:$A$54,0)),""))</f>
      </c>
      <c r="D334" s="16"/>
      <c r="E334" s="10"/>
      <c r="F334" s="10"/>
      <c r="G334" s="14">
        <f>IF(OR(B334="",D334=""),"",IFERROR(IF(INDEX(Protocolo!$D$5:$D$54,MATCH(B334,Protocolo!$A$5:$A$54,0))="meses",EDATE(D334,INDEX(Protocolo!$C$5:$C$54,MATCH(B334,Protocolo!$A$5:$A$54,0))),D334+INDEX(Protocolo!$C$5:$C$54,MATCH(B334,Protocolo!$A$5:$A$54,0))*IF(INDEX(Protocolo!$D$5:$D$54,MATCH(B334,Protocolo!$A$5:$A$54,0))="semanas",7,1)),""))</f>
      </c>
      <c r="H334" s="15">
        <f>IF(G334="","",G334-TODAY())</f>
      </c>
      <c r="I334" s="12">
        <f>IF(OR(A334="",B334="",D334=""),"",IF(D334=SUMPRODUCT(MAX(($A$5:$A$504=A334)*($B$5:$B$504=B334)*$D$5:$D$504)),"Sí","Reemplazada"))</f>
      </c>
      <c r="J334" s="12">
        <f>IF(I334="","",IF(I334="Reemplazada","Reemplazada",IF(H334="","Sin fecha",IF(H334&lt;0,"Vencida",IF(H334&lt;=IFERROR(IF(INDEX(Protocolo!$E$5:$E$54,MATCH(B334,Protocolo!$A$5:$A$54,0))="",30,INDEX(Protocolo!$E$5:$E$54,MATCH(B334,Protocolo!$A$5:$A$54,0))),30),"Por vencer","Vigente")))))</f>
      </c>
      <c r="K334" s="10"/>
    </row>
    <row r="335" spans="1:11" x14ac:dyDescent="0.25">
      <c r="A335" s="10"/>
      <c r="B335" s="10"/>
      <c r="C335" s="12">
        <f>IF(B335="","",IFERROR(INDEX(Protocolo!$B$5:$B$54,MATCH(B335,Protocolo!$A$5:$A$54,0)),""))</f>
      </c>
      <c r="D335" s="16"/>
      <c r="E335" s="10"/>
      <c r="F335" s="10"/>
      <c r="G335" s="14">
        <f>IF(OR(B335="",D335=""),"",IFERROR(IF(INDEX(Protocolo!$D$5:$D$54,MATCH(B335,Protocolo!$A$5:$A$54,0))="meses",EDATE(D335,INDEX(Protocolo!$C$5:$C$54,MATCH(B335,Protocolo!$A$5:$A$54,0))),D335+INDEX(Protocolo!$C$5:$C$54,MATCH(B335,Protocolo!$A$5:$A$54,0))*IF(INDEX(Protocolo!$D$5:$D$54,MATCH(B335,Protocolo!$A$5:$A$54,0))="semanas",7,1)),""))</f>
      </c>
      <c r="H335" s="15">
        <f>IF(G335="","",G335-TODAY())</f>
      </c>
      <c r="I335" s="12">
        <f>IF(OR(A335="",B335="",D335=""),"",IF(D335=SUMPRODUCT(MAX(($A$5:$A$504=A335)*($B$5:$B$504=B335)*$D$5:$D$504)),"Sí","Reemplazada"))</f>
      </c>
      <c r="J335" s="12">
        <f>IF(I335="","",IF(I335="Reemplazada","Reemplazada",IF(H335="","Sin fecha",IF(H335&lt;0,"Vencida",IF(H335&lt;=IFERROR(IF(INDEX(Protocolo!$E$5:$E$54,MATCH(B335,Protocolo!$A$5:$A$54,0))="",30,INDEX(Protocolo!$E$5:$E$54,MATCH(B335,Protocolo!$A$5:$A$54,0))),30),"Por vencer","Vigente")))))</f>
      </c>
      <c r="K335" s="10"/>
    </row>
    <row r="336" spans="1:11" x14ac:dyDescent="0.25">
      <c r="A336" s="10"/>
      <c r="B336" s="10"/>
      <c r="C336" s="12">
        <f>IF(B336="","",IFERROR(INDEX(Protocolo!$B$5:$B$54,MATCH(B336,Protocolo!$A$5:$A$54,0)),""))</f>
      </c>
      <c r="D336" s="16"/>
      <c r="E336" s="10"/>
      <c r="F336" s="10"/>
      <c r="G336" s="14">
        <f>IF(OR(B336="",D336=""),"",IFERROR(IF(INDEX(Protocolo!$D$5:$D$54,MATCH(B336,Protocolo!$A$5:$A$54,0))="meses",EDATE(D336,INDEX(Protocolo!$C$5:$C$54,MATCH(B336,Protocolo!$A$5:$A$54,0))),D336+INDEX(Protocolo!$C$5:$C$54,MATCH(B336,Protocolo!$A$5:$A$54,0))*IF(INDEX(Protocolo!$D$5:$D$54,MATCH(B336,Protocolo!$A$5:$A$54,0))="semanas",7,1)),""))</f>
      </c>
      <c r="H336" s="15">
        <f>IF(G336="","",G336-TODAY())</f>
      </c>
      <c r="I336" s="12">
        <f>IF(OR(A336="",B336="",D336=""),"",IF(D336=SUMPRODUCT(MAX(($A$5:$A$504=A336)*($B$5:$B$504=B336)*$D$5:$D$504)),"Sí","Reemplazada"))</f>
      </c>
      <c r="J336" s="12">
        <f>IF(I336="","",IF(I336="Reemplazada","Reemplazada",IF(H336="","Sin fecha",IF(H336&lt;0,"Vencida",IF(H336&lt;=IFERROR(IF(INDEX(Protocolo!$E$5:$E$54,MATCH(B336,Protocolo!$A$5:$A$54,0))="",30,INDEX(Protocolo!$E$5:$E$54,MATCH(B336,Protocolo!$A$5:$A$54,0))),30),"Por vencer","Vigente")))))</f>
      </c>
      <c r="K336" s="10"/>
    </row>
    <row r="337" spans="1:11" x14ac:dyDescent="0.25">
      <c r="A337" s="10"/>
      <c r="B337" s="10"/>
      <c r="C337" s="12">
        <f>IF(B337="","",IFERROR(INDEX(Protocolo!$B$5:$B$54,MATCH(B337,Protocolo!$A$5:$A$54,0)),""))</f>
      </c>
      <c r="D337" s="16"/>
      <c r="E337" s="10"/>
      <c r="F337" s="10"/>
      <c r="G337" s="14">
        <f>IF(OR(B337="",D337=""),"",IFERROR(IF(INDEX(Protocolo!$D$5:$D$54,MATCH(B337,Protocolo!$A$5:$A$54,0))="meses",EDATE(D337,INDEX(Protocolo!$C$5:$C$54,MATCH(B337,Protocolo!$A$5:$A$54,0))),D337+INDEX(Protocolo!$C$5:$C$54,MATCH(B337,Protocolo!$A$5:$A$54,0))*IF(INDEX(Protocolo!$D$5:$D$54,MATCH(B337,Protocolo!$A$5:$A$54,0))="semanas",7,1)),""))</f>
      </c>
      <c r="H337" s="15">
        <f>IF(G337="","",G337-TODAY())</f>
      </c>
      <c r="I337" s="12">
        <f>IF(OR(A337="",B337="",D337=""),"",IF(D337=SUMPRODUCT(MAX(($A$5:$A$504=A337)*($B$5:$B$504=B337)*$D$5:$D$504)),"Sí","Reemplazada"))</f>
      </c>
      <c r="J337" s="12">
        <f>IF(I337="","",IF(I337="Reemplazada","Reemplazada",IF(H337="","Sin fecha",IF(H337&lt;0,"Vencida",IF(H337&lt;=IFERROR(IF(INDEX(Protocolo!$E$5:$E$54,MATCH(B337,Protocolo!$A$5:$A$54,0))="",30,INDEX(Protocolo!$E$5:$E$54,MATCH(B337,Protocolo!$A$5:$A$54,0))),30),"Por vencer","Vigente")))))</f>
      </c>
      <c r="K337" s="10"/>
    </row>
    <row r="338" spans="1:11" x14ac:dyDescent="0.25">
      <c r="A338" s="10"/>
      <c r="B338" s="10"/>
      <c r="C338" s="12">
        <f>IF(B338="","",IFERROR(INDEX(Protocolo!$B$5:$B$54,MATCH(B338,Protocolo!$A$5:$A$54,0)),""))</f>
      </c>
      <c r="D338" s="16"/>
      <c r="E338" s="10"/>
      <c r="F338" s="10"/>
      <c r="G338" s="14">
        <f>IF(OR(B338="",D338=""),"",IFERROR(IF(INDEX(Protocolo!$D$5:$D$54,MATCH(B338,Protocolo!$A$5:$A$54,0))="meses",EDATE(D338,INDEX(Protocolo!$C$5:$C$54,MATCH(B338,Protocolo!$A$5:$A$54,0))),D338+INDEX(Protocolo!$C$5:$C$54,MATCH(B338,Protocolo!$A$5:$A$54,0))*IF(INDEX(Protocolo!$D$5:$D$54,MATCH(B338,Protocolo!$A$5:$A$54,0))="semanas",7,1)),""))</f>
      </c>
      <c r="H338" s="15">
        <f>IF(G338="","",G338-TODAY())</f>
      </c>
      <c r="I338" s="12">
        <f>IF(OR(A338="",B338="",D338=""),"",IF(D338=SUMPRODUCT(MAX(($A$5:$A$504=A338)*($B$5:$B$504=B338)*$D$5:$D$504)),"Sí","Reemplazada"))</f>
      </c>
      <c r="J338" s="12">
        <f>IF(I338="","",IF(I338="Reemplazada","Reemplazada",IF(H338="","Sin fecha",IF(H338&lt;0,"Vencida",IF(H338&lt;=IFERROR(IF(INDEX(Protocolo!$E$5:$E$54,MATCH(B338,Protocolo!$A$5:$A$54,0))="",30,INDEX(Protocolo!$E$5:$E$54,MATCH(B338,Protocolo!$A$5:$A$54,0))),30),"Por vencer","Vigente")))))</f>
      </c>
      <c r="K338" s="10"/>
    </row>
    <row r="339" spans="1:11" x14ac:dyDescent="0.25">
      <c r="A339" s="10"/>
      <c r="B339" s="10"/>
      <c r="C339" s="12">
        <f>IF(B339="","",IFERROR(INDEX(Protocolo!$B$5:$B$54,MATCH(B339,Protocolo!$A$5:$A$54,0)),""))</f>
      </c>
      <c r="D339" s="16"/>
      <c r="E339" s="10"/>
      <c r="F339" s="10"/>
      <c r="G339" s="14">
        <f>IF(OR(B339="",D339=""),"",IFERROR(IF(INDEX(Protocolo!$D$5:$D$54,MATCH(B339,Protocolo!$A$5:$A$54,0))="meses",EDATE(D339,INDEX(Protocolo!$C$5:$C$54,MATCH(B339,Protocolo!$A$5:$A$54,0))),D339+INDEX(Protocolo!$C$5:$C$54,MATCH(B339,Protocolo!$A$5:$A$54,0))*IF(INDEX(Protocolo!$D$5:$D$54,MATCH(B339,Protocolo!$A$5:$A$54,0))="semanas",7,1)),""))</f>
      </c>
      <c r="H339" s="15">
        <f>IF(G339="","",G339-TODAY())</f>
      </c>
      <c r="I339" s="12">
        <f>IF(OR(A339="",B339="",D339=""),"",IF(D339=SUMPRODUCT(MAX(($A$5:$A$504=A339)*($B$5:$B$504=B339)*$D$5:$D$504)),"Sí","Reemplazada"))</f>
      </c>
      <c r="J339" s="12">
        <f>IF(I339="","",IF(I339="Reemplazada","Reemplazada",IF(H339="","Sin fecha",IF(H339&lt;0,"Vencida",IF(H339&lt;=IFERROR(IF(INDEX(Protocolo!$E$5:$E$54,MATCH(B339,Protocolo!$A$5:$A$54,0))="",30,INDEX(Protocolo!$E$5:$E$54,MATCH(B339,Protocolo!$A$5:$A$54,0))),30),"Por vencer","Vigente")))))</f>
      </c>
      <c r="K339" s="10"/>
    </row>
    <row r="340" spans="1:11" x14ac:dyDescent="0.25">
      <c r="A340" s="10"/>
      <c r="B340" s="10"/>
      <c r="C340" s="12">
        <f>IF(B340="","",IFERROR(INDEX(Protocolo!$B$5:$B$54,MATCH(B340,Protocolo!$A$5:$A$54,0)),""))</f>
      </c>
      <c r="D340" s="16"/>
      <c r="E340" s="10"/>
      <c r="F340" s="10"/>
      <c r="G340" s="14">
        <f>IF(OR(B340="",D340=""),"",IFERROR(IF(INDEX(Protocolo!$D$5:$D$54,MATCH(B340,Protocolo!$A$5:$A$54,0))="meses",EDATE(D340,INDEX(Protocolo!$C$5:$C$54,MATCH(B340,Protocolo!$A$5:$A$54,0))),D340+INDEX(Protocolo!$C$5:$C$54,MATCH(B340,Protocolo!$A$5:$A$54,0))*IF(INDEX(Protocolo!$D$5:$D$54,MATCH(B340,Protocolo!$A$5:$A$54,0))="semanas",7,1)),""))</f>
      </c>
      <c r="H340" s="15">
        <f>IF(G340="","",G340-TODAY())</f>
      </c>
      <c r="I340" s="12">
        <f>IF(OR(A340="",B340="",D340=""),"",IF(D340=SUMPRODUCT(MAX(($A$5:$A$504=A340)*($B$5:$B$504=B340)*$D$5:$D$504)),"Sí","Reemplazada"))</f>
      </c>
      <c r="J340" s="12">
        <f>IF(I340="","",IF(I340="Reemplazada","Reemplazada",IF(H340="","Sin fecha",IF(H340&lt;0,"Vencida",IF(H340&lt;=IFERROR(IF(INDEX(Protocolo!$E$5:$E$54,MATCH(B340,Protocolo!$A$5:$A$54,0))="",30,INDEX(Protocolo!$E$5:$E$54,MATCH(B340,Protocolo!$A$5:$A$54,0))),30),"Por vencer","Vigente")))))</f>
      </c>
      <c r="K340" s="10"/>
    </row>
    <row r="341" spans="1:11" x14ac:dyDescent="0.25">
      <c r="A341" s="10"/>
      <c r="B341" s="10"/>
      <c r="C341" s="12">
        <f>IF(B341="","",IFERROR(INDEX(Protocolo!$B$5:$B$54,MATCH(B341,Protocolo!$A$5:$A$54,0)),""))</f>
      </c>
      <c r="D341" s="16"/>
      <c r="E341" s="10"/>
      <c r="F341" s="10"/>
      <c r="G341" s="14">
        <f>IF(OR(B341="",D341=""),"",IFERROR(IF(INDEX(Protocolo!$D$5:$D$54,MATCH(B341,Protocolo!$A$5:$A$54,0))="meses",EDATE(D341,INDEX(Protocolo!$C$5:$C$54,MATCH(B341,Protocolo!$A$5:$A$54,0))),D341+INDEX(Protocolo!$C$5:$C$54,MATCH(B341,Protocolo!$A$5:$A$54,0))*IF(INDEX(Protocolo!$D$5:$D$54,MATCH(B341,Protocolo!$A$5:$A$54,0))="semanas",7,1)),""))</f>
      </c>
      <c r="H341" s="15">
        <f>IF(G341="","",G341-TODAY())</f>
      </c>
      <c r="I341" s="12">
        <f>IF(OR(A341="",B341="",D341=""),"",IF(D341=SUMPRODUCT(MAX(($A$5:$A$504=A341)*($B$5:$B$504=B341)*$D$5:$D$504)),"Sí","Reemplazada"))</f>
      </c>
      <c r="J341" s="12">
        <f>IF(I341="","",IF(I341="Reemplazada","Reemplazada",IF(H341="","Sin fecha",IF(H341&lt;0,"Vencida",IF(H341&lt;=IFERROR(IF(INDEX(Protocolo!$E$5:$E$54,MATCH(B341,Protocolo!$A$5:$A$54,0))="",30,INDEX(Protocolo!$E$5:$E$54,MATCH(B341,Protocolo!$A$5:$A$54,0))),30),"Por vencer","Vigente")))))</f>
      </c>
      <c r="K341" s="10"/>
    </row>
    <row r="342" spans="1:11" x14ac:dyDescent="0.25">
      <c r="A342" s="10"/>
      <c r="B342" s="10"/>
      <c r="C342" s="12">
        <f>IF(B342="","",IFERROR(INDEX(Protocolo!$B$5:$B$54,MATCH(B342,Protocolo!$A$5:$A$54,0)),""))</f>
      </c>
      <c r="D342" s="16"/>
      <c r="E342" s="10"/>
      <c r="F342" s="10"/>
      <c r="G342" s="14">
        <f>IF(OR(B342="",D342=""),"",IFERROR(IF(INDEX(Protocolo!$D$5:$D$54,MATCH(B342,Protocolo!$A$5:$A$54,0))="meses",EDATE(D342,INDEX(Protocolo!$C$5:$C$54,MATCH(B342,Protocolo!$A$5:$A$54,0))),D342+INDEX(Protocolo!$C$5:$C$54,MATCH(B342,Protocolo!$A$5:$A$54,0))*IF(INDEX(Protocolo!$D$5:$D$54,MATCH(B342,Protocolo!$A$5:$A$54,0))="semanas",7,1)),""))</f>
      </c>
      <c r="H342" s="15">
        <f>IF(G342="","",G342-TODAY())</f>
      </c>
      <c r="I342" s="12">
        <f>IF(OR(A342="",B342="",D342=""),"",IF(D342=SUMPRODUCT(MAX(($A$5:$A$504=A342)*($B$5:$B$504=B342)*$D$5:$D$504)),"Sí","Reemplazada"))</f>
      </c>
      <c r="J342" s="12">
        <f>IF(I342="","",IF(I342="Reemplazada","Reemplazada",IF(H342="","Sin fecha",IF(H342&lt;0,"Vencida",IF(H342&lt;=IFERROR(IF(INDEX(Protocolo!$E$5:$E$54,MATCH(B342,Protocolo!$A$5:$A$54,0))="",30,INDEX(Protocolo!$E$5:$E$54,MATCH(B342,Protocolo!$A$5:$A$54,0))),30),"Por vencer","Vigente")))))</f>
      </c>
      <c r="K342" s="10"/>
    </row>
    <row r="343" spans="1:11" x14ac:dyDescent="0.25">
      <c r="A343" s="10"/>
      <c r="B343" s="10"/>
      <c r="C343" s="12">
        <f>IF(B343="","",IFERROR(INDEX(Protocolo!$B$5:$B$54,MATCH(B343,Protocolo!$A$5:$A$54,0)),""))</f>
      </c>
      <c r="D343" s="16"/>
      <c r="E343" s="10"/>
      <c r="F343" s="10"/>
      <c r="G343" s="14">
        <f>IF(OR(B343="",D343=""),"",IFERROR(IF(INDEX(Protocolo!$D$5:$D$54,MATCH(B343,Protocolo!$A$5:$A$54,0))="meses",EDATE(D343,INDEX(Protocolo!$C$5:$C$54,MATCH(B343,Protocolo!$A$5:$A$54,0))),D343+INDEX(Protocolo!$C$5:$C$54,MATCH(B343,Protocolo!$A$5:$A$54,0))*IF(INDEX(Protocolo!$D$5:$D$54,MATCH(B343,Protocolo!$A$5:$A$54,0))="semanas",7,1)),""))</f>
      </c>
      <c r="H343" s="15">
        <f>IF(G343="","",G343-TODAY())</f>
      </c>
      <c r="I343" s="12">
        <f>IF(OR(A343="",B343="",D343=""),"",IF(D343=SUMPRODUCT(MAX(($A$5:$A$504=A343)*($B$5:$B$504=B343)*$D$5:$D$504)),"Sí","Reemplazada"))</f>
      </c>
      <c r="J343" s="12">
        <f>IF(I343="","",IF(I343="Reemplazada","Reemplazada",IF(H343="","Sin fecha",IF(H343&lt;0,"Vencida",IF(H343&lt;=IFERROR(IF(INDEX(Protocolo!$E$5:$E$54,MATCH(B343,Protocolo!$A$5:$A$54,0))="",30,INDEX(Protocolo!$E$5:$E$54,MATCH(B343,Protocolo!$A$5:$A$54,0))),30),"Por vencer","Vigente")))))</f>
      </c>
      <c r="K343" s="10"/>
    </row>
    <row r="344" spans="1:11" x14ac:dyDescent="0.25">
      <c r="A344" s="10"/>
      <c r="B344" s="10"/>
      <c r="C344" s="12">
        <f>IF(B344="","",IFERROR(INDEX(Protocolo!$B$5:$B$54,MATCH(B344,Protocolo!$A$5:$A$54,0)),""))</f>
      </c>
      <c r="D344" s="16"/>
      <c r="E344" s="10"/>
      <c r="F344" s="10"/>
      <c r="G344" s="14">
        <f>IF(OR(B344="",D344=""),"",IFERROR(IF(INDEX(Protocolo!$D$5:$D$54,MATCH(B344,Protocolo!$A$5:$A$54,0))="meses",EDATE(D344,INDEX(Protocolo!$C$5:$C$54,MATCH(B344,Protocolo!$A$5:$A$54,0))),D344+INDEX(Protocolo!$C$5:$C$54,MATCH(B344,Protocolo!$A$5:$A$54,0))*IF(INDEX(Protocolo!$D$5:$D$54,MATCH(B344,Protocolo!$A$5:$A$54,0))="semanas",7,1)),""))</f>
      </c>
      <c r="H344" s="15">
        <f>IF(G344="","",G344-TODAY())</f>
      </c>
      <c r="I344" s="12">
        <f>IF(OR(A344="",B344="",D344=""),"",IF(D344=SUMPRODUCT(MAX(($A$5:$A$504=A344)*($B$5:$B$504=B344)*$D$5:$D$504)),"Sí","Reemplazada"))</f>
      </c>
      <c r="J344" s="12">
        <f>IF(I344="","",IF(I344="Reemplazada","Reemplazada",IF(H344="","Sin fecha",IF(H344&lt;0,"Vencida",IF(H344&lt;=IFERROR(IF(INDEX(Protocolo!$E$5:$E$54,MATCH(B344,Protocolo!$A$5:$A$54,0))="",30,INDEX(Protocolo!$E$5:$E$54,MATCH(B344,Protocolo!$A$5:$A$54,0))),30),"Por vencer","Vigente")))))</f>
      </c>
      <c r="K344" s="10"/>
    </row>
    <row r="345" spans="1:11" x14ac:dyDescent="0.25">
      <c r="A345" s="10"/>
      <c r="B345" s="10"/>
      <c r="C345" s="12">
        <f>IF(B345="","",IFERROR(INDEX(Protocolo!$B$5:$B$54,MATCH(B345,Protocolo!$A$5:$A$54,0)),""))</f>
      </c>
      <c r="D345" s="16"/>
      <c r="E345" s="10"/>
      <c r="F345" s="10"/>
      <c r="G345" s="14">
        <f>IF(OR(B345="",D345=""),"",IFERROR(IF(INDEX(Protocolo!$D$5:$D$54,MATCH(B345,Protocolo!$A$5:$A$54,0))="meses",EDATE(D345,INDEX(Protocolo!$C$5:$C$54,MATCH(B345,Protocolo!$A$5:$A$54,0))),D345+INDEX(Protocolo!$C$5:$C$54,MATCH(B345,Protocolo!$A$5:$A$54,0))*IF(INDEX(Protocolo!$D$5:$D$54,MATCH(B345,Protocolo!$A$5:$A$54,0))="semanas",7,1)),""))</f>
      </c>
      <c r="H345" s="15">
        <f>IF(G345="","",G345-TODAY())</f>
      </c>
      <c r="I345" s="12">
        <f>IF(OR(A345="",B345="",D345=""),"",IF(D345=SUMPRODUCT(MAX(($A$5:$A$504=A345)*($B$5:$B$504=B345)*$D$5:$D$504)),"Sí","Reemplazada"))</f>
      </c>
      <c r="J345" s="12">
        <f>IF(I345="","",IF(I345="Reemplazada","Reemplazada",IF(H345="","Sin fecha",IF(H345&lt;0,"Vencida",IF(H345&lt;=IFERROR(IF(INDEX(Protocolo!$E$5:$E$54,MATCH(B345,Protocolo!$A$5:$A$54,0))="",30,INDEX(Protocolo!$E$5:$E$54,MATCH(B345,Protocolo!$A$5:$A$54,0))),30),"Por vencer","Vigente")))))</f>
      </c>
      <c r="K345" s="10"/>
    </row>
    <row r="346" spans="1:11" x14ac:dyDescent="0.25">
      <c r="A346" s="10"/>
      <c r="B346" s="10"/>
      <c r="C346" s="12">
        <f>IF(B346="","",IFERROR(INDEX(Protocolo!$B$5:$B$54,MATCH(B346,Protocolo!$A$5:$A$54,0)),""))</f>
      </c>
      <c r="D346" s="16"/>
      <c r="E346" s="10"/>
      <c r="F346" s="10"/>
      <c r="G346" s="14">
        <f>IF(OR(B346="",D346=""),"",IFERROR(IF(INDEX(Protocolo!$D$5:$D$54,MATCH(B346,Protocolo!$A$5:$A$54,0))="meses",EDATE(D346,INDEX(Protocolo!$C$5:$C$54,MATCH(B346,Protocolo!$A$5:$A$54,0))),D346+INDEX(Protocolo!$C$5:$C$54,MATCH(B346,Protocolo!$A$5:$A$54,0))*IF(INDEX(Protocolo!$D$5:$D$54,MATCH(B346,Protocolo!$A$5:$A$54,0))="semanas",7,1)),""))</f>
      </c>
      <c r="H346" s="15">
        <f>IF(G346="","",G346-TODAY())</f>
      </c>
      <c r="I346" s="12">
        <f>IF(OR(A346="",B346="",D346=""),"",IF(D346=SUMPRODUCT(MAX(($A$5:$A$504=A346)*($B$5:$B$504=B346)*$D$5:$D$504)),"Sí","Reemplazada"))</f>
      </c>
      <c r="J346" s="12">
        <f>IF(I346="","",IF(I346="Reemplazada","Reemplazada",IF(H346="","Sin fecha",IF(H346&lt;0,"Vencida",IF(H346&lt;=IFERROR(IF(INDEX(Protocolo!$E$5:$E$54,MATCH(B346,Protocolo!$A$5:$A$54,0))="",30,INDEX(Protocolo!$E$5:$E$54,MATCH(B346,Protocolo!$A$5:$A$54,0))),30),"Por vencer","Vigente")))))</f>
      </c>
      <c r="K346" s="10"/>
    </row>
    <row r="347" spans="1:11" x14ac:dyDescent="0.25">
      <c r="A347" s="10"/>
      <c r="B347" s="10"/>
      <c r="C347" s="12">
        <f>IF(B347="","",IFERROR(INDEX(Protocolo!$B$5:$B$54,MATCH(B347,Protocolo!$A$5:$A$54,0)),""))</f>
      </c>
      <c r="D347" s="16"/>
      <c r="E347" s="10"/>
      <c r="F347" s="10"/>
      <c r="G347" s="14">
        <f>IF(OR(B347="",D347=""),"",IFERROR(IF(INDEX(Protocolo!$D$5:$D$54,MATCH(B347,Protocolo!$A$5:$A$54,0))="meses",EDATE(D347,INDEX(Protocolo!$C$5:$C$54,MATCH(B347,Protocolo!$A$5:$A$54,0))),D347+INDEX(Protocolo!$C$5:$C$54,MATCH(B347,Protocolo!$A$5:$A$54,0))*IF(INDEX(Protocolo!$D$5:$D$54,MATCH(B347,Protocolo!$A$5:$A$54,0))="semanas",7,1)),""))</f>
      </c>
      <c r="H347" s="15">
        <f>IF(G347="","",G347-TODAY())</f>
      </c>
      <c r="I347" s="12">
        <f>IF(OR(A347="",B347="",D347=""),"",IF(D347=SUMPRODUCT(MAX(($A$5:$A$504=A347)*($B$5:$B$504=B347)*$D$5:$D$504)),"Sí","Reemplazada"))</f>
      </c>
      <c r="J347" s="12">
        <f>IF(I347="","",IF(I347="Reemplazada","Reemplazada",IF(H347="","Sin fecha",IF(H347&lt;0,"Vencida",IF(H347&lt;=IFERROR(IF(INDEX(Protocolo!$E$5:$E$54,MATCH(B347,Protocolo!$A$5:$A$54,0))="",30,INDEX(Protocolo!$E$5:$E$54,MATCH(B347,Protocolo!$A$5:$A$54,0))),30),"Por vencer","Vigente")))))</f>
      </c>
      <c r="K347" s="10"/>
    </row>
    <row r="348" spans="1:11" x14ac:dyDescent="0.25">
      <c r="A348" s="10"/>
      <c r="B348" s="10"/>
      <c r="C348" s="12">
        <f>IF(B348="","",IFERROR(INDEX(Protocolo!$B$5:$B$54,MATCH(B348,Protocolo!$A$5:$A$54,0)),""))</f>
      </c>
      <c r="D348" s="16"/>
      <c r="E348" s="10"/>
      <c r="F348" s="10"/>
      <c r="G348" s="14">
        <f>IF(OR(B348="",D348=""),"",IFERROR(IF(INDEX(Protocolo!$D$5:$D$54,MATCH(B348,Protocolo!$A$5:$A$54,0))="meses",EDATE(D348,INDEX(Protocolo!$C$5:$C$54,MATCH(B348,Protocolo!$A$5:$A$54,0))),D348+INDEX(Protocolo!$C$5:$C$54,MATCH(B348,Protocolo!$A$5:$A$54,0))*IF(INDEX(Protocolo!$D$5:$D$54,MATCH(B348,Protocolo!$A$5:$A$54,0))="semanas",7,1)),""))</f>
      </c>
      <c r="H348" s="15">
        <f>IF(G348="","",G348-TODAY())</f>
      </c>
      <c r="I348" s="12">
        <f>IF(OR(A348="",B348="",D348=""),"",IF(D348=SUMPRODUCT(MAX(($A$5:$A$504=A348)*($B$5:$B$504=B348)*$D$5:$D$504)),"Sí","Reemplazada"))</f>
      </c>
      <c r="J348" s="12">
        <f>IF(I348="","",IF(I348="Reemplazada","Reemplazada",IF(H348="","Sin fecha",IF(H348&lt;0,"Vencida",IF(H348&lt;=IFERROR(IF(INDEX(Protocolo!$E$5:$E$54,MATCH(B348,Protocolo!$A$5:$A$54,0))="",30,INDEX(Protocolo!$E$5:$E$54,MATCH(B348,Protocolo!$A$5:$A$54,0))),30),"Por vencer","Vigente")))))</f>
      </c>
      <c r="K348" s="10"/>
    </row>
    <row r="349" spans="1:11" x14ac:dyDescent="0.25">
      <c r="A349" s="10"/>
      <c r="B349" s="10"/>
      <c r="C349" s="12">
        <f>IF(B349="","",IFERROR(INDEX(Protocolo!$B$5:$B$54,MATCH(B349,Protocolo!$A$5:$A$54,0)),""))</f>
      </c>
      <c r="D349" s="16"/>
      <c r="E349" s="10"/>
      <c r="F349" s="10"/>
      <c r="G349" s="14">
        <f>IF(OR(B349="",D349=""),"",IFERROR(IF(INDEX(Protocolo!$D$5:$D$54,MATCH(B349,Protocolo!$A$5:$A$54,0))="meses",EDATE(D349,INDEX(Protocolo!$C$5:$C$54,MATCH(B349,Protocolo!$A$5:$A$54,0))),D349+INDEX(Protocolo!$C$5:$C$54,MATCH(B349,Protocolo!$A$5:$A$54,0))*IF(INDEX(Protocolo!$D$5:$D$54,MATCH(B349,Protocolo!$A$5:$A$54,0))="semanas",7,1)),""))</f>
      </c>
      <c r="H349" s="15">
        <f>IF(G349="","",G349-TODAY())</f>
      </c>
      <c r="I349" s="12">
        <f>IF(OR(A349="",B349="",D349=""),"",IF(D349=SUMPRODUCT(MAX(($A$5:$A$504=A349)*($B$5:$B$504=B349)*$D$5:$D$504)),"Sí","Reemplazada"))</f>
      </c>
      <c r="J349" s="12">
        <f>IF(I349="","",IF(I349="Reemplazada","Reemplazada",IF(H349="","Sin fecha",IF(H349&lt;0,"Vencida",IF(H349&lt;=IFERROR(IF(INDEX(Protocolo!$E$5:$E$54,MATCH(B349,Protocolo!$A$5:$A$54,0))="",30,INDEX(Protocolo!$E$5:$E$54,MATCH(B349,Protocolo!$A$5:$A$54,0))),30),"Por vencer","Vigente")))))</f>
      </c>
      <c r="K349" s="10"/>
    </row>
    <row r="350" spans="1:11" x14ac:dyDescent="0.25">
      <c r="A350" s="10"/>
      <c r="B350" s="10"/>
      <c r="C350" s="12">
        <f>IF(B350="","",IFERROR(INDEX(Protocolo!$B$5:$B$54,MATCH(B350,Protocolo!$A$5:$A$54,0)),""))</f>
      </c>
      <c r="D350" s="16"/>
      <c r="E350" s="10"/>
      <c r="F350" s="10"/>
      <c r="G350" s="14">
        <f>IF(OR(B350="",D350=""),"",IFERROR(IF(INDEX(Protocolo!$D$5:$D$54,MATCH(B350,Protocolo!$A$5:$A$54,0))="meses",EDATE(D350,INDEX(Protocolo!$C$5:$C$54,MATCH(B350,Protocolo!$A$5:$A$54,0))),D350+INDEX(Protocolo!$C$5:$C$54,MATCH(B350,Protocolo!$A$5:$A$54,0))*IF(INDEX(Protocolo!$D$5:$D$54,MATCH(B350,Protocolo!$A$5:$A$54,0))="semanas",7,1)),""))</f>
      </c>
      <c r="H350" s="15">
        <f>IF(G350="","",G350-TODAY())</f>
      </c>
      <c r="I350" s="12">
        <f>IF(OR(A350="",B350="",D350=""),"",IF(D350=SUMPRODUCT(MAX(($A$5:$A$504=A350)*($B$5:$B$504=B350)*$D$5:$D$504)),"Sí","Reemplazada"))</f>
      </c>
      <c r="J350" s="12">
        <f>IF(I350="","",IF(I350="Reemplazada","Reemplazada",IF(H350="","Sin fecha",IF(H350&lt;0,"Vencida",IF(H350&lt;=IFERROR(IF(INDEX(Protocolo!$E$5:$E$54,MATCH(B350,Protocolo!$A$5:$A$54,0))="",30,INDEX(Protocolo!$E$5:$E$54,MATCH(B350,Protocolo!$A$5:$A$54,0))),30),"Por vencer","Vigente")))))</f>
      </c>
      <c r="K350" s="10"/>
    </row>
    <row r="351" spans="1:11" x14ac:dyDescent="0.25">
      <c r="A351" s="10"/>
      <c r="B351" s="10"/>
      <c r="C351" s="12">
        <f>IF(B351="","",IFERROR(INDEX(Protocolo!$B$5:$B$54,MATCH(B351,Protocolo!$A$5:$A$54,0)),""))</f>
      </c>
      <c r="D351" s="16"/>
      <c r="E351" s="10"/>
      <c r="F351" s="10"/>
      <c r="G351" s="14">
        <f>IF(OR(B351="",D351=""),"",IFERROR(IF(INDEX(Protocolo!$D$5:$D$54,MATCH(B351,Protocolo!$A$5:$A$54,0))="meses",EDATE(D351,INDEX(Protocolo!$C$5:$C$54,MATCH(B351,Protocolo!$A$5:$A$54,0))),D351+INDEX(Protocolo!$C$5:$C$54,MATCH(B351,Protocolo!$A$5:$A$54,0))*IF(INDEX(Protocolo!$D$5:$D$54,MATCH(B351,Protocolo!$A$5:$A$54,0))="semanas",7,1)),""))</f>
      </c>
      <c r="H351" s="15">
        <f>IF(G351="","",G351-TODAY())</f>
      </c>
      <c r="I351" s="12">
        <f>IF(OR(A351="",B351="",D351=""),"",IF(D351=SUMPRODUCT(MAX(($A$5:$A$504=A351)*($B$5:$B$504=B351)*$D$5:$D$504)),"Sí","Reemplazada"))</f>
      </c>
      <c r="J351" s="12">
        <f>IF(I351="","",IF(I351="Reemplazada","Reemplazada",IF(H351="","Sin fecha",IF(H351&lt;0,"Vencida",IF(H351&lt;=IFERROR(IF(INDEX(Protocolo!$E$5:$E$54,MATCH(B351,Protocolo!$A$5:$A$54,0))="",30,INDEX(Protocolo!$E$5:$E$54,MATCH(B351,Protocolo!$A$5:$A$54,0))),30),"Por vencer","Vigente")))))</f>
      </c>
      <c r="K351" s="10"/>
    </row>
    <row r="352" spans="1:11" x14ac:dyDescent="0.25">
      <c r="A352" s="10"/>
      <c r="B352" s="10"/>
      <c r="C352" s="12">
        <f>IF(B352="","",IFERROR(INDEX(Protocolo!$B$5:$B$54,MATCH(B352,Protocolo!$A$5:$A$54,0)),""))</f>
      </c>
      <c r="D352" s="16"/>
      <c r="E352" s="10"/>
      <c r="F352" s="10"/>
      <c r="G352" s="14">
        <f>IF(OR(B352="",D352=""),"",IFERROR(IF(INDEX(Protocolo!$D$5:$D$54,MATCH(B352,Protocolo!$A$5:$A$54,0))="meses",EDATE(D352,INDEX(Protocolo!$C$5:$C$54,MATCH(B352,Protocolo!$A$5:$A$54,0))),D352+INDEX(Protocolo!$C$5:$C$54,MATCH(B352,Protocolo!$A$5:$A$54,0))*IF(INDEX(Protocolo!$D$5:$D$54,MATCH(B352,Protocolo!$A$5:$A$54,0))="semanas",7,1)),""))</f>
      </c>
      <c r="H352" s="15">
        <f>IF(G352="","",G352-TODAY())</f>
      </c>
      <c r="I352" s="12">
        <f>IF(OR(A352="",B352="",D352=""),"",IF(D352=SUMPRODUCT(MAX(($A$5:$A$504=A352)*($B$5:$B$504=B352)*$D$5:$D$504)),"Sí","Reemplazada"))</f>
      </c>
      <c r="J352" s="12">
        <f>IF(I352="","",IF(I352="Reemplazada","Reemplazada",IF(H352="","Sin fecha",IF(H352&lt;0,"Vencida",IF(H352&lt;=IFERROR(IF(INDEX(Protocolo!$E$5:$E$54,MATCH(B352,Protocolo!$A$5:$A$54,0))="",30,INDEX(Protocolo!$E$5:$E$54,MATCH(B352,Protocolo!$A$5:$A$54,0))),30),"Por vencer","Vigente")))))</f>
      </c>
      <c r="K352" s="10"/>
    </row>
    <row r="353" spans="1:11" x14ac:dyDescent="0.25">
      <c r="A353" s="10"/>
      <c r="B353" s="10"/>
      <c r="C353" s="12">
        <f>IF(B353="","",IFERROR(INDEX(Protocolo!$B$5:$B$54,MATCH(B353,Protocolo!$A$5:$A$54,0)),""))</f>
      </c>
      <c r="D353" s="16"/>
      <c r="E353" s="10"/>
      <c r="F353" s="10"/>
      <c r="G353" s="14">
        <f>IF(OR(B353="",D353=""),"",IFERROR(IF(INDEX(Protocolo!$D$5:$D$54,MATCH(B353,Protocolo!$A$5:$A$54,0))="meses",EDATE(D353,INDEX(Protocolo!$C$5:$C$54,MATCH(B353,Protocolo!$A$5:$A$54,0))),D353+INDEX(Protocolo!$C$5:$C$54,MATCH(B353,Protocolo!$A$5:$A$54,0))*IF(INDEX(Protocolo!$D$5:$D$54,MATCH(B353,Protocolo!$A$5:$A$54,0))="semanas",7,1)),""))</f>
      </c>
      <c r="H353" s="15">
        <f>IF(G353="","",G353-TODAY())</f>
      </c>
      <c r="I353" s="12">
        <f>IF(OR(A353="",B353="",D353=""),"",IF(D353=SUMPRODUCT(MAX(($A$5:$A$504=A353)*($B$5:$B$504=B353)*$D$5:$D$504)),"Sí","Reemplazada"))</f>
      </c>
      <c r="J353" s="12">
        <f>IF(I353="","",IF(I353="Reemplazada","Reemplazada",IF(H353="","Sin fecha",IF(H353&lt;0,"Vencida",IF(H353&lt;=IFERROR(IF(INDEX(Protocolo!$E$5:$E$54,MATCH(B353,Protocolo!$A$5:$A$54,0))="",30,INDEX(Protocolo!$E$5:$E$54,MATCH(B353,Protocolo!$A$5:$A$54,0))),30),"Por vencer","Vigente")))))</f>
      </c>
      <c r="K353" s="10"/>
    </row>
    <row r="354" spans="1:11" x14ac:dyDescent="0.25">
      <c r="A354" s="10"/>
      <c r="B354" s="10"/>
      <c r="C354" s="12">
        <f>IF(B354="","",IFERROR(INDEX(Protocolo!$B$5:$B$54,MATCH(B354,Protocolo!$A$5:$A$54,0)),""))</f>
      </c>
      <c r="D354" s="16"/>
      <c r="E354" s="10"/>
      <c r="F354" s="10"/>
      <c r="G354" s="14">
        <f>IF(OR(B354="",D354=""),"",IFERROR(IF(INDEX(Protocolo!$D$5:$D$54,MATCH(B354,Protocolo!$A$5:$A$54,0))="meses",EDATE(D354,INDEX(Protocolo!$C$5:$C$54,MATCH(B354,Protocolo!$A$5:$A$54,0))),D354+INDEX(Protocolo!$C$5:$C$54,MATCH(B354,Protocolo!$A$5:$A$54,0))*IF(INDEX(Protocolo!$D$5:$D$54,MATCH(B354,Protocolo!$A$5:$A$54,0))="semanas",7,1)),""))</f>
      </c>
      <c r="H354" s="15">
        <f>IF(G354="","",G354-TODAY())</f>
      </c>
      <c r="I354" s="12">
        <f>IF(OR(A354="",B354="",D354=""),"",IF(D354=SUMPRODUCT(MAX(($A$5:$A$504=A354)*($B$5:$B$504=B354)*$D$5:$D$504)),"Sí","Reemplazada"))</f>
      </c>
      <c r="J354" s="12">
        <f>IF(I354="","",IF(I354="Reemplazada","Reemplazada",IF(H354="","Sin fecha",IF(H354&lt;0,"Vencida",IF(H354&lt;=IFERROR(IF(INDEX(Protocolo!$E$5:$E$54,MATCH(B354,Protocolo!$A$5:$A$54,0))="",30,INDEX(Protocolo!$E$5:$E$54,MATCH(B354,Protocolo!$A$5:$A$54,0))),30),"Por vencer","Vigente")))))</f>
      </c>
      <c r="K354" s="10"/>
    </row>
    <row r="355" spans="1:11" x14ac:dyDescent="0.25">
      <c r="A355" s="10"/>
      <c r="B355" s="10"/>
      <c r="C355" s="12">
        <f>IF(B355="","",IFERROR(INDEX(Protocolo!$B$5:$B$54,MATCH(B355,Protocolo!$A$5:$A$54,0)),""))</f>
      </c>
      <c r="D355" s="16"/>
      <c r="E355" s="10"/>
      <c r="F355" s="10"/>
      <c r="G355" s="14">
        <f>IF(OR(B355="",D355=""),"",IFERROR(IF(INDEX(Protocolo!$D$5:$D$54,MATCH(B355,Protocolo!$A$5:$A$54,0))="meses",EDATE(D355,INDEX(Protocolo!$C$5:$C$54,MATCH(B355,Protocolo!$A$5:$A$54,0))),D355+INDEX(Protocolo!$C$5:$C$54,MATCH(B355,Protocolo!$A$5:$A$54,0))*IF(INDEX(Protocolo!$D$5:$D$54,MATCH(B355,Protocolo!$A$5:$A$54,0))="semanas",7,1)),""))</f>
      </c>
      <c r="H355" s="15">
        <f>IF(G355="","",G355-TODAY())</f>
      </c>
      <c r="I355" s="12">
        <f>IF(OR(A355="",B355="",D355=""),"",IF(D355=SUMPRODUCT(MAX(($A$5:$A$504=A355)*($B$5:$B$504=B355)*$D$5:$D$504)),"Sí","Reemplazada"))</f>
      </c>
      <c r="J355" s="12">
        <f>IF(I355="","",IF(I355="Reemplazada","Reemplazada",IF(H355="","Sin fecha",IF(H355&lt;0,"Vencida",IF(H355&lt;=IFERROR(IF(INDEX(Protocolo!$E$5:$E$54,MATCH(B355,Protocolo!$A$5:$A$54,0))="",30,INDEX(Protocolo!$E$5:$E$54,MATCH(B355,Protocolo!$A$5:$A$54,0))),30),"Por vencer","Vigente")))))</f>
      </c>
      <c r="K355" s="10"/>
    </row>
    <row r="356" spans="1:11" x14ac:dyDescent="0.25">
      <c r="A356" s="10"/>
      <c r="B356" s="10"/>
      <c r="C356" s="12">
        <f>IF(B356="","",IFERROR(INDEX(Protocolo!$B$5:$B$54,MATCH(B356,Protocolo!$A$5:$A$54,0)),""))</f>
      </c>
      <c r="D356" s="16"/>
      <c r="E356" s="10"/>
      <c r="F356" s="10"/>
      <c r="G356" s="14">
        <f>IF(OR(B356="",D356=""),"",IFERROR(IF(INDEX(Protocolo!$D$5:$D$54,MATCH(B356,Protocolo!$A$5:$A$54,0))="meses",EDATE(D356,INDEX(Protocolo!$C$5:$C$54,MATCH(B356,Protocolo!$A$5:$A$54,0))),D356+INDEX(Protocolo!$C$5:$C$54,MATCH(B356,Protocolo!$A$5:$A$54,0))*IF(INDEX(Protocolo!$D$5:$D$54,MATCH(B356,Protocolo!$A$5:$A$54,0))="semanas",7,1)),""))</f>
      </c>
      <c r="H356" s="15">
        <f>IF(G356="","",G356-TODAY())</f>
      </c>
      <c r="I356" s="12">
        <f>IF(OR(A356="",B356="",D356=""),"",IF(D356=SUMPRODUCT(MAX(($A$5:$A$504=A356)*($B$5:$B$504=B356)*$D$5:$D$504)),"Sí","Reemplazada"))</f>
      </c>
      <c r="J356" s="12">
        <f>IF(I356="","",IF(I356="Reemplazada","Reemplazada",IF(H356="","Sin fecha",IF(H356&lt;0,"Vencida",IF(H356&lt;=IFERROR(IF(INDEX(Protocolo!$E$5:$E$54,MATCH(B356,Protocolo!$A$5:$A$54,0))="",30,INDEX(Protocolo!$E$5:$E$54,MATCH(B356,Protocolo!$A$5:$A$54,0))),30),"Por vencer","Vigente")))))</f>
      </c>
      <c r="K356" s="10"/>
    </row>
    <row r="357" spans="1:11" x14ac:dyDescent="0.25">
      <c r="A357" s="10"/>
      <c r="B357" s="10"/>
      <c r="C357" s="12">
        <f>IF(B357="","",IFERROR(INDEX(Protocolo!$B$5:$B$54,MATCH(B357,Protocolo!$A$5:$A$54,0)),""))</f>
      </c>
      <c r="D357" s="16"/>
      <c r="E357" s="10"/>
      <c r="F357" s="10"/>
      <c r="G357" s="14">
        <f>IF(OR(B357="",D357=""),"",IFERROR(IF(INDEX(Protocolo!$D$5:$D$54,MATCH(B357,Protocolo!$A$5:$A$54,0))="meses",EDATE(D357,INDEX(Protocolo!$C$5:$C$54,MATCH(B357,Protocolo!$A$5:$A$54,0))),D357+INDEX(Protocolo!$C$5:$C$54,MATCH(B357,Protocolo!$A$5:$A$54,0))*IF(INDEX(Protocolo!$D$5:$D$54,MATCH(B357,Protocolo!$A$5:$A$54,0))="semanas",7,1)),""))</f>
      </c>
      <c r="H357" s="15">
        <f>IF(G357="","",G357-TODAY())</f>
      </c>
      <c r="I357" s="12">
        <f>IF(OR(A357="",B357="",D357=""),"",IF(D357=SUMPRODUCT(MAX(($A$5:$A$504=A357)*($B$5:$B$504=B357)*$D$5:$D$504)),"Sí","Reemplazada"))</f>
      </c>
      <c r="J357" s="12">
        <f>IF(I357="","",IF(I357="Reemplazada","Reemplazada",IF(H357="","Sin fecha",IF(H357&lt;0,"Vencida",IF(H357&lt;=IFERROR(IF(INDEX(Protocolo!$E$5:$E$54,MATCH(B357,Protocolo!$A$5:$A$54,0))="",30,INDEX(Protocolo!$E$5:$E$54,MATCH(B357,Protocolo!$A$5:$A$54,0))),30),"Por vencer","Vigente")))))</f>
      </c>
      <c r="K357" s="10"/>
    </row>
    <row r="358" spans="1:11" x14ac:dyDescent="0.25">
      <c r="A358" s="10"/>
      <c r="B358" s="10"/>
      <c r="C358" s="12">
        <f>IF(B358="","",IFERROR(INDEX(Protocolo!$B$5:$B$54,MATCH(B358,Protocolo!$A$5:$A$54,0)),""))</f>
      </c>
      <c r="D358" s="16"/>
      <c r="E358" s="10"/>
      <c r="F358" s="10"/>
      <c r="G358" s="14">
        <f>IF(OR(B358="",D358=""),"",IFERROR(IF(INDEX(Protocolo!$D$5:$D$54,MATCH(B358,Protocolo!$A$5:$A$54,0))="meses",EDATE(D358,INDEX(Protocolo!$C$5:$C$54,MATCH(B358,Protocolo!$A$5:$A$54,0))),D358+INDEX(Protocolo!$C$5:$C$54,MATCH(B358,Protocolo!$A$5:$A$54,0))*IF(INDEX(Protocolo!$D$5:$D$54,MATCH(B358,Protocolo!$A$5:$A$54,0))="semanas",7,1)),""))</f>
      </c>
      <c r="H358" s="15">
        <f>IF(G358="","",G358-TODAY())</f>
      </c>
      <c r="I358" s="12">
        <f>IF(OR(A358="",B358="",D358=""),"",IF(D358=SUMPRODUCT(MAX(($A$5:$A$504=A358)*($B$5:$B$504=B358)*$D$5:$D$504)),"Sí","Reemplazada"))</f>
      </c>
      <c r="J358" s="12">
        <f>IF(I358="","",IF(I358="Reemplazada","Reemplazada",IF(H358="","Sin fecha",IF(H358&lt;0,"Vencida",IF(H358&lt;=IFERROR(IF(INDEX(Protocolo!$E$5:$E$54,MATCH(B358,Protocolo!$A$5:$A$54,0))="",30,INDEX(Protocolo!$E$5:$E$54,MATCH(B358,Protocolo!$A$5:$A$54,0))),30),"Por vencer","Vigente")))))</f>
      </c>
      <c r="K358" s="10"/>
    </row>
    <row r="359" spans="1:11" x14ac:dyDescent="0.25">
      <c r="A359" s="10"/>
      <c r="B359" s="10"/>
      <c r="C359" s="12">
        <f>IF(B359="","",IFERROR(INDEX(Protocolo!$B$5:$B$54,MATCH(B359,Protocolo!$A$5:$A$54,0)),""))</f>
      </c>
      <c r="D359" s="16"/>
      <c r="E359" s="10"/>
      <c r="F359" s="10"/>
      <c r="G359" s="14">
        <f>IF(OR(B359="",D359=""),"",IFERROR(IF(INDEX(Protocolo!$D$5:$D$54,MATCH(B359,Protocolo!$A$5:$A$54,0))="meses",EDATE(D359,INDEX(Protocolo!$C$5:$C$54,MATCH(B359,Protocolo!$A$5:$A$54,0))),D359+INDEX(Protocolo!$C$5:$C$54,MATCH(B359,Protocolo!$A$5:$A$54,0))*IF(INDEX(Protocolo!$D$5:$D$54,MATCH(B359,Protocolo!$A$5:$A$54,0))="semanas",7,1)),""))</f>
      </c>
      <c r="H359" s="15">
        <f>IF(G359="","",G359-TODAY())</f>
      </c>
      <c r="I359" s="12">
        <f>IF(OR(A359="",B359="",D359=""),"",IF(D359=SUMPRODUCT(MAX(($A$5:$A$504=A359)*($B$5:$B$504=B359)*$D$5:$D$504)),"Sí","Reemplazada"))</f>
      </c>
      <c r="J359" s="12">
        <f>IF(I359="","",IF(I359="Reemplazada","Reemplazada",IF(H359="","Sin fecha",IF(H359&lt;0,"Vencida",IF(H359&lt;=IFERROR(IF(INDEX(Protocolo!$E$5:$E$54,MATCH(B359,Protocolo!$A$5:$A$54,0))="",30,INDEX(Protocolo!$E$5:$E$54,MATCH(B359,Protocolo!$A$5:$A$54,0))),30),"Por vencer","Vigente")))))</f>
      </c>
      <c r="K359" s="10"/>
    </row>
    <row r="360" spans="1:11" x14ac:dyDescent="0.25">
      <c r="A360" s="10"/>
      <c r="B360" s="10"/>
      <c r="C360" s="12">
        <f>IF(B360="","",IFERROR(INDEX(Protocolo!$B$5:$B$54,MATCH(B360,Protocolo!$A$5:$A$54,0)),""))</f>
      </c>
      <c r="D360" s="16"/>
      <c r="E360" s="10"/>
      <c r="F360" s="10"/>
      <c r="G360" s="14">
        <f>IF(OR(B360="",D360=""),"",IFERROR(IF(INDEX(Protocolo!$D$5:$D$54,MATCH(B360,Protocolo!$A$5:$A$54,0))="meses",EDATE(D360,INDEX(Protocolo!$C$5:$C$54,MATCH(B360,Protocolo!$A$5:$A$54,0))),D360+INDEX(Protocolo!$C$5:$C$54,MATCH(B360,Protocolo!$A$5:$A$54,0))*IF(INDEX(Protocolo!$D$5:$D$54,MATCH(B360,Protocolo!$A$5:$A$54,0))="semanas",7,1)),""))</f>
      </c>
      <c r="H360" s="15">
        <f>IF(G360="","",G360-TODAY())</f>
      </c>
      <c r="I360" s="12">
        <f>IF(OR(A360="",B360="",D360=""),"",IF(D360=SUMPRODUCT(MAX(($A$5:$A$504=A360)*($B$5:$B$504=B360)*$D$5:$D$504)),"Sí","Reemplazada"))</f>
      </c>
      <c r="J360" s="12">
        <f>IF(I360="","",IF(I360="Reemplazada","Reemplazada",IF(H360="","Sin fecha",IF(H360&lt;0,"Vencida",IF(H360&lt;=IFERROR(IF(INDEX(Protocolo!$E$5:$E$54,MATCH(B360,Protocolo!$A$5:$A$54,0))="",30,INDEX(Protocolo!$E$5:$E$54,MATCH(B360,Protocolo!$A$5:$A$54,0))),30),"Por vencer","Vigente")))))</f>
      </c>
      <c r="K360" s="10"/>
    </row>
    <row r="361" spans="1:11" x14ac:dyDescent="0.25">
      <c r="A361" s="10"/>
      <c r="B361" s="10"/>
      <c r="C361" s="12">
        <f>IF(B361="","",IFERROR(INDEX(Protocolo!$B$5:$B$54,MATCH(B361,Protocolo!$A$5:$A$54,0)),""))</f>
      </c>
      <c r="D361" s="16"/>
      <c r="E361" s="10"/>
      <c r="F361" s="10"/>
      <c r="G361" s="14">
        <f>IF(OR(B361="",D361=""),"",IFERROR(IF(INDEX(Protocolo!$D$5:$D$54,MATCH(B361,Protocolo!$A$5:$A$54,0))="meses",EDATE(D361,INDEX(Protocolo!$C$5:$C$54,MATCH(B361,Protocolo!$A$5:$A$54,0))),D361+INDEX(Protocolo!$C$5:$C$54,MATCH(B361,Protocolo!$A$5:$A$54,0))*IF(INDEX(Protocolo!$D$5:$D$54,MATCH(B361,Protocolo!$A$5:$A$54,0))="semanas",7,1)),""))</f>
      </c>
      <c r="H361" s="15">
        <f>IF(G361="","",G361-TODAY())</f>
      </c>
      <c r="I361" s="12">
        <f>IF(OR(A361="",B361="",D361=""),"",IF(D361=SUMPRODUCT(MAX(($A$5:$A$504=A361)*($B$5:$B$504=B361)*$D$5:$D$504)),"Sí","Reemplazada"))</f>
      </c>
      <c r="J361" s="12">
        <f>IF(I361="","",IF(I361="Reemplazada","Reemplazada",IF(H361="","Sin fecha",IF(H361&lt;0,"Vencida",IF(H361&lt;=IFERROR(IF(INDEX(Protocolo!$E$5:$E$54,MATCH(B361,Protocolo!$A$5:$A$54,0))="",30,INDEX(Protocolo!$E$5:$E$54,MATCH(B361,Protocolo!$A$5:$A$54,0))),30),"Por vencer","Vigente")))))</f>
      </c>
      <c r="K361" s="10"/>
    </row>
    <row r="362" spans="1:11" x14ac:dyDescent="0.25">
      <c r="A362" s="10"/>
      <c r="B362" s="10"/>
      <c r="C362" s="12">
        <f>IF(B362="","",IFERROR(INDEX(Protocolo!$B$5:$B$54,MATCH(B362,Protocolo!$A$5:$A$54,0)),""))</f>
      </c>
      <c r="D362" s="16"/>
      <c r="E362" s="10"/>
      <c r="F362" s="10"/>
      <c r="G362" s="14">
        <f>IF(OR(B362="",D362=""),"",IFERROR(IF(INDEX(Protocolo!$D$5:$D$54,MATCH(B362,Protocolo!$A$5:$A$54,0))="meses",EDATE(D362,INDEX(Protocolo!$C$5:$C$54,MATCH(B362,Protocolo!$A$5:$A$54,0))),D362+INDEX(Protocolo!$C$5:$C$54,MATCH(B362,Protocolo!$A$5:$A$54,0))*IF(INDEX(Protocolo!$D$5:$D$54,MATCH(B362,Protocolo!$A$5:$A$54,0))="semanas",7,1)),""))</f>
      </c>
      <c r="H362" s="15">
        <f>IF(G362="","",G362-TODAY())</f>
      </c>
      <c r="I362" s="12">
        <f>IF(OR(A362="",B362="",D362=""),"",IF(D362=SUMPRODUCT(MAX(($A$5:$A$504=A362)*($B$5:$B$504=B362)*$D$5:$D$504)),"Sí","Reemplazada"))</f>
      </c>
      <c r="J362" s="12">
        <f>IF(I362="","",IF(I362="Reemplazada","Reemplazada",IF(H362="","Sin fecha",IF(H362&lt;0,"Vencida",IF(H362&lt;=IFERROR(IF(INDEX(Protocolo!$E$5:$E$54,MATCH(B362,Protocolo!$A$5:$A$54,0))="",30,INDEX(Protocolo!$E$5:$E$54,MATCH(B362,Protocolo!$A$5:$A$54,0))),30),"Por vencer","Vigente")))))</f>
      </c>
      <c r="K362" s="10"/>
    </row>
    <row r="363" spans="1:11" x14ac:dyDescent="0.25">
      <c r="A363" s="10"/>
      <c r="B363" s="10"/>
      <c r="C363" s="12">
        <f>IF(B363="","",IFERROR(INDEX(Protocolo!$B$5:$B$54,MATCH(B363,Protocolo!$A$5:$A$54,0)),""))</f>
      </c>
      <c r="D363" s="16"/>
      <c r="E363" s="10"/>
      <c r="F363" s="10"/>
      <c r="G363" s="14">
        <f>IF(OR(B363="",D363=""),"",IFERROR(IF(INDEX(Protocolo!$D$5:$D$54,MATCH(B363,Protocolo!$A$5:$A$54,0))="meses",EDATE(D363,INDEX(Protocolo!$C$5:$C$54,MATCH(B363,Protocolo!$A$5:$A$54,0))),D363+INDEX(Protocolo!$C$5:$C$54,MATCH(B363,Protocolo!$A$5:$A$54,0))*IF(INDEX(Protocolo!$D$5:$D$54,MATCH(B363,Protocolo!$A$5:$A$54,0))="semanas",7,1)),""))</f>
      </c>
      <c r="H363" s="15">
        <f>IF(G363="","",G363-TODAY())</f>
      </c>
      <c r="I363" s="12">
        <f>IF(OR(A363="",B363="",D363=""),"",IF(D363=SUMPRODUCT(MAX(($A$5:$A$504=A363)*($B$5:$B$504=B363)*$D$5:$D$504)),"Sí","Reemplazada"))</f>
      </c>
      <c r="J363" s="12">
        <f>IF(I363="","",IF(I363="Reemplazada","Reemplazada",IF(H363="","Sin fecha",IF(H363&lt;0,"Vencida",IF(H363&lt;=IFERROR(IF(INDEX(Protocolo!$E$5:$E$54,MATCH(B363,Protocolo!$A$5:$A$54,0))="",30,INDEX(Protocolo!$E$5:$E$54,MATCH(B363,Protocolo!$A$5:$A$54,0))),30),"Por vencer","Vigente")))))</f>
      </c>
      <c r="K363" s="10"/>
    </row>
    <row r="364" spans="1:11" x14ac:dyDescent="0.25">
      <c r="A364" s="10"/>
      <c r="B364" s="10"/>
      <c r="C364" s="12">
        <f>IF(B364="","",IFERROR(INDEX(Protocolo!$B$5:$B$54,MATCH(B364,Protocolo!$A$5:$A$54,0)),""))</f>
      </c>
      <c r="D364" s="16"/>
      <c r="E364" s="10"/>
      <c r="F364" s="10"/>
      <c r="G364" s="14">
        <f>IF(OR(B364="",D364=""),"",IFERROR(IF(INDEX(Protocolo!$D$5:$D$54,MATCH(B364,Protocolo!$A$5:$A$54,0))="meses",EDATE(D364,INDEX(Protocolo!$C$5:$C$54,MATCH(B364,Protocolo!$A$5:$A$54,0))),D364+INDEX(Protocolo!$C$5:$C$54,MATCH(B364,Protocolo!$A$5:$A$54,0))*IF(INDEX(Protocolo!$D$5:$D$54,MATCH(B364,Protocolo!$A$5:$A$54,0))="semanas",7,1)),""))</f>
      </c>
      <c r="H364" s="15">
        <f>IF(G364="","",G364-TODAY())</f>
      </c>
      <c r="I364" s="12">
        <f>IF(OR(A364="",B364="",D364=""),"",IF(D364=SUMPRODUCT(MAX(($A$5:$A$504=A364)*($B$5:$B$504=B364)*$D$5:$D$504)),"Sí","Reemplazada"))</f>
      </c>
      <c r="J364" s="12">
        <f>IF(I364="","",IF(I364="Reemplazada","Reemplazada",IF(H364="","Sin fecha",IF(H364&lt;0,"Vencida",IF(H364&lt;=IFERROR(IF(INDEX(Protocolo!$E$5:$E$54,MATCH(B364,Protocolo!$A$5:$A$54,0))="",30,INDEX(Protocolo!$E$5:$E$54,MATCH(B364,Protocolo!$A$5:$A$54,0))),30),"Por vencer","Vigente")))))</f>
      </c>
      <c r="K364" s="10"/>
    </row>
    <row r="365" spans="1:11" x14ac:dyDescent="0.25">
      <c r="A365" s="10"/>
      <c r="B365" s="10"/>
      <c r="C365" s="12">
        <f>IF(B365="","",IFERROR(INDEX(Protocolo!$B$5:$B$54,MATCH(B365,Protocolo!$A$5:$A$54,0)),""))</f>
      </c>
      <c r="D365" s="16"/>
      <c r="E365" s="10"/>
      <c r="F365" s="10"/>
      <c r="G365" s="14">
        <f>IF(OR(B365="",D365=""),"",IFERROR(IF(INDEX(Protocolo!$D$5:$D$54,MATCH(B365,Protocolo!$A$5:$A$54,0))="meses",EDATE(D365,INDEX(Protocolo!$C$5:$C$54,MATCH(B365,Protocolo!$A$5:$A$54,0))),D365+INDEX(Protocolo!$C$5:$C$54,MATCH(B365,Protocolo!$A$5:$A$54,0))*IF(INDEX(Protocolo!$D$5:$D$54,MATCH(B365,Protocolo!$A$5:$A$54,0))="semanas",7,1)),""))</f>
      </c>
      <c r="H365" s="15">
        <f>IF(G365="","",G365-TODAY())</f>
      </c>
      <c r="I365" s="12">
        <f>IF(OR(A365="",B365="",D365=""),"",IF(D365=SUMPRODUCT(MAX(($A$5:$A$504=A365)*($B$5:$B$504=B365)*$D$5:$D$504)),"Sí","Reemplazada"))</f>
      </c>
      <c r="J365" s="12">
        <f>IF(I365="","",IF(I365="Reemplazada","Reemplazada",IF(H365="","Sin fecha",IF(H365&lt;0,"Vencida",IF(H365&lt;=IFERROR(IF(INDEX(Protocolo!$E$5:$E$54,MATCH(B365,Protocolo!$A$5:$A$54,0))="",30,INDEX(Protocolo!$E$5:$E$54,MATCH(B365,Protocolo!$A$5:$A$54,0))),30),"Por vencer","Vigente")))))</f>
      </c>
      <c r="K365" s="10"/>
    </row>
    <row r="366" spans="1:11" x14ac:dyDescent="0.25">
      <c r="A366" s="10"/>
      <c r="B366" s="10"/>
      <c r="C366" s="12">
        <f>IF(B366="","",IFERROR(INDEX(Protocolo!$B$5:$B$54,MATCH(B366,Protocolo!$A$5:$A$54,0)),""))</f>
      </c>
      <c r="D366" s="16"/>
      <c r="E366" s="10"/>
      <c r="F366" s="10"/>
      <c r="G366" s="14">
        <f>IF(OR(B366="",D366=""),"",IFERROR(IF(INDEX(Protocolo!$D$5:$D$54,MATCH(B366,Protocolo!$A$5:$A$54,0))="meses",EDATE(D366,INDEX(Protocolo!$C$5:$C$54,MATCH(B366,Protocolo!$A$5:$A$54,0))),D366+INDEX(Protocolo!$C$5:$C$54,MATCH(B366,Protocolo!$A$5:$A$54,0))*IF(INDEX(Protocolo!$D$5:$D$54,MATCH(B366,Protocolo!$A$5:$A$54,0))="semanas",7,1)),""))</f>
      </c>
      <c r="H366" s="15">
        <f>IF(G366="","",G366-TODAY())</f>
      </c>
      <c r="I366" s="12">
        <f>IF(OR(A366="",B366="",D366=""),"",IF(D366=SUMPRODUCT(MAX(($A$5:$A$504=A366)*($B$5:$B$504=B366)*$D$5:$D$504)),"Sí","Reemplazada"))</f>
      </c>
      <c r="J366" s="12">
        <f>IF(I366="","",IF(I366="Reemplazada","Reemplazada",IF(H366="","Sin fecha",IF(H366&lt;0,"Vencida",IF(H366&lt;=IFERROR(IF(INDEX(Protocolo!$E$5:$E$54,MATCH(B366,Protocolo!$A$5:$A$54,0))="",30,INDEX(Protocolo!$E$5:$E$54,MATCH(B366,Protocolo!$A$5:$A$54,0))),30),"Por vencer","Vigente")))))</f>
      </c>
      <c r="K366" s="10"/>
    </row>
    <row r="367" spans="1:11" x14ac:dyDescent="0.25">
      <c r="A367" s="10"/>
      <c r="B367" s="10"/>
      <c r="C367" s="12">
        <f>IF(B367="","",IFERROR(INDEX(Protocolo!$B$5:$B$54,MATCH(B367,Protocolo!$A$5:$A$54,0)),""))</f>
      </c>
      <c r="D367" s="16"/>
      <c r="E367" s="10"/>
      <c r="F367" s="10"/>
      <c r="G367" s="14">
        <f>IF(OR(B367="",D367=""),"",IFERROR(IF(INDEX(Protocolo!$D$5:$D$54,MATCH(B367,Protocolo!$A$5:$A$54,0))="meses",EDATE(D367,INDEX(Protocolo!$C$5:$C$54,MATCH(B367,Protocolo!$A$5:$A$54,0))),D367+INDEX(Protocolo!$C$5:$C$54,MATCH(B367,Protocolo!$A$5:$A$54,0))*IF(INDEX(Protocolo!$D$5:$D$54,MATCH(B367,Protocolo!$A$5:$A$54,0))="semanas",7,1)),""))</f>
      </c>
      <c r="H367" s="15">
        <f>IF(G367="","",G367-TODAY())</f>
      </c>
      <c r="I367" s="12">
        <f>IF(OR(A367="",B367="",D367=""),"",IF(D367=SUMPRODUCT(MAX(($A$5:$A$504=A367)*($B$5:$B$504=B367)*$D$5:$D$504)),"Sí","Reemplazada"))</f>
      </c>
      <c r="J367" s="12">
        <f>IF(I367="","",IF(I367="Reemplazada","Reemplazada",IF(H367="","Sin fecha",IF(H367&lt;0,"Vencida",IF(H367&lt;=IFERROR(IF(INDEX(Protocolo!$E$5:$E$54,MATCH(B367,Protocolo!$A$5:$A$54,0))="",30,INDEX(Protocolo!$E$5:$E$54,MATCH(B367,Protocolo!$A$5:$A$54,0))),30),"Por vencer","Vigente")))))</f>
      </c>
      <c r="K367" s="10"/>
    </row>
    <row r="368" spans="1:11" x14ac:dyDescent="0.25">
      <c r="A368" s="10"/>
      <c r="B368" s="10"/>
      <c r="C368" s="12">
        <f>IF(B368="","",IFERROR(INDEX(Protocolo!$B$5:$B$54,MATCH(B368,Protocolo!$A$5:$A$54,0)),""))</f>
      </c>
      <c r="D368" s="16"/>
      <c r="E368" s="10"/>
      <c r="F368" s="10"/>
      <c r="G368" s="14">
        <f>IF(OR(B368="",D368=""),"",IFERROR(IF(INDEX(Protocolo!$D$5:$D$54,MATCH(B368,Protocolo!$A$5:$A$54,0))="meses",EDATE(D368,INDEX(Protocolo!$C$5:$C$54,MATCH(B368,Protocolo!$A$5:$A$54,0))),D368+INDEX(Protocolo!$C$5:$C$54,MATCH(B368,Protocolo!$A$5:$A$54,0))*IF(INDEX(Protocolo!$D$5:$D$54,MATCH(B368,Protocolo!$A$5:$A$54,0))="semanas",7,1)),""))</f>
      </c>
      <c r="H368" s="15">
        <f>IF(G368="","",G368-TODAY())</f>
      </c>
      <c r="I368" s="12">
        <f>IF(OR(A368="",B368="",D368=""),"",IF(D368=SUMPRODUCT(MAX(($A$5:$A$504=A368)*($B$5:$B$504=B368)*$D$5:$D$504)),"Sí","Reemplazada"))</f>
      </c>
      <c r="J368" s="12">
        <f>IF(I368="","",IF(I368="Reemplazada","Reemplazada",IF(H368="","Sin fecha",IF(H368&lt;0,"Vencida",IF(H368&lt;=IFERROR(IF(INDEX(Protocolo!$E$5:$E$54,MATCH(B368,Protocolo!$A$5:$A$54,0))="",30,INDEX(Protocolo!$E$5:$E$54,MATCH(B368,Protocolo!$A$5:$A$54,0))),30),"Por vencer","Vigente")))))</f>
      </c>
      <c r="K368" s="10"/>
    </row>
    <row r="369" spans="1:11" x14ac:dyDescent="0.25">
      <c r="A369" s="10"/>
      <c r="B369" s="10"/>
      <c r="C369" s="12">
        <f>IF(B369="","",IFERROR(INDEX(Protocolo!$B$5:$B$54,MATCH(B369,Protocolo!$A$5:$A$54,0)),""))</f>
      </c>
      <c r="D369" s="16"/>
      <c r="E369" s="10"/>
      <c r="F369" s="10"/>
      <c r="G369" s="14">
        <f>IF(OR(B369="",D369=""),"",IFERROR(IF(INDEX(Protocolo!$D$5:$D$54,MATCH(B369,Protocolo!$A$5:$A$54,0))="meses",EDATE(D369,INDEX(Protocolo!$C$5:$C$54,MATCH(B369,Protocolo!$A$5:$A$54,0))),D369+INDEX(Protocolo!$C$5:$C$54,MATCH(B369,Protocolo!$A$5:$A$54,0))*IF(INDEX(Protocolo!$D$5:$D$54,MATCH(B369,Protocolo!$A$5:$A$54,0))="semanas",7,1)),""))</f>
      </c>
      <c r="H369" s="15">
        <f>IF(G369="","",G369-TODAY())</f>
      </c>
      <c r="I369" s="12">
        <f>IF(OR(A369="",B369="",D369=""),"",IF(D369=SUMPRODUCT(MAX(($A$5:$A$504=A369)*($B$5:$B$504=B369)*$D$5:$D$504)),"Sí","Reemplazada"))</f>
      </c>
      <c r="J369" s="12">
        <f>IF(I369="","",IF(I369="Reemplazada","Reemplazada",IF(H369="","Sin fecha",IF(H369&lt;0,"Vencida",IF(H369&lt;=IFERROR(IF(INDEX(Protocolo!$E$5:$E$54,MATCH(B369,Protocolo!$A$5:$A$54,0))="",30,INDEX(Protocolo!$E$5:$E$54,MATCH(B369,Protocolo!$A$5:$A$54,0))),30),"Por vencer","Vigente")))))</f>
      </c>
      <c r="K369" s="10"/>
    </row>
    <row r="370" spans="1:11" x14ac:dyDescent="0.25">
      <c r="A370" s="10"/>
      <c r="B370" s="10"/>
      <c r="C370" s="12">
        <f>IF(B370="","",IFERROR(INDEX(Protocolo!$B$5:$B$54,MATCH(B370,Protocolo!$A$5:$A$54,0)),""))</f>
      </c>
      <c r="D370" s="16"/>
      <c r="E370" s="10"/>
      <c r="F370" s="10"/>
      <c r="G370" s="14">
        <f>IF(OR(B370="",D370=""),"",IFERROR(IF(INDEX(Protocolo!$D$5:$D$54,MATCH(B370,Protocolo!$A$5:$A$54,0))="meses",EDATE(D370,INDEX(Protocolo!$C$5:$C$54,MATCH(B370,Protocolo!$A$5:$A$54,0))),D370+INDEX(Protocolo!$C$5:$C$54,MATCH(B370,Protocolo!$A$5:$A$54,0))*IF(INDEX(Protocolo!$D$5:$D$54,MATCH(B370,Protocolo!$A$5:$A$54,0))="semanas",7,1)),""))</f>
      </c>
      <c r="H370" s="15">
        <f>IF(G370="","",G370-TODAY())</f>
      </c>
      <c r="I370" s="12">
        <f>IF(OR(A370="",B370="",D370=""),"",IF(D370=SUMPRODUCT(MAX(($A$5:$A$504=A370)*($B$5:$B$504=B370)*$D$5:$D$504)),"Sí","Reemplazada"))</f>
      </c>
      <c r="J370" s="12">
        <f>IF(I370="","",IF(I370="Reemplazada","Reemplazada",IF(H370="","Sin fecha",IF(H370&lt;0,"Vencida",IF(H370&lt;=IFERROR(IF(INDEX(Protocolo!$E$5:$E$54,MATCH(B370,Protocolo!$A$5:$A$54,0))="",30,INDEX(Protocolo!$E$5:$E$54,MATCH(B370,Protocolo!$A$5:$A$54,0))),30),"Por vencer","Vigente")))))</f>
      </c>
      <c r="K370" s="10"/>
    </row>
    <row r="371" spans="1:11" x14ac:dyDescent="0.25">
      <c r="A371" s="10"/>
      <c r="B371" s="10"/>
      <c r="C371" s="12">
        <f>IF(B371="","",IFERROR(INDEX(Protocolo!$B$5:$B$54,MATCH(B371,Protocolo!$A$5:$A$54,0)),""))</f>
      </c>
      <c r="D371" s="16"/>
      <c r="E371" s="10"/>
      <c r="F371" s="10"/>
      <c r="G371" s="14">
        <f>IF(OR(B371="",D371=""),"",IFERROR(IF(INDEX(Protocolo!$D$5:$D$54,MATCH(B371,Protocolo!$A$5:$A$54,0))="meses",EDATE(D371,INDEX(Protocolo!$C$5:$C$54,MATCH(B371,Protocolo!$A$5:$A$54,0))),D371+INDEX(Protocolo!$C$5:$C$54,MATCH(B371,Protocolo!$A$5:$A$54,0))*IF(INDEX(Protocolo!$D$5:$D$54,MATCH(B371,Protocolo!$A$5:$A$54,0))="semanas",7,1)),""))</f>
      </c>
      <c r="H371" s="15">
        <f>IF(G371="","",G371-TODAY())</f>
      </c>
      <c r="I371" s="12">
        <f>IF(OR(A371="",B371="",D371=""),"",IF(D371=SUMPRODUCT(MAX(($A$5:$A$504=A371)*($B$5:$B$504=B371)*$D$5:$D$504)),"Sí","Reemplazada"))</f>
      </c>
      <c r="J371" s="12">
        <f>IF(I371="","",IF(I371="Reemplazada","Reemplazada",IF(H371="","Sin fecha",IF(H371&lt;0,"Vencida",IF(H371&lt;=IFERROR(IF(INDEX(Protocolo!$E$5:$E$54,MATCH(B371,Protocolo!$A$5:$A$54,0))="",30,INDEX(Protocolo!$E$5:$E$54,MATCH(B371,Protocolo!$A$5:$A$54,0))),30),"Por vencer","Vigente")))))</f>
      </c>
      <c r="K371" s="10"/>
    </row>
    <row r="372" spans="1:11" x14ac:dyDescent="0.25">
      <c r="A372" s="10"/>
      <c r="B372" s="10"/>
      <c r="C372" s="12">
        <f>IF(B372="","",IFERROR(INDEX(Protocolo!$B$5:$B$54,MATCH(B372,Protocolo!$A$5:$A$54,0)),""))</f>
      </c>
      <c r="D372" s="16"/>
      <c r="E372" s="10"/>
      <c r="F372" s="10"/>
      <c r="G372" s="14">
        <f>IF(OR(B372="",D372=""),"",IFERROR(IF(INDEX(Protocolo!$D$5:$D$54,MATCH(B372,Protocolo!$A$5:$A$54,0))="meses",EDATE(D372,INDEX(Protocolo!$C$5:$C$54,MATCH(B372,Protocolo!$A$5:$A$54,0))),D372+INDEX(Protocolo!$C$5:$C$54,MATCH(B372,Protocolo!$A$5:$A$54,0))*IF(INDEX(Protocolo!$D$5:$D$54,MATCH(B372,Protocolo!$A$5:$A$54,0))="semanas",7,1)),""))</f>
      </c>
      <c r="H372" s="15">
        <f>IF(G372="","",G372-TODAY())</f>
      </c>
      <c r="I372" s="12">
        <f>IF(OR(A372="",B372="",D372=""),"",IF(D372=SUMPRODUCT(MAX(($A$5:$A$504=A372)*($B$5:$B$504=B372)*$D$5:$D$504)),"Sí","Reemplazada"))</f>
      </c>
      <c r="J372" s="12">
        <f>IF(I372="","",IF(I372="Reemplazada","Reemplazada",IF(H372="","Sin fecha",IF(H372&lt;0,"Vencida",IF(H372&lt;=IFERROR(IF(INDEX(Protocolo!$E$5:$E$54,MATCH(B372,Protocolo!$A$5:$A$54,0))="",30,INDEX(Protocolo!$E$5:$E$54,MATCH(B372,Protocolo!$A$5:$A$54,0))),30),"Por vencer","Vigente")))))</f>
      </c>
      <c r="K372" s="10"/>
    </row>
    <row r="373" spans="1:11" x14ac:dyDescent="0.25">
      <c r="A373" s="10"/>
      <c r="B373" s="10"/>
      <c r="C373" s="12">
        <f>IF(B373="","",IFERROR(INDEX(Protocolo!$B$5:$B$54,MATCH(B373,Protocolo!$A$5:$A$54,0)),""))</f>
      </c>
      <c r="D373" s="16"/>
      <c r="E373" s="10"/>
      <c r="F373" s="10"/>
      <c r="G373" s="14">
        <f>IF(OR(B373="",D373=""),"",IFERROR(IF(INDEX(Protocolo!$D$5:$D$54,MATCH(B373,Protocolo!$A$5:$A$54,0))="meses",EDATE(D373,INDEX(Protocolo!$C$5:$C$54,MATCH(B373,Protocolo!$A$5:$A$54,0))),D373+INDEX(Protocolo!$C$5:$C$54,MATCH(B373,Protocolo!$A$5:$A$54,0))*IF(INDEX(Protocolo!$D$5:$D$54,MATCH(B373,Protocolo!$A$5:$A$54,0))="semanas",7,1)),""))</f>
      </c>
      <c r="H373" s="15">
        <f>IF(G373="","",G373-TODAY())</f>
      </c>
      <c r="I373" s="12">
        <f>IF(OR(A373="",B373="",D373=""),"",IF(D373=SUMPRODUCT(MAX(($A$5:$A$504=A373)*($B$5:$B$504=B373)*$D$5:$D$504)),"Sí","Reemplazada"))</f>
      </c>
      <c r="J373" s="12">
        <f>IF(I373="","",IF(I373="Reemplazada","Reemplazada",IF(H373="","Sin fecha",IF(H373&lt;0,"Vencida",IF(H373&lt;=IFERROR(IF(INDEX(Protocolo!$E$5:$E$54,MATCH(B373,Protocolo!$A$5:$A$54,0))="",30,INDEX(Protocolo!$E$5:$E$54,MATCH(B373,Protocolo!$A$5:$A$54,0))),30),"Por vencer","Vigente")))))</f>
      </c>
      <c r="K373" s="10"/>
    </row>
    <row r="374" spans="1:11" x14ac:dyDescent="0.25">
      <c r="A374" s="10"/>
      <c r="B374" s="10"/>
      <c r="C374" s="12">
        <f>IF(B374="","",IFERROR(INDEX(Protocolo!$B$5:$B$54,MATCH(B374,Protocolo!$A$5:$A$54,0)),""))</f>
      </c>
      <c r="D374" s="16"/>
      <c r="E374" s="10"/>
      <c r="F374" s="10"/>
      <c r="G374" s="14">
        <f>IF(OR(B374="",D374=""),"",IFERROR(IF(INDEX(Protocolo!$D$5:$D$54,MATCH(B374,Protocolo!$A$5:$A$54,0))="meses",EDATE(D374,INDEX(Protocolo!$C$5:$C$54,MATCH(B374,Protocolo!$A$5:$A$54,0))),D374+INDEX(Protocolo!$C$5:$C$54,MATCH(B374,Protocolo!$A$5:$A$54,0))*IF(INDEX(Protocolo!$D$5:$D$54,MATCH(B374,Protocolo!$A$5:$A$54,0))="semanas",7,1)),""))</f>
      </c>
      <c r="H374" s="15">
        <f>IF(G374="","",G374-TODAY())</f>
      </c>
      <c r="I374" s="12">
        <f>IF(OR(A374="",B374="",D374=""),"",IF(D374=SUMPRODUCT(MAX(($A$5:$A$504=A374)*($B$5:$B$504=B374)*$D$5:$D$504)),"Sí","Reemplazada"))</f>
      </c>
      <c r="J374" s="12">
        <f>IF(I374="","",IF(I374="Reemplazada","Reemplazada",IF(H374="","Sin fecha",IF(H374&lt;0,"Vencida",IF(H374&lt;=IFERROR(IF(INDEX(Protocolo!$E$5:$E$54,MATCH(B374,Protocolo!$A$5:$A$54,0))="",30,INDEX(Protocolo!$E$5:$E$54,MATCH(B374,Protocolo!$A$5:$A$54,0))),30),"Por vencer","Vigente")))))</f>
      </c>
      <c r="K374" s="10"/>
    </row>
    <row r="375" spans="1:11" x14ac:dyDescent="0.25">
      <c r="A375" s="10"/>
      <c r="B375" s="10"/>
      <c r="C375" s="12">
        <f>IF(B375="","",IFERROR(INDEX(Protocolo!$B$5:$B$54,MATCH(B375,Protocolo!$A$5:$A$54,0)),""))</f>
      </c>
      <c r="D375" s="16"/>
      <c r="E375" s="10"/>
      <c r="F375" s="10"/>
      <c r="G375" s="14">
        <f>IF(OR(B375="",D375=""),"",IFERROR(IF(INDEX(Protocolo!$D$5:$D$54,MATCH(B375,Protocolo!$A$5:$A$54,0))="meses",EDATE(D375,INDEX(Protocolo!$C$5:$C$54,MATCH(B375,Protocolo!$A$5:$A$54,0))),D375+INDEX(Protocolo!$C$5:$C$54,MATCH(B375,Protocolo!$A$5:$A$54,0))*IF(INDEX(Protocolo!$D$5:$D$54,MATCH(B375,Protocolo!$A$5:$A$54,0))="semanas",7,1)),""))</f>
      </c>
      <c r="H375" s="15">
        <f>IF(G375="","",G375-TODAY())</f>
      </c>
      <c r="I375" s="12">
        <f>IF(OR(A375="",B375="",D375=""),"",IF(D375=SUMPRODUCT(MAX(($A$5:$A$504=A375)*($B$5:$B$504=B375)*$D$5:$D$504)),"Sí","Reemplazada"))</f>
      </c>
      <c r="J375" s="12">
        <f>IF(I375="","",IF(I375="Reemplazada","Reemplazada",IF(H375="","Sin fecha",IF(H375&lt;0,"Vencida",IF(H375&lt;=IFERROR(IF(INDEX(Protocolo!$E$5:$E$54,MATCH(B375,Protocolo!$A$5:$A$54,0))="",30,INDEX(Protocolo!$E$5:$E$54,MATCH(B375,Protocolo!$A$5:$A$54,0))),30),"Por vencer","Vigente")))))</f>
      </c>
      <c r="K375" s="10"/>
    </row>
    <row r="376" spans="1:11" x14ac:dyDescent="0.25">
      <c r="A376" s="10"/>
      <c r="B376" s="10"/>
      <c r="C376" s="12">
        <f>IF(B376="","",IFERROR(INDEX(Protocolo!$B$5:$B$54,MATCH(B376,Protocolo!$A$5:$A$54,0)),""))</f>
      </c>
      <c r="D376" s="16"/>
      <c r="E376" s="10"/>
      <c r="F376" s="10"/>
      <c r="G376" s="14">
        <f>IF(OR(B376="",D376=""),"",IFERROR(IF(INDEX(Protocolo!$D$5:$D$54,MATCH(B376,Protocolo!$A$5:$A$54,0))="meses",EDATE(D376,INDEX(Protocolo!$C$5:$C$54,MATCH(B376,Protocolo!$A$5:$A$54,0))),D376+INDEX(Protocolo!$C$5:$C$54,MATCH(B376,Protocolo!$A$5:$A$54,0))*IF(INDEX(Protocolo!$D$5:$D$54,MATCH(B376,Protocolo!$A$5:$A$54,0))="semanas",7,1)),""))</f>
      </c>
      <c r="H376" s="15">
        <f>IF(G376="","",G376-TODAY())</f>
      </c>
      <c r="I376" s="12">
        <f>IF(OR(A376="",B376="",D376=""),"",IF(D376=SUMPRODUCT(MAX(($A$5:$A$504=A376)*($B$5:$B$504=B376)*$D$5:$D$504)),"Sí","Reemplazada"))</f>
      </c>
      <c r="J376" s="12">
        <f>IF(I376="","",IF(I376="Reemplazada","Reemplazada",IF(H376="","Sin fecha",IF(H376&lt;0,"Vencida",IF(H376&lt;=IFERROR(IF(INDEX(Protocolo!$E$5:$E$54,MATCH(B376,Protocolo!$A$5:$A$54,0))="",30,INDEX(Protocolo!$E$5:$E$54,MATCH(B376,Protocolo!$A$5:$A$54,0))),30),"Por vencer","Vigente")))))</f>
      </c>
      <c r="K376" s="10"/>
    </row>
    <row r="377" spans="1:11" x14ac:dyDescent="0.25">
      <c r="A377" s="10"/>
      <c r="B377" s="10"/>
      <c r="C377" s="12">
        <f>IF(B377="","",IFERROR(INDEX(Protocolo!$B$5:$B$54,MATCH(B377,Protocolo!$A$5:$A$54,0)),""))</f>
      </c>
      <c r="D377" s="16"/>
      <c r="E377" s="10"/>
      <c r="F377" s="10"/>
      <c r="G377" s="14">
        <f>IF(OR(B377="",D377=""),"",IFERROR(IF(INDEX(Protocolo!$D$5:$D$54,MATCH(B377,Protocolo!$A$5:$A$54,0))="meses",EDATE(D377,INDEX(Protocolo!$C$5:$C$54,MATCH(B377,Protocolo!$A$5:$A$54,0))),D377+INDEX(Protocolo!$C$5:$C$54,MATCH(B377,Protocolo!$A$5:$A$54,0))*IF(INDEX(Protocolo!$D$5:$D$54,MATCH(B377,Protocolo!$A$5:$A$54,0))="semanas",7,1)),""))</f>
      </c>
      <c r="H377" s="15">
        <f>IF(G377="","",G377-TODAY())</f>
      </c>
      <c r="I377" s="12">
        <f>IF(OR(A377="",B377="",D377=""),"",IF(D377=SUMPRODUCT(MAX(($A$5:$A$504=A377)*($B$5:$B$504=B377)*$D$5:$D$504)),"Sí","Reemplazada"))</f>
      </c>
      <c r="J377" s="12">
        <f>IF(I377="","",IF(I377="Reemplazada","Reemplazada",IF(H377="","Sin fecha",IF(H377&lt;0,"Vencida",IF(H377&lt;=IFERROR(IF(INDEX(Protocolo!$E$5:$E$54,MATCH(B377,Protocolo!$A$5:$A$54,0))="",30,INDEX(Protocolo!$E$5:$E$54,MATCH(B377,Protocolo!$A$5:$A$54,0))),30),"Por vencer","Vigente")))))</f>
      </c>
      <c r="K377" s="10"/>
    </row>
    <row r="378" spans="1:11" x14ac:dyDescent="0.25">
      <c r="A378" s="10"/>
      <c r="B378" s="10"/>
      <c r="C378" s="12">
        <f>IF(B378="","",IFERROR(INDEX(Protocolo!$B$5:$B$54,MATCH(B378,Protocolo!$A$5:$A$54,0)),""))</f>
      </c>
      <c r="D378" s="16"/>
      <c r="E378" s="10"/>
      <c r="F378" s="10"/>
      <c r="G378" s="14">
        <f>IF(OR(B378="",D378=""),"",IFERROR(IF(INDEX(Protocolo!$D$5:$D$54,MATCH(B378,Protocolo!$A$5:$A$54,0))="meses",EDATE(D378,INDEX(Protocolo!$C$5:$C$54,MATCH(B378,Protocolo!$A$5:$A$54,0))),D378+INDEX(Protocolo!$C$5:$C$54,MATCH(B378,Protocolo!$A$5:$A$54,0))*IF(INDEX(Protocolo!$D$5:$D$54,MATCH(B378,Protocolo!$A$5:$A$54,0))="semanas",7,1)),""))</f>
      </c>
      <c r="H378" s="15">
        <f>IF(G378="","",G378-TODAY())</f>
      </c>
      <c r="I378" s="12">
        <f>IF(OR(A378="",B378="",D378=""),"",IF(D378=SUMPRODUCT(MAX(($A$5:$A$504=A378)*($B$5:$B$504=B378)*$D$5:$D$504)),"Sí","Reemplazada"))</f>
      </c>
      <c r="J378" s="12">
        <f>IF(I378="","",IF(I378="Reemplazada","Reemplazada",IF(H378="","Sin fecha",IF(H378&lt;0,"Vencida",IF(H378&lt;=IFERROR(IF(INDEX(Protocolo!$E$5:$E$54,MATCH(B378,Protocolo!$A$5:$A$54,0))="",30,INDEX(Protocolo!$E$5:$E$54,MATCH(B378,Protocolo!$A$5:$A$54,0))),30),"Por vencer","Vigente")))))</f>
      </c>
      <c r="K378" s="10"/>
    </row>
    <row r="379" spans="1:11" x14ac:dyDescent="0.25">
      <c r="A379" s="10"/>
      <c r="B379" s="10"/>
      <c r="C379" s="12">
        <f>IF(B379="","",IFERROR(INDEX(Protocolo!$B$5:$B$54,MATCH(B379,Protocolo!$A$5:$A$54,0)),""))</f>
      </c>
      <c r="D379" s="16"/>
      <c r="E379" s="10"/>
      <c r="F379" s="10"/>
      <c r="G379" s="14">
        <f>IF(OR(B379="",D379=""),"",IFERROR(IF(INDEX(Protocolo!$D$5:$D$54,MATCH(B379,Protocolo!$A$5:$A$54,0))="meses",EDATE(D379,INDEX(Protocolo!$C$5:$C$54,MATCH(B379,Protocolo!$A$5:$A$54,0))),D379+INDEX(Protocolo!$C$5:$C$54,MATCH(B379,Protocolo!$A$5:$A$54,0))*IF(INDEX(Protocolo!$D$5:$D$54,MATCH(B379,Protocolo!$A$5:$A$54,0))="semanas",7,1)),""))</f>
      </c>
      <c r="H379" s="15">
        <f>IF(G379="","",G379-TODAY())</f>
      </c>
      <c r="I379" s="12">
        <f>IF(OR(A379="",B379="",D379=""),"",IF(D379=SUMPRODUCT(MAX(($A$5:$A$504=A379)*($B$5:$B$504=B379)*$D$5:$D$504)),"Sí","Reemplazada"))</f>
      </c>
      <c r="J379" s="12">
        <f>IF(I379="","",IF(I379="Reemplazada","Reemplazada",IF(H379="","Sin fecha",IF(H379&lt;0,"Vencida",IF(H379&lt;=IFERROR(IF(INDEX(Protocolo!$E$5:$E$54,MATCH(B379,Protocolo!$A$5:$A$54,0))="",30,INDEX(Protocolo!$E$5:$E$54,MATCH(B379,Protocolo!$A$5:$A$54,0))),30),"Por vencer","Vigente")))))</f>
      </c>
      <c r="K379" s="10"/>
    </row>
    <row r="380" spans="1:11" x14ac:dyDescent="0.25">
      <c r="A380" s="10"/>
      <c r="B380" s="10"/>
      <c r="C380" s="12">
        <f>IF(B380="","",IFERROR(INDEX(Protocolo!$B$5:$B$54,MATCH(B380,Protocolo!$A$5:$A$54,0)),""))</f>
      </c>
      <c r="D380" s="16"/>
      <c r="E380" s="10"/>
      <c r="F380" s="10"/>
      <c r="G380" s="14">
        <f>IF(OR(B380="",D380=""),"",IFERROR(IF(INDEX(Protocolo!$D$5:$D$54,MATCH(B380,Protocolo!$A$5:$A$54,0))="meses",EDATE(D380,INDEX(Protocolo!$C$5:$C$54,MATCH(B380,Protocolo!$A$5:$A$54,0))),D380+INDEX(Protocolo!$C$5:$C$54,MATCH(B380,Protocolo!$A$5:$A$54,0))*IF(INDEX(Protocolo!$D$5:$D$54,MATCH(B380,Protocolo!$A$5:$A$54,0))="semanas",7,1)),""))</f>
      </c>
      <c r="H380" s="15">
        <f>IF(G380="","",G380-TODAY())</f>
      </c>
      <c r="I380" s="12">
        <f>IF(OR(A380="",B380="",D380=""),"",IF(D380=SUMPRODUCT(MAX(($A$5:$A$504=A380)*($B$5:$B$504=B380)*$D$5:$D$504)),"Sí","Reemplazada"))</f>
      </c>
      <c r="J380" s="12">
        <f>IF(I380="","",IF(I380="Reemplazada","Reemplazada",IF(H380="","Sin fecha",IF(H380&lt;0,"Vencida",IF(H380&lt;=IFERROR(IF(INDEX(Protocolo!$E$5:$E$54,MATCH(B380,Protocolo!$A$5:$A$54,0))="",30,INDEX(Protocolo!$E$5:$E$54,MATCH(B380,Protocolo!$A$5:$A$54,0))),30),"Por vencer","Vigente")))))</f>
      </c>
      <c r="K380" s="10"/>
    </row>
    <row r="381" spans="1:11" x14ac:dyDescent="0.25">
      <c r="A381" s="10"/>
      <c r="B381" s="10"/>
      <c r="C381" s="12">
        <f>IF(B381="","",IFERROR(INDEX(Protocolo!$B$5:$B$54,MATCH(B381,Protocolo!$A$5:$A$54,0)),""))</f>
      </c>
      <c r="D381" s="16"/>
      <c r="E381" s="10"/>
      <c r="F381" s="10"/>
      <c r="G381" s="14">
        <f>IF(OR(B381="",D381=""),"",IFERROR(IF(INDEX(Protocolo!$D$5:$D$54,MATCH(B381,Protocolo!$A$5:$A$54,0))="meses",EDATE(D381,INDEX(Protocolo!$C$5:$C$54,MATCH(B381,Protocolo!$A$5:$A$54,0))),D381+INDEX(Protocolo!$C$5:$C$54,MATCH(B381,Protocolo!$A$5:$A$54,0))*IF(INDEX(Protocolo!$D$5:$D$54,MATCH(B381,Protocolo!$A$5:$A$54,0))="semanas",7,1)),""))</f>
      </c>
      <c r="H381" s="15">
        <f>IF(G381="","",G381-TODAY())</f>
      </c>
      <c r="I381" s="12">
        <f>IF(OR(A381="",B381="",D381=""),"",IF(D381=SUMPRODUCT(MAX(($A$5:$A$504=A381)*($B$5:$B$504=B381)*$D$5:$D$504)),"Sí","Reemplazada"))</f>
      </c>
      <c r="J381" s="12">
        <f>IF(I381="","",IF(I381="Reemplazada","Reemplazada",IF(H381="","Sin fecha",IF(H381&lt;0,"Vencida",IF(H381&lt;=IFERROR(IF(INDEX(Protocolo!$E$5:$E$54,MATCH(B381,Protocolo!$A$5:$A$54,0))="",30,INDEX(Protocolo!$E$5:$E$54,MATCH(B381,Protocolo!$A$5:$A$54,0))),30),"Por vencer","Vigente")))))</f>
      </c>
      <c r="K381" s="10"/>
    </row>
    <row r="382" spans="1:11" x14ac:dyDescent="0.25">
      <c r="A382" s="10"/>
      <c r="B382" s="10"/>
      <c r="C382" s="12">
        <f>IF(B382="","",IFERROR(INDEX(Protocolo!$B$5:$B$54,MATCH(B382,Protocolo!$A$5:$A$54,0)),""))</f>
      </c>
      <c r="D382" s="16"/>
      <c r="E382" s="10"/>
      <c r="F382" s="10"/>
      <c r="G382" s="14">
        <f>IF(OR(B382="",D382=""),"",IFERROR(IF(INDEX(Protocolo!$D$5:$D$54,MATCH(B382,Protocolo!$A$5:$A$54,0))="meses",EDATE(D382,INDEX(Protocolo!$C$5:$C$54,MATCH(B382,Protocolo!$A$5:$A$54,0))),D382+INDEX(Protocolo!$C$5:$C$54,MATCH(B382,Protocolo!$A$5:$A$54,0))*IF(INDEX(Protocolo!$D$5:$D$54,MATCH(B382,Protocolo!$A$5:$A$54,0))="semanas",7,1)),""))</f>
      </c>
      <c r="H382" s="15">
        <f>IF(G382="","",G382-TODAY())</f>
      </c>
      <c r="I382" s="12">
        <f>IF(OR(A382="",B382="",D382=""),"",IF(D382=SUMPRODUCT(MAX(($A$5:$A$504=A382)*($B$5:$B$504=B382)*$D$5:$D$504)),"Sí","Reemplazada"))</f>
      </c>
      <c r="J382" s="12">
        <f>IF(I382="","",IF(I382="Reemplazada","Reemplazada",IF(H382="","Sin fecha",IF(H382&lt;0,"Vencida",IF(H382&lt;=IFERROR(IF(INDEX(Protocolo!$E$5:$E$54,MATCH(B382,Protocolo!$A$5:$A$54,0))="",30,INDEX(Protocolo!$E$5:$E$54,MATCH(B382,Protocolo!$A$5:$A$54,0))),30),"Por vencer","Vigente")))))</f>
      </c>
      <c r="K382" s="10"/>
    </row>
    <row r="383" spans="1:11" x14ac:dyDescent="0.25">
      <c r="A383" s="10"/>
      <c r="B383" s="10"/>
      <c r="C383" s="12">
        <f>IF(B383="","",IFERROR(INDEX(Protocolo!$B$5:$B$54,MATCH(B383,Protocolo!$A$5:$A$54,0)),""))</f>
      </c>
      <c r="D383" s="16"/>
      <c r="E383" s="10"/>
      <c r="F383" s="10"/>
      <c r="G383" s="14">
        <f>IF(OR(B383="",D383=""),"",IFERROR(IF(INDEX(Protocolo!$D$5:$D$54,MATCH(B383,Protocolo!$A$5:$A$54,0))="meses",EDATE(D383,INDEX(Protocolo!$C$5:$C$54,MATCH(B383,Protocolo!$A$5:$A$54,0))),D383+INDEX(Protocolo!$C$5:$C$54,MATCH(B383,Protocolo!$A$5:$A$54,0))*IF(INDEX(Protocolo!$D$5:$D$54,MATCH(B383,Protocolo!$A$5:$A$54,0))="semanas",7,1)),""))</f>
      </c>
      <c r="H383" s="15">
        <f>IF(G383="","",G383-TODAY())</f>
      </c>
      <c r="I383" s="12">
        <f>IF(OR(A383="",B383="",D383=""),"",IF(D383=SUMPRODUCT(MAX(($A$5:$A$504=A383)*($B$5:$B$504=B383)*$D$5:$D$504)),"Sí","Reemplazada"))</f>
      </c>
      <c r="J383" s="12">
        <f>IF(I383="","",IF(I383="Reemplazada","Reemplazada",IF(H383="","Sin fecha",IF(H383&lt;0,"Vencida",IF(H383&lt;=IFERROR(IF(INDEX(Protocolo!$E$5:$E$54,MATCH(B383,Protocolo!$A$5:$A$54,0))="",30,INDEX(Protocolo!$E$5:$E$54,MATCH(B383,Protocolo!$A$5:$A$54,0))),30),"Por vencer","Vigente")))))</f>
      </c>
      <c r="K383" s="10"/>
    </row>
    <row r="384" spans="1:11" x14ac:dyDescent="0.25">
      <c r="A384" s="10"/>
      <c r="B384" s="10"/>
      <c r="C384" s="12">
        <f>IF(B384="","",IFERROR(INDEX(Protocolo!$B$5:$B$54,MATCH(B384,Protocolo!$A$5:$A$54,0)),""))</f>
      </c>
      <c r="D384" s="16"/>
      <c r="E384" s="10"/>
      <c r="F384" s="10"/>
      <c r="G384" s="14">
        <f>IF(OR(B384="",D384=""),"",IFERROR(IF(INDEX(Protocolo!$D$5:$D$54,MATCH(B384,Protocolo!$A$5:$A$54,0))="meses",EDATE(D384,INDEX(Protocolo!$C$5:$C$54,MATCH(B384,Protocolo!$A$5:$A$54,0))),D384+INDEX(Protocolo!$C$5:$C$54,MATCH(B384,Protocolo!$A$5:$A$54,0))*IF(INDEX(Protocolo!$D$5:$D$54,MATCH(B384,Protocolo!$A$5:$A$54,0))="semanas",7,1)),""))</f>
      </c>
      <c r="H384" s="15">
        <f>IF(G384="","",G384-TODAY())</f>
      </c>
      <c r="I384" s="12">
        <f>IF(OR(A384="",B384="",D384=""),"",IF(D384=SUMPRODUCT(MAX(($A$5:$A$504=A384)*($B$5:$B$504=B384)*$D$5:$D$504)),"Sí","Reemplazada"))</f>
      </c>
      <c r="J384" s="12">
        <f>IF(I384="","",IF(I384="Reemplazada","Reemplazada",IF(H384="","Sin fecha",IF(H384&lt;0,"Vencida",IF(H384&lt;=IFERROR(IF(INDEX(Protocolo!$E$5:$E$54,MATCH(B384,Protocolo!$A$5:$A$54,0))="",30,INDEX(Protocolo!$E$5:$E$54,MATCH(B384,Protocolo!$A$5:$A$54,0))),30),"Por vencer","Vigente")))))</f>
      </c>
      <c r="K384" s="10"/>
    </row>
    <row r="385" spans="1:11" x14ac:dyDescent="0.25">
      <c r="A385" s="10"/>
      <c r="B385" s="10"/>
      <c r="C385" s="12">
        <f>IF(B385="","",IFERROR(INDEX(Protocolo!$B$5:$B$54,MATCH(B385,Protocolo!$A$5:$A$54,0)),""))</f>
      </c>
      <c r="D385" s="16"/>
      <c r="E385" s="10"/>
      <c r="F385" s="10"/>
      <c r="G385" s="14">
        <f>IF(OR(B385="",D385=""),"",IFERROR(IF(INDEX(Protocolo!$D$5:$D$54,MATCH(B385,Protocolo!$A$5:$A$54,0))="meses",EDATE(D385,INDEX(Protocolo!$C$5:$C$54,MATCH(B385,Protocolo!$A$5:$A$54,0))),D385+INDEX(Protocolo!$C$5:$C$54,MATCH(B385,Protocolo!$A$5:$A$54,0))*IF(INDEX(Protocolo!$D$5:$D$54,MATCH(B385,Protocolo!$A$5:$A$54,0))="semanas",7,1)),""))</f>
      </c>
      <c r="H385" s="15">
        <f>IF(G385="","",G385-TODAY())</f>
      </c>
      <c r="I385" s="12">
        <f>IF(OR(A385="",B385="",D385=""),"",IF(D385=SUMPRODUCT(MAX(($A$5:$A$504=A385)*($B$5:$B$504=B385)*$D$5:$D$504)),"Sí","Reemplazada"))</f>
      </c>
      <c r="J385" s="12">
        <f>IF(I385="","",IF(I385="Reemplazada","Reemplazada",IF(H385="","Sin fecha",IF(H385&lt;0,"Vencida",IF(H385&lt;=IFERROR(IF(INDEX(Protocolo!$E$5:$E$54,MATCH(B385,Protocolo!$A$5:$A$54,0))="",30,INDEX(Protocolo!$E$5:$E$54,MATCH(B385,Protocolo!$A$5:$A$54,0))),30),"Por vencer","Vigente")))))</f>
      </c>
      <c r="K385" s="10"/>
    </row>
    <row r="386" spans="1:11" x14ac:dyDescent="0.25">
      <c r="A386" s="10"/>
      <c r="B386" s="10"/>
      <c r="C386" s="12">
        <f>IF(B386="","",IFERROR(INDEX(Protocolo!$B$5:$B$54,MATCH(B386,Protocolo!$A$5:$A$54,0)),""))</f>
      </c>
      <c r="D386" s="16"/>
      <c r="E386" s="10"/>
      <c r="F386" s="10"/>
      <c r="G386" s="14">
        <f>IF(OR(B386="",D386=""),"",IFERROR(IF(INDEX(Protocolo!$D$5:$D$54,MATCH(B386,Protocolo!$A$5:$A$54,0))="meses",EDATE(D386,INDEX(Protocolo!$C$5:$C$54,MATCH(B386,Protocolo!$A$5:$A$54,0))),D386+INDEX(Protocolo!$C$5:$C$54,MATCH(B386,Protocolo!$A$5:$A$54,0))*IF(INDEX(Protocolo!$D$5:$D$54,MATCH(B386,Protocolo!$A$5:$A$54,0))="semanas",7,1)),""))</f>
      </c>
      <c r="H386" s="15">
        <f>IF(G386="","",G386-TODAY())</f>
      </c>
      <c r="I386" s="12">
        <f>IF(OR(A386="",B386="",D386=""),"",IF(D386=SUMPRODUCT(MAX(($A$5:$A$504=A386)*($B$5:$B$504=B386)*$D$5:$D$504)),"Sí","Reemplazada"))</f>
      </c>
      <c r="J386" s="12">
        <f>IF(I386="","",IF(I386="Reemplazada","Reemplazada",IF(H386="","Sin fecha",IF(H386&lt;0,"Vencida",IF(H386&lt;=IFERROR(IF(INDEX(Protocolo!$E$5:$E$54,MATCH(B386,Protocolo!$A$5:$A$54,0))="",30,INDEX(Protocolo!$E$5:$E$54,MATCH(B386,Protocolo!$A$5:$A$54,0))),30),"Por vencer","Vigente")))))</f>
      </c>
      <c r="K386" s="10"/>
    </row>
    <row r="387" spans="1:11" x14ac:dyDescent="0.25">
      <c r="A387" s="10"/>
      <c r="B387" s="10"/>
      <c r="C387" s="12">
        <f>IF(B387="","",IFERROR(INDEX(Protocolo!$B$5:$B$54,MATCH(B387,Protocolo!$A$5:$A$54,0)),""))</f>
      </c>
      <c r="D387" s="16"/>
      <c r="E387" s="10"/>
      <c r="F387" s="10"/>
      <c r="G387" s="14">
        <f>IF(OR(B387="",D387=""),"",IFERROR(IF(INDEX(Protocolo!$D$5:$D$54,MATCH(B387,Protocolo!$A$5:$A$54,0))="meses",EDATE(D387,INDEX(Protocolo!$C$5:$C$54,MATCH(B387,Protocolo!$A$5:$A$54,0))),D387+INDEX(Protocolo!$C$5:$C$54,MATCH(B387,Protocolo!$A$5:$A$54,0))*IF(INDEX(Protocolo!$D$5:$D$54,MATCH(B387,Protocolo!$A$5:$A$54,0))="semanas",7,1)),""))</f>
      </c>
      <c r="H387" s="15">
        <f>IF(G387="","",G387-TODAY())</f>
      </c>
      <c r="I387" s="12">
        <f>IF(OR(A387="",B387="",D387=""),"",IF(D387=SUMPRODUCT(MAX(($A$5:$A$504=A387)*($B$5:$B$504=B387)*$D$5:$D$504)),"Sí","Reemplazada"))</f>
      </c>
      <c r="J387" s="12">
        <f>IF(I387="","",IF(I387="Reemplazada","Reemplazada",IF(H387="","Sin fecha",IF(H387&lt;0,"Vencida",IF(H387&lt;=IFERROR(IF(INDEX(Protocolo!$E$5:$E$54,MATCH(B387,Protocolo!$A$5:$A$54,0))="",30,INDEX(Protocolo!$E$5:$E$54,MATCH(B387,Protocolo!$A$5:$A$54,0))),30),"Por vencer","Vigente")))))</f>
      </c>
      <c r="K387" s="10"/>
    </row>
    <row r="388" spans="1:11" x14ac:dyDescent="0.25">
      <c r="A388" s="10"/>
      <c r="B388" s="10"/>
      <c r="C388" s="12">
        <f>IF(B388="","",IFERROR(INDEX(Protocolo!$B$5:$B$54,MATCH(B388,Protocolo!$A$5:$A$54,0)),""))</f>
      </c>
      <c r="D388" s="16"/>
      <c r="E388" s="10"/>
      <c r="F388" s="10"/>
      <c r="G388" s="14">
        <f>IF(OR(B388="",D388=""),"",IFERROR(IF(INDEX(Protocolo!$D$5:$D$54,MATCH(B388,Protocolo!$A$5:$A$54,0))="meses",EDATE(D388,INDEX(Protocolo!$C$5:$C$54,MATCH(B388,Protocolo!$A$5:$A$54,0))),D388+INDEX(Protocolo!$C$5:$C$54,MATCH(B388,Protocolo!$A$5:$A$54,0))*IF(INDEX(Protocolo!$D$5:$D$54,MATCH(B388,Protocolo!$A$5:$A$54,0))="semanas",7,1)),""))</f>
      </c>
      <c r="H388" s="15">
        <f>IF(G388="","",G388-TODAY())</f>
      </c>
      <c r="I388" s="12">
        <f>IF(OR(A388="",B388="",D388=""),"",IF(D388=SUMPRODUCT(MAX(($A$5:$A$504=A388)*($B$5:$B$504=B388)*$D$5:$D$504)),"Sí","Reemplazada"))</f>
      </c>
      <c r="J388" s="12">
        <f>IF(I388="","",IF(I388="Reemplazada","Reemplazada",IF(H388="","Sin fecha",IF(H388&lt;0,"Vencida",IF(H388&lt;=IFERROR(IF(INDEX(Protocolo!$E$5:$E$54,MATCH(B388,Protocolo!$A$5:$A$54,0))="",30,INDEX(Protocolo!$E$5:$E$54,MATCH(B388,Protocolo!$A$5:$A$54,0))),30),"Por vencer","Vigente")))))</f>
      </c>
      <c r="K388" s="10"/>
    </row>
    <row r="389" spans="1:11" x14ac:dyDescent="0.25">
      <c r="A389" s="10"/>
      <c r="B389" s="10"/>
      <c r="C389" s="12">
        <f>IF(B389="","",IFERROR(INDEX(Protocolo!$B$5:$B$54,MATCH(B389,Protocolo!$A$5:$A$54,0)),""))</f>
      </c>
      <c r="D389" s="16"/>
      <c r="E389" s="10"/>
      <c r="F389" s="10"/>
      <c r="G389" s="14">
        <f>IF(OR(B389="",D389=""),"",IFERROR(IF(INDEX(Protocolo!$D$5:$D$54,MATCH(B389,Protocolo!$A$5:$A$54,0))="meses",EDATE(D389,INDEX(Protocolo!$C$5:$C$54,MATCH(B389,Protocolo!$A$5:$A$54,0))),D389+INDEX(Protocolo!$C$5:$C$54,MATCH(B389,Protocolo!$A$5:$A$54,0))*IF(INDEX(Protocolo!$D$5:$D$54,MATCH(B389,Protocolo!$A$5:$A$54,0))="semanas",7,1)),""))</f>
      </c>
      <c r="H389" s="15">
        <f>IF(G389="","",G389-TODAY())</f>
      </c>
      <c r="I389" s="12">
        <f>IF(OR(A389="",B389="",D389=""),"",IF(D389=SUMPRODUCT(MAX(($A$5:$A$504=A389)*($B$5:$B$504=B389)*$D$5:$D$504)),"Sí","Reemplazada"))</f>
      </c>
      <c r="J389" s="12">
        <f>IF(I389="","",IF(I389="Reemplazada","Reemplazada",IF(H389="","Sin fecha",IF(H389&lt;0,"Vencida",IF(H389&lt;=IFERROR(IF(INDEX(Protocolo!$E$5:$E$54,MATCH(B389,Protocolo!$A$5:$A$54,0))="",30,INDEX(Protocolo!$E$5:$E$54,MATCH(B389,Protocolo!$A$5:$A$54,0))),30),"Por vencer","Vigente")))))</f>
      </c>
      <c r="K389" s="10"/>
    </row>
    <row r="390" spans="1:11" x14ac:dyDescent="0.25">
      <c r="A390" s="10"/>
      <c r="B390" s="10"/>
      <c r="C390" s="12">
        <f>IF(B390="","",IFERROR(INDEX(Protocolo!$B$5:$B$54,MATCH(B390,Protocolo!$A$5:$A$54,0)),""))</f>
      </c>
      <c r="D390" s="16"/>
      <c r="E390" s="10"/>
      <c r="F390" s="10"/>
      <c r="G390" s="14">
        <f>IF(OR(B390="",D390=""),"",IFERROR(IF(INDEX(Protocolo!$D$5:$D$54,MATCH(B390,Protocolo!$A$5:$A$54,0))="meses",EDATE(D390,INDEX(Protocolo!$C$5:$C$54,MATCH(B390,Protocolo!$A$5:$A$54,0))),D390+INDEX(Protocolo!$C$5:$C$54,MATCH(B390,Protocolo!$A$5:$A$54,0))*IF(INDEX(Protocolo!$D$5:$D$54,MATCH(B390,Protocolo!$A$5:$A$54,0))="semanas",7,1)),""))</f>
      </c>
      <c r="H390" s="15">
        <f>IF(G390="","",G390-TODAY())</f>
      </c>
      <c r="I390" s="12">
        <f>IF(OR(A390="",B390="",D390=""),"",IF(D390=SUMPRODUCT(MAX(($A$5:$A$504=A390)*($B$5:$B$504=B390)*$D$5:$D$504)),"Sí","Reemplazada"))</f>
      </c>
      <c r="J390" s="12">
        <f>IF(I390="","",IF(I390="Reemplazada","Reemplazada",IF(H390="","Sin fecha",IF(H390&lt;0,"Vencida",IF(H390&lt;=IFERROR(IF(INDEX(Protocolo!$E$5:$E$54,MATCH(B390,Protocolo!$A$5:$A$54,0))="",30,INDEX(Protocolo!$E$5:$E$54,MATCH(B390,Protocolo!$A$5:$A$54,0))),30),"Por vencer","Vigente")))))</f>
      </c>
      <c r="K390" s="10"/>
    </row>
    <row r="391" spans="1:11" x14ac:dyDescent="0.25">
      <c r="A391" s="10"/>
      <c r="B391" s="10"/>
      <c r="C391" s="12">
        <f>IF(B391="","",IFERROR(INDEX(Protocolo!$B$5:$B$54,MATCH(B391,Protocolo!$A$5:$A$54,0)),""))</f>
      </c>
      <c r="D391" s="16"/>
      <c r="E391" s="10"/>
      <c r="F391" s="10"/>
      <c r="G391" s="14">
        <f>IF(OR(B391="",D391=""),"",IFERROR(IF(INDEX(Protocolo!$D$5:$D$54,MATCH(B391,Protocolo!$A$5:$A$54,0))="meses",EDATE(D391,INDEX(Protocolo!$C$5:$C$54,MATCH(B391,Protocolo!$A$5:$A$54,0))),D391+INDEX(Protocolo!$C$5:$C$54,MATCH(B391,Protocolo!$A$5:$A$54,0))*IF(INDEX(Protocolo!$D$5:$D$54,MATCH(B391,Protocolo!$A$5:$A$54,0))="semanas",7,1)),""))</f>
      </c>
      <c r="H391" s="15">
        <f>IF(G391="","",G391-TODAY())</f>
      </c>
      <c r="I391" s="12">
        <f>IF(OR(A391="",B391="",D391=""),"",IF(D391=SUMPRODUCT(MAX(($A$5:$A$504=A391)*($B$5:$B$504=B391)*$D$5:$D$504)),"Sí","Reemplazada"))</f>
      </c>
      <c r="J391" s="12">
        <f>IF(I391="","",IF(I391="Reemplazada","Reemplazada",IF(H391="","Sin fecha",IF(H391&lt;0,"Vencida",IF(H391&lt;=IFERROR(IF(INDEX(Protocolo!$E$5:$E$54,MATCH(B391,Protocolo!$A$5:$A$54,0))="",30,INDEX(Protocolo!$E$5:$E$54,MATCH(B391,Protocolo!$A$5:$A$54,0))),30),"Por vencer","Vigente")))))</f>
      </c>
      <c r="K391" s="10"/>
    </row>
    <row r="392" spans="1:11" x14ac:dyDescent="0.25">
      <c r="A392" s="10"/>
      <c r="B392" s="10"/>
      <c r="C392" s="12">
        <f>IF(B392="","",IFERROR(INDEX(Protocolo!$B$5:$B$54,MATCH(B392,Protocolo!$A$5:$A$54,0)),""))</f>
      </c>
      <c r="D392" s="16"/>
      <c r="E392" s="10"/>
      <c r="F392" s="10"/>
      <c r="G392" s="14">
        <f>IF(OR(B392="",D392=""),"",IFERROR(IF(INDEX(Protocolo!$D$5:$D$54,MATCH(B392,Protocolo!$A$5:$A$54,0))="meses",EDATE(D392,INDEX(Protocolo!$C$5:$C$54,MATCH(B392,Protocolo!$A$5:$A$54,0))),D392+INDEX(Protocolo!$C$5:$C$54,MATCH(B392,Protocolo!$A$5:$A$54,0))*IF(INDEX(Protocolo!$D$5:$D$54,MATCH(B392,Protocolo!$A$5:$A$54,0))="semanas",7,1)),""))</f>
      </c>
      <c r="H392" s="15">
        <f>IF(G392="","",G392-TODAY())</f>
      </c>
      <c r="I392" s="12">
        <f>IF(OR(A392="",B392="",D392=""),"",IF(D392=SUMPRODUCT(MAX(($A$5:$A$504=A392)*($B$5:$B$504=B392)*$D$5:$D$504)),"Sí","Reemplazada"))</f>
      </c>
      <c r="J392" s="12">
        <f>IF(I392="","",IF(I392="Reemplazada","Reemplazada",IF(H392="","Sin fecha",IF(H392&lt;0,"Vencida",IF(H392&lt;=IFERROR(IF(INDEX(Protocolo!$E$5:$E$54,MATCH(B392,Protocolo!$A$5:$A$54,0))="",30,INDEX(Protocolo!$E$5:$E$54,MATCH(B392,Protocolo!$A$5:$A$54,0))),30),"Por vencer","Vigente")))))</f>
      </c>
      <c r="K392" s="10"/>
    </row>
    <row r="393" spans="1:11" x14ac:dyDescent="0.25">
      <c r="A393" s="10"/>
      <c r="B393" s="10"/>
      <c r="C393" s="12">
        <f>IF(B393="","",IFERROR(INDEX(Protocolo!$B$5:$B$54,MATCH(B393,Protocolo!$A$5:$A$54,0)),""))</f>
      </c>
      <c r="D393" s="16"/>
      <c r="E393" s="10"/>
      <c r="F393" s="10"/>
      <c r="G393" s="14">
        <f>IF(OR(B393="",D393=""),"",IFERROR(IF(INDEX(Protocolo!$D$5:$D$54,MATCH(B393,Protocolo!$A$5:$A$54,0))="meses",EDATE(D393,INDEX(Protocolo!$C$5:$C$54,MATCH(B393,Protocolo!$A$5:$A$54,0))),D393+INDEX(Protocolo!$C$5:$C$54,MATCH(B393,Protocolo!$A$5:$A$54,0))*IF(INDEX(Protocolo!$D$5:$D$54,MATCH(B393,Protocolo!$A$5:$A$54,0))="semanas",7,1)),""))</f>
      </c>
      <c r="H393" s="15">
        <f>IF(G393="","",G393-TODAY())</f>
      </c>
      <c r="I393" s="12">
        <f>IF(OR(A393="",B393="",D393=""),"",IF(D393=SUMPRODUCT(MAX(($A$5:$A$504=A393)*($B$5:$B$504=B393)*$D$5:$D$504)),"Sí","Reemplazada"))</f>
      </c>
      <c r="J393" s="12">
        <f>IF(I393="","",IF(I393="Reemplazada","Reemplazada",IF(H393="","Sin fecha",IF(H393&lt;0,"Vencida",IF(H393&lt;=IFERROR(IF(INDEX(Protocolo!$E$5:$E$54,MATCH(B393,Protocolo!$A$5:$A$54,0))="",30,INDEX(Protocolo!$E$5:$E$54,MATCH(B393,Protocolo!$A$5:$A$54,0))),30),"Por vencer","Vigente")))))</f>
      </c>
      <c r="K393" s="10"/>
    </row>
    <row r="394" spans="1:11" x14ac:dyDescent="0.25">
      <c r="A394" s="10"/>
      <c r="B394" s="10"/>
      <c r="C394" s="12">
        <f>IF(B394="","",IFERROR(INDEX(Protocolo!$B$5:$B$54,MATCH(B394,Protocolo!$A$5:$A$54,0)),""))</f>
      </c>
      <c r="D394" s="16"/>
      <c r="E394" s="10"/>
      <c r="F394" s="10"/>
      <c r="G394" s="14">
        <f>IF(OR(B394="",D394=""),"",IFERROR(IF(INDEX(Protocolo!$D$5:$D$54,MATCH(B394,Protocolo!$A$5:$A$54,0))="meses",EDATE(D394,INDEX(Protocolo!$C$5:$C$54,MATCH(B394,Protocolo!$A$5:$A$54,0))),D394+INDEX(Protocolo!$C$5:$C$54,MATCH(B394,Protocolo!$A$5:$A$54,0))*IF(INDEX(Protocolo!$D$5:$D$54,MATCH(B394,Protocolo!$A$5:$A$54,0))="semanas",7,1)),""))</f>
      </c>
      <c r="H394" s="15">
        <f>IF(G394="","",G394-TODAY())</f>
      </c>
      <c r="I394" s="12">
        <f>IF(OR(A394="",B394="",D394=""),"",IF(D394=SUMPRODUCT(MAX(($A$5:$A$504=A394)*($B$5:$B$504=B394)*$D$5:$D$504)),"Sí","Reemplazada"))</f>
      </c>
      <c r="J394" s="12">
        <f>IF(I394="","",IF(I394="Reemplazada","Reemplazada",IF(H394="","Sin fecha",IF(H394&lt;0,"Vencida",IF(H394&lt;=IFERROR(IF(INDEX(Protocolo!$E$5:$E$54,MATCH(B394,Protocolo!$A$5:$A$54,0))="",30,INDEX(Protocolo!$E$5:$E$54,MATCH(B394,Protocolo!$A$5:$A$54,0))),30),"Por vencer","Vigente")))))</f>
      </c>
      <c r="K394" s="10"/>
    </row>
    <row r="395" spans="1:11" x14ac:dyDescent="0.25">
      <c r="A395" s="10"/>
      <c r="B395" s="10"/>
      <c r="C395" s="12">
        <f>IF(B395="","",IFERROR(INDEX(Protocolo!$B$5:$B$54,MATCH(B395,Protocolo!$A$5:$A$54,0)),""))</f>
      </c>
      <c r="D395" s="16"/>
      <c r="E395" s="10"/>
      <c r="F395" s="10"/>
      <c r="G395" s="14">
        <f>IF(OR(B395="",D395=""),"",IFERROR(IF(INDEX(Protocolo!$D$5:$D$54,MATCH(B395,Protocolo!$A$5:$A$54,0))="meses",EDATE(D395,INDEX(Protocolo!$C$5:$C$54,MATCH(B395,Protocolo!$A$5:$A$54,0))),D395+INDEX(Protocolo!$C$5:$C$54,MATCH(B395,Protocolo!$A$5:$A$54,0))*IF(INDEX(Protocolo!$D$5:$D$54,MATCH(B395,Protocolo!$A$5:$A$54,0))="semanas",7,1)),""))</f>
      </c>
      <c r="H395" s="15">
        <f>IF(G395="","",G395-TODAY())</f>
      </c>
      <c r="I395" s="12">
        <f>IF(OR(A395="",B395="",D395=""),"",IF(D395=SUMPRODUCT(MAX(($A$5:$A$504=A395)*($B$5:$B$504=B395)*$D$5:$D$504)),"Sí","Reemplazada"))</f>
      </c>
      <c r="J395" s="12">
        <f>IF(I395="","",IF(I395="Reemplazada","Reemplazada",IF(H395="","Sin fecha",IF(H395&lt;0,"Vencida",IF(H395&lt;=IFERROR(IF(INDEX(Protocolo!$E$5:$E$54,MATCH(B395,Protocolo!$A$5:$A$54,0))="",30,INDEX(Protocolo!$E$5:$E$54,MATCH(B395,Protocolo!$A$5:$A$54,0))),30),"Por vencer","Vigente")))))</f>
      </c>
      <c r="K395" s="10"/>
    </row>
    <row r="396" spans="1:11" x14ac:dyDescent="0.25">
      <c r="A396" s="10"/>
      <c r="B396" s="10"/>
      <c r="C396" s="12">
        <f>IF(B396="","",IFERROR(INDEX(Protocolo!$B$5:$B$54,MATCH(B396,Protocolo!$A$5:$A$54,0)),""))</f>
      </c>
      <c r="D396" s="16"/>
      <c r="E396" s="10"/>
      <c r="F396" s="10"/>
      <c r="G396" s="14">
        <f>IF(OR(B396="",D396=""),"",IFERROR(IF(INDEX(Protocolo!$D$5:$D$54,MATCH(B396,Protocolo!$A$5:$A$54,0))="meses",EDATE(D396,INDEX(Protocolo!$C$5:$C$54,MATCH(B396,Protocolo!$A$5:$A$54,0))),D396+INDEX(Protocolo!$C$5:$C$54,MATCH(B396,Protocolo!$A$5:$A$54,0))*IF(INDEX(Protocolo!$D$5:$D$54,MATCH(B396,Protocolo!$A$5:$A$54,0))="semanas",7,1)),""))</f>
      </c>
      <c r="H396" s="15">
        <f>IF(G396="","",G396-TODAY())</f>
      </c>
      <c r="I396" s="12">
        <f>IF(OR(A396="",B396="",D396=""),"",IF(D396=SUMPRODUCT(MAX(($A$5:$A$504=A396)*($B$5:$B$504=B396)*$D$5:$D$504)),"Sí","Reemplazada"))</f>
      </c>
      <c r="J396" s="12">
        <f>IF(I396="","",IF(I396="Reemplazada","Reemplazada",IF(H396="","Sin fecha",IF(H396&lt;0,"Vencida",IF(H396&lt;=IFERROR(IF(INDEX(Protocolo!$E$5:$E$54,MATCH(B396,Protocolo!$A$5:$A$54,0))="",30,INDEX(Protocolo!$E$5:$E$54,MATCH(B396,Protocolo!$A$5:$A$54,0))),30),"Por vencer","Vigente")))))</f>
      </c>
      <c r="K396" s="10"/>
    </row>
    <row r="397" spans="1:11" x14ac:dyDescent="0.25">
      <c r="A397" s="10"/>
      <c r="B397" s="10"/>
      <c r="C397" s="12">
        <f>IF(B397="","",IFERROR(INDEX(Protocolo!$B$5:$B$54,MATCH(B397,Protocolo!$A$5:$A$54,0)),""))</f>
      </c>
      <c r="D397" s="16"/>
      <c r="E397" s="10"/>
      <c r="F397" s="10"/>
      <c r="G397" s="14">
        <f>IF(OR(B397="",D397=""),"",IFERROR(IF(INDEX(Protocolo!$D$5:$D$54,MATCH(B397,Protocolo!$A$5:$A$54,0))="meses",EDATE(D397,INDEX(Protocolo!$C$5:$C$54,MATCH(B397,Protocolo!$A$5:$A$54,0))),D397+INDEX(Protocolo!$C$5:$C$54,MATCH(B397,Protocolo!$A$5:$A$54,0))*IF(INDEX(Protocolo!$D$5:$D$54,MATCH(B397,Protocolo!$A$5:$A$54,0))="semanas",7,1)),""))</f>
      </c>
      <c r="H397" s="15">
        <f>IF(G397="","",G397-TODAY())</f>
      </c>
      <c r="I397" s="12">
        <f>IF(OR(A397="",B397="",D397=""),"",IF(D397=SUMPRODUCT(MAX(($A$5:$A$504=A397)*($B$5:$B$504=B397)*$D$5:$D$504)),"Sí","Reemplazada"))</f>
      </c>
      <c r="J397" s="12">
        <f>IF(I397="","",IF(I397="Reemplazada","Reemplazada",IF(H397="","Sin fecha",IF(H397&lt;0,"Vencida",IF(H397&lt;=IFERROR(IF(INDEX(Protocolo!$E$5:$E$54,MATCH(B397,Protocolo!$A$5:$A$54,0))="",30,INDEX(Protocolo!$E$5:$E$54,MATCH(B397,Protocolo!$A$5:$A$54,0))),30),"Por vencer","Vigente")))))</f>
      </c>
      <c r="K397" s="10"/>
    </row>
    <row r="398" spans="1:11" x14ac:dyDescent="0.25">
      <c r="A398" s="10"/>
      <c r="B398" s="10"/>
      <c r="C398" s="12">
        <f>IF(B398="","",IFERROR(INDEX(Protocolo!$B$5:$B$54,MATCH(B398,Protocolo!$A$5:$A$54,0)),""))</f>
      </c>
      <c r="D398" s="16"/>
      <c r="E398" s="10"/>
      <c r="F398" s="10"/>
      <c r="G398" s="14">
        <f>IF(OR(B398="",D398=""),"",IFERROR(IF(INDEX(Protocolo!$D$5:$D$54,MATCH(B398,Protocolo!$A$5:$A$54,0))="meses",EDATE(D398,INDEX(Protocolo!$C$5:$C$54,MATCH(B398,Protocolo!$A$5:$A$54,0))),D398+INDEX(Protocolo!$C$5:$C$54,MATCH(B398,Protocolo!$A$5:$A$54,0))*IF(INDEX(Protocolo!$D$5:$D$54,MATCH(B398,Protocolo!$A$5:$A$54,0))="semanas",7,1)),""))</f>
      </c>
      <c r="H398" s="15">
        <f>IF(G398="","",G398-TODAY())</f>
      </c>
      <c r="I398" s="12">
        <f>IF(OR(A398="",B398="",D398=""),"",IF(D398=SUMPRODUCT(MAX(($A$5:$A$504=A398)*($B$5:$B$504=B398)*$D$5:$D$504)),"Sí","Reemplazada"))</f>
      </c>
      <c r="J398" s="12">
        <f>IF(I398="","",IF(I398="Reemplazada","Reemplazada",IF(H398="","Sin fecha",IF(H398&lt;0,"Vencida",IF(H398&lt;=IFERROR(IF(INDEX(Protocolo!$E$5:$E$54,MATCH(B398,Protocolo!$A$5:$A$54,0))="",30,INDEX(Protocolo!$E$5:$E$54,MATCH(B398,Protocolo!$A$5:$A$54,0))),30),"Por vencer","Vigente")))))</f>
      </c>
      <c r="K398" s="10"/>
    </row>
    <row r="399" spans="1:11" x14ac:dyDescent="0.25">
      <c r="A399" s="10"/>
      <c r="B399" s="10"/>
      <c r="C399" s="12">
        <f>IF(B399="","",IFERROR(INDEX(Protocolo!$B$5:$B$54,MATCH(B399,Protocolo!$A$5:$A$54,0)),""))</f>
      </c>
      <c r="D399" s="16"/>
      <c r="E399" s="10"/>
      <c r="F399" s="10"/>
      <c r="G399" s="14">
        <f>IF(OR(B399="",D399=""),"",IFERROR(IF(INDEX(Protocolo!$D$5:$D$54,MATCH(B399,Protocolo!$A$5:$A$54,0))="meses",EDATE(D399,INDEX(Protocolo!$C$5:$C$54,MATCH(B399,Protocolo!$A$5:$A$54,0))),D399+INDEX(Protocolo!$C$5:$C$54,MATCH(B399,Protocolo!$A$5:$A$54,0))*IF(INDEX(Protocolo!$D$5:$D$54,MATCH(B399,Protocolo!$A$5:$A$54,0))="semanas",7,1)),""))</f>
      </c>
      <c r="H399" s="15">
        <f>IF(G399="","",G399-TODAY())</f>
      </c>
      <c r="I399" s="12">
        <f>IF(OR(A399="",B399="",D399=""),"",IF(D399=SUMPRODUCT(MAX(($A$5:$A$504=A399)*($B$5:$B$504=B399)*$D$5:$D$504)),"Sí","Reemplazada"))</f>
      </c>
      <c r="J399" s="12">
        <f>IF(I399="","",IF(I399="Reemplazada","Reemplazada",IF(H399="","Sin fecha",IF(H399&lt;0,"Vencida",IF(H399&lt;=IFERROR(IF(INDEX(Protocolo!$E$5:$E$54,MATCH(B399,Protocolo!$A$5:$A$54,0))="",30,INDEX(Protocolo!$E$5:$E$54,MATCH(B399,Protocolo!$A$5:$A$54,0))),30),"Por vencer","Vigente")))))</f>
      </c>
      <c r="K399" s="10"/>
    </row>
    <row r="400" spans="1:11" x14ac:dyDescent="0.25">
      <c r="A400" s="10"/>
      <c r="B400" s="10"/>
      <c r="C400" s="12">
        <f>IF(B400="","",IFERROR(INDEX(Protocolo!$B$5:$B$54,MATCH(B400,Protocolo!$A$5:$A$54,0)),""))</f>
      </c>
      <c r="D400" s="16"/>
      <c r="E400" s="10"/>
      <c r="F400" s="10"/>
      <c r="G400" s="14">
        <f>IF(OR(B400="",D400=""),"",IFERROR(IF(INDEX(Protocolo!$D$5:$D$54,MATCH(B400,Protocolo!$A$5:$A$54,0))="meses",EDATE(D400,INDEX(Protocolo!$C$5:$C$54,MATCH(B400,Protocolo!$A$5:$A$54,0))),D400+INDEX(Protocolo!$C$5:$C$54,MATCH(B400,Protocolo!$A$5:$A$54,0))*IF(INDEX(Protocolo!$D$5:$D$54,MATCH(B400,Protocolo!$A$5:$A$54,0))="semanas",7,1)),""))</f>
      </c>
      <c r="H400" s="15">
        <f>IF(G400="","",G400-TODAY())</f>
      </c>
      <c r="I400" s="12">
        <f>IF(OR(A400="",B400="",D400=""),"",IF(D400=SUMPRODUCT(MAX(($A$5:$A$504=A400)*($B$5:$B$504=B400)*$D$5:$D$504)),"Sí","Reemplazada"))</f>
      </c>
      <c r="J400" s="12">
        <f>IF(I400="","",IF(I400="Reemplazada","Reemplazada",IF(H400="","Sin fecha",IF(H400&lt;0,"Vencida",IF(H400&lt;=IFERROR(IF(INDEX(Protocolo!$E$5:$E$54,MATCH(B400,Protocolo!$A$5:$A$54,0))="",30,INDEX(Protocolo!$E$5:$E$54,MATCH(B400,Protocolo!$A$5:$A$54,0))),30),"Por vencer","Vigente")))))</f>
      </c>
      <c r="K400" s="10"/>
    </row>
    <row r="401" spans="1:11" x14ac:dyDescent="0.25">
      <c r="A401" s="10"/>
      <c r="B401" s="10"/>
      <c r="C401" s="12">
        <f>IF(B401="","",IFERROR(INDEX(Protocolo!$B$5:$B$54,MATCH(B401,Protocolo!$A$5:$A$54,0)),""))</f>
      </c>
      <c r="D401" s="16"/>
      <c r="E401" s="10"/>
      <c r="F401" s="10"/>
      <c r="G401" s="14">
        <f>IF(OR(B401="",D401=""),"",IFERROR(IF(INDEX(Protocolo!$D$5:$D$54,MATCH(B401,Protocolo!$A$5:$A$54,0))="meses",EDATE(D401,INDEX(Protocolo!$C$5:$C$54,MATCH(B401,Protocolo!$A$5:$A$54,0))),D401+INDEX(Protocolo!$C$5:$C$54,MATCH(B401,Protocolo!$A$5:$A$54,0))*IF(INDEX(Protocolo!$D$5:$D$54,MATCH(B401,Protocolo!$A$5:$A$54,0))="semanas",7,1)),""))</f>
      </c>
      <c r="H401" s="15">
        <f>IF(G401="","",G401-TODAY())</f>
      </c>
      <c r="I401" s="12">
        <f>IF(OR(A401="",B401="",D401=""),"",IF(D401=SUMPRODUCT(MAX(($A$5:$A$504=A401)*($B$5:$B$504=B401)*$D$5:$D$504)),"Sí","Reemplazada"))</f>
      </c>
      <c r="J401" s="12">
        <f>IF(I401="","",IF(I401="Reemplazada","Reemplazada",IF(H401="","Sin fecha",IF(H401&lt;0,"Vencida",IF(H401&lt;=IFERROR(IF(INDEX(Protocolo!$E$5:$E$54,MATCH(B401,Protocolo!$A$5:$A$54,0))="",30,INDEX(Protocolo!$E$5:$E$54,MATCH(B401,Protocolo!$A$5:$A$54,0))),30),"Por vencer","Vigente")))))</f>
      </c>
      <c r="K401" s="10"/>
    </row>
    <row r="402" spans="1:11" x14ac:dyDescent="0.25">
      <c r="A402" s="10"/>
      <c r="B402" s="10"/>
      <c r="C402" s="12">
        <f>IF(B402="","",IFERROR(INDEX(Protocolo!$B$5:$B$54,MATCH(B402,Protocolo!$A$5:$A$54,0)),""))</f>
      </c>
      <c r="D402" s="16"/>
      <c r="E402" s="10"/>
      <c r="F402" s="10"/>
      <c r="G402" s="14">
        <f>IF(OR(B402="",D402=""),"",IFERROR(IF(INDEX(Protocolo!$D$5:$D$54,MATCH(B402,Protocolo!$A$5:$A$54,0))="meses",EDATE(D402,INDEX(Protocolo!$C$5:$C$54,MATCH(B402,Protocolo!$A$5:$A$54,0))),D402+INDEX(Protocolo!$C$5:$C$54,MATCH(B402,Protocolo!$A$5:$A$54,0))*IF(INDEX(Protocolo!$D$5:$D$54,MATCH(B402,Protocolo!$A$5:$A$54,0))="semanas",7,1)),""))</f>
      </c>
      <c r="H402" s="15">
        <f>IF(G402="","",G402-TODAY())</f>
      </c>
      <c r="I402" s="12">
        <f>IF(OR(A402="",B402="",D402=""),"",IF(D402=SUMPRODUCT(MAX(($A$5:$A$504=A402)*($B$5:$B$504=B402)*$D$5:$D$504)),"Sí","Reemplazada"))</f>
      </c>
      <c r="J402" s="12">
        <f>IF(I402="","",IF(I402="Reemplazada","Reemplazada",IF(H402="","Sin fecha",IF(H402&lt;0,"Vencida",IF(H402&lt;=IFERROR(IF(INDEX(Protocolo!$E$5:$E$54,MATCH(B402,Protocolo!$A$5:$A$54,0))="",30,INDEX(Protocolo!$E$5:$E$54,MATCH(B402,Protocolo!$A$5:$A$54,0))),30),"Por vencer","Vigente")))))</f>
      </c>
      <c r="K402" s="10"/>
    </row>
    <row r="403" spans="1:11" x14ac:dyDescent="0.25">
      <c r="A403" s="10"/>
      <c r="B403" s="10"/>
      <c r="C403" s="12">
        <f>IF(B403="","",IFERROR(INDEX(Protocolo!$B$5:$B$54,MATCH(B403,Protocolo!$A$5:$A$54,0)),""))</f>
      </c>
      <c r="D403" s="16"/>
      <c r="E403" s="10"/>
      <c r="F403" s="10"/>
      <c r="G403" s="14">
        <f>IF(OR(B403="",D403=""),"",IFERROR(IF(INDEX(Protocolo!$D$5:$D$54,MATCH(B403,Protocolo!$A$5:$A$54,0))="meses",EDATE(D403,INDEX(Protocolo!$C$5:$C$54,MATCH(B403,Protocolo!$A$5:$A$54,0))),D403+INDEX(Protocolo!$C$5:$C$54,MATCH(B403,Protocolo!$A$5:$A$54,0))*IF(INDEX(Protocolo!$D$5:$D$54,MATCH(B403,Protocolo!$A$5:$A$54,0))="semanas",7,1)),""))</f>
      </c>
      <c r="H403" s="15">
        <f>IF(G403="","",G403-TODAY())</f>
      </c>
      <c r="I403" s="12">
        <f>IF(OR(A403="",B403="",D403=""),"",IF(D403=SUMPRODUCT(MAX(($A$5:$A$504=A403)*($B$5:$B$504=B403)*$D$5:$D$504)),"Sí","Reemplazada"))</f>
      </c>
      <c r="J403" s="12">
        <f>IF(I403="","",IF(I403="Reemplazada","Reemplazada",IF(H403="","Sin fecha",IF(H403&lt;0,"Vencida",IF(H403&lt;=IFERROR(IF(INDEX(Protocolo!$E$5:$E$54,MATCH(B403,Protocolo!$A$5:$A$54,0))="",30,INDEX(Protocolo!$E$5:$E$54,MATCH(B403,Protocolo!$A$5:$A$54,0))),30),"Por vencer","Vigente")))))</f>
      </c>
      <c r="K403" s="10"/>
    </row>
    <row r="404" spans="1:11" x14ac:dyDescent="0.25">
      <c r="A404" s="10"/>
      <c r="B404" s="10"/>
      <c r="C404" s="12">
        <f>IF(B404="","",IFERROR(INDEX(Protocolo!$B$5:$B$54,MATCH(B404,Protocolo!$A$5:$A$54,0)),""))</f>
      </c>
      <c r="D404" s="16"/>
      <c r="E404" s="10"/>
      <c r="F404" s="10"/>
      <c r="G404" s="14">
        <f>IF(OR(B404="",D404=""),"",IFERROR(IF(INDEX(Protocolo!$D$5:$D$54,MATCH(B404,Protocolo!$A$5:$A$54,0))="meses",EDATE(D404,INDEX(Protocolo!$C$5:$C$54,MATCH(B404,Protocolo!$A$5:$A$54,0))),D404+INDEX(Protocolo!$C$5:$C$54,MATCH(B404,Protocolo!$A$5:$A$54,0))*IF(INDEX(Protocolo!$D$5:$D$54,MATCH(B404,Protocolo!$A$5:$A$54,0))="semanas",7,1)),""))</f>
      </c>
      <c r="H404" s="15">
        <f>IF(G404="","",G404-TODAY())</f>
      </c>
      <c r="I404" s="12">
        <f>IF(OR(A404="",B404="",D404=""),"",IF(D404=SUMPRODUCT(MAX(($A$5:$A$504=A404)*($B$5:$B$504=B404)*$D$5:$D$504)),"Sí","Reemplazada"))</f>
      </c>
      <c r="J404" s="12">
        <f>IF(I404="","",IF(I404="Reemplazada","Reemplazada",IF(H404="","Sin fecha",IF(H404&lt;0,"Vencida",IF(H404&lt;=IFERROR(IF(INDEX(Protocolo!$E$5:$E$54,MATCH(B404,Protocolo!$A$5:$A$54,0))="",30,INDEX(Protocolo!$E$5:$E$54,MATCH(B404,Protocolo!$A$5:$A$54,0))),30),"Por vencer","Vigente")))))</f>
      </c>
      <c r="K404" s="10"/>
    </row>
    <row r="405" spans="1:11" x14ac:dyDescent="0.25">
      <c r="A405" s="10"/>
      <c r="B405" s="10"/>
      <c r="C405" s="12">
        <f>IF(B405="","",IFERROR(INDEX(Protocolo!$B$5:$B$54,MATCH(B405,Protocolo!$A$5:$A$54,0)),""))</f>
      </c>
      <c r="D405" s="16"/>
      <c r="E405" s="10"/>
      <c r="F405" s="10"/>
      <c r="G405" s="14">
        <f>IF(OR(B405="",D405=""),"",IFERROR(IF(INDEX(Protocolo!$D$5:$D$54,MATCH(B405,Protocolo!$A$5:$A$54,0))="meses",EDATE(D405,INDEX(Protocolo!$C$5:$C$54,MATCH(B405,Protocolo!$A$5:$A$54,0))),D405+INDEX(Protocolo!$C$5:$C$54,MATCH(B405,Protocolo!$A$5:$A$54,0))*IF(INDEX(Protocolo!$D$5:$D$54,MATCH(B405,Protocolo!$A$5:$A$54,0))="semanas",7,1)),""))</f>
      </c>
      <c r="H405" s="15">
        <f>IF(G405="","",G405-TODAY())</f>
      </c>
      <c r="I405" s="12">
        <f>IF(OR(A405="",B405="",D405=""),"",IF(D405=SUMPRODUCT(MAX(($A$5:$A$504=A405)*($B$5:$B$504=B405)*$D$5:$D$504)),"Sí","Reemplazada"))</f>
      </c>
      <c r="J405" s="12">
        <f>IF(I405="","",IF(I405="Reemplazada","Reemplazada",IF(H405="","Sin fecha",IF(H405&lt;0,"Vencida",IF(H405&lt;=IFERROR(IF(INDEX(Protocolo!$E$5:$E$54,MATCH(B405,Protocolo!$A$5:$A$54,0))="",30,INDEX(Protocolo!$E$5:$E$54,MATCH(B405,Protocolo!$A$5:$A$54,0))),30),"Por vencer","Vigente")))))</f>
      </c>
      <c r="K405" s="10"/>
    </row>
    <row r="406" spans="1:11" x14ac:dyDescent="0.25">
      <c r="A406" s="10"/>
      <c r="B406" s="10"/>
      <c r="C406" s="12">
        <f>IF(B406="","",IFERROR(INDEX(Protocolo!$B$5:$B$54,MATCH(B406,Protocolo!$A$5:$A$54,0)),""))</f>
      </c>
      <c r="D406" s="16"/>
      <c r="E406" s="10"/>
      <c r="F406" s="10"/>
      <c r="G406" s="14">
        <f>IF(OR(B406="",D406=""),"",IFERROR(IF(INDEX(Protocolo!$D$5:$D$54,MATCH(B406,Protocolo!$A$5:$A$54,0))="meses",EDATE(D406,INDEX(Protocolo!$C$5:$C$54,MATCH(B406,Protocolo!$A$5:$A$54,0))),D406+INDEX(Protocolo!$C$5:$C$54,MATCH(B406,Protocolo!$A$5:$A$54,0))*IF(INDEX(Protocolo!$D$5:$D$54,MATCH(B406,Protocolo!$A$5:$A$54,0))="semanas",7,1)),""))</f>
      </c>
      <c r="H406" s="15">
        <f>IF(G406="","",G406-TODAY())</f>
      </c>
      <c r="I406" s="12">
        <f>IF(OR(A406="",B406="",D406=""),"",IF(D406=SUMPRODUCT(MAX(($A$5:$A$504=A406)*($B$5:$B$504=B406)*$D$5:$D$504)),"Sí","Reemplazada"))</f>
      </c>
      <c r="J406" s="12">
        <f>IF(I406="","",IF(I406="Reemplazada","Reemplazada",IF(H406="","Sin fecha",IF(H406&lt;0,"Vencida",IF(H406&lt;=IFERROR(IF(INDEX(Protocolo!$E$5:$E$54,MATCH(B406,Protocolo!$A$5:$A$54,0))="",30,INDEX(Protocolo!$E$5:$E$54,MATCH(B406,Protocolo!$A$5:$A$54,0))),30),"Por vencer","Vigente")))))</f>
      </c>
      <c r="K406" s="10"/>
    </row>
    <row r="407" spans="1:11" x14ac:dyDescent="0.25">
      <c r="A407" s="10"/>
      <c r="B407" s="10"/>
      <c r="C407" s="12">
        <f>IF(B407="","",IFERROR(INDEX(Protocolo!$B$5:$B$54,MATCH(B407,Protocolo!$A$5:$A$54,0)),""))</f>
      </c>
      <c r="D407" s="16"/>
      <c r="E407" s="10"/>
      <c r="F407" s="10"/>
      <c r="G407" s="14">
        <f>IF(OR(B407="",D407=""),"",IFERROR(IF(INDEX(Protocolo!$D$5:$D$54,MATCH(B407,Protocolo!$A$5:$A$54,0))="meses",EDATE(D407,INDEX(Protocolo!$C$5:$C$54,MATCH(B407,Protocolo!$A$5:$A$54,0))),D407+INDEX(Protocolo!$C$5:$C$54,MATCH(B407,Protocolo!$A$5:$A$54,0))*IF(INDEX(Protocolo!$D$5:$D$54,MATCH(B407,Protocolo!$A$5:$A$54,0))="semanas",7,1)),""))</f>
      </c>
      <c r="H407" s="15">
        <f>IF(G407="","",G407-TODAY())</f>
      </c>
      <c r="I407" s="12">
        <f>IF(OR(A407="",B407="",D407=""),"",IF(D407=SUMPRODUCT(MAX(($A$5:$A$504=A407)*($B$5:$B$504=B407)*$D$5:$D$504)),"Sí","Reemplazada"))</f>
      </c>
      <c r="J407" s="12">
        <f>IF(I407="","",IF(I407="Reemplazada","Reemplazada",IF(H407="","Sin fecha",IF(H407&lt;0,"Vencida",IF(H407&lt;=IFERROR(IF(INDEX(Protocolo!$E$5:$E$54,MATCH(B407,Protocolo!$A$5:$A$54,0))="",30,INDEX(Protocolo!$E$5:$E$54,MATCH(B407,Protocolo!$A$5:$A$54,0))),30),"Por vencer","Vigente")))))</f>
      </c>
      <c r="K407" s="10"/>
    </row>
    <row r="408" spans="1:11" x14ac:dyDescent="0.25">
      <c r="A408" s="10"/>
      <c r="B408" s="10"/>
      <c r="C408" s="12">
        <f>IF(B408="","",IFERROR(INDEX(Protocolo!$B$5:$B$54,MATCH(B408,Protocolo!$A$5:$A$54,0)),""))</f>
      </c>
      <c r="D408" s="16"/>
      <c r="E408" s="10"/>
      <c r="F408" s="10"/>
      <c r="G408" s="14">
        <f>IF(OR(B408="",D408=""),"",IFERROR(IF(INDEX(Protocolo!$D$5:$D$54,MATCH(B408,Protocolo!$A$5:$A$54,0))="meses",EDATE(D408,INDEX(Protocolo!$C$5:$C$54,MATCH(B408,Protocolo!$A$5:$A$54,0))),D408+INDEX(Protocolo!$C$5:$C$54,MATCH(B408,Protocolo!$A$5:$A$54,0))*IF(INDEX(Protocolo!$D$5:$D$54,MATCH(B408,Protocolo!$A$5:$A$54,0))="semanas",7,1)),""))</f>
      </c>
      <c r="H408" s="15">
        <f>IF(G408="","",G408-TODAY())</f>
      </c>
      <c r="I408" s="12">
        <f>IF(OR(A408="",B408="",D408=""),"",IF(D408=SUMPRODUCT(MAX(($A$5:$A$504=A408)*($B$5:$B$504=B408)*$D$5:$D$504)),"Sí","Reemplazada"))</f>
      </c>
      <c r="J408" s="12">
        <f>IF(I408="","",IF(I408="Reemplazada","Reemplazada",IF(H408="","Sin fecha",IF(H408&lt;0,"Vencida",IF(H408&lt;=IFERROR(IF(INDEX(Protocolo!$E$5:$E$54,MATCH(B408,Protocolo!$A$5:$A$54,0))="",30,INDEX(Protocolo!$E$5:$E$54,MATCH(B408,Protocolo!$A$5:$A$54,0))),30),"Por vencer","Vigente")))))</f>
      </c>
      <c r="K408" s="10"/>
    </row>
    <row r="409" spans="1:11" x14ac:dyDescent="0.25">
      <c r="A409" s="10"/>
      <c r="B409" s="10"/>
      <c r="C409" s="12">
        <f>IF(B409="","",IFERROR(INDEX(Protocolo!$B$5:$B$54,MATCH(B409,Protocolo!$A$5:$A$54,0)),""))</f>
      </c>
      <c r="D409" s="16"/>
      <c r="E409" s="10"/>
      <c r="F409" s="10"/>
      <c r="G409" s="14">
        <f>IF(OR(B409="",D409=""),"",IFERROR(IF(INDEX(Protocolo!$D$5:$D$54,MATCH(B409,Protocolo!$A$5:$A$54,0))="meses",EDATE(D409,INDEX(Protocolo!$C$5:$C$54,MATCH(B409,Protocolo!$A$5:$A$54,0))),D409+INDEX(Protocolo!$C$5:$C$54,MATCH(B409,Protocolo!$A$5:$A$54,0))*IF(INDEX(Protocolo!$D$5:$D$54,MATCH(B409,Protocolo!$A$5:$A$54,0))="semanas",7,1)),""))</f>
      </c>
      <c r="H409" s="15">
        <f>IF(G409="","",G409-TODAY())</f>
      </c>
      <c r="I409" s="12">
        <f>IF(OR(A409="",B409="",D409=""),"",IF(D409=SUMPRODUCT(MAX(($A$5:$A$504=A409)*($B$5:$B$504=B409)*$D$5:$D$504)),"Sí","Reemplazada"))</f>
      </c>
      <c r="J409" s="12">
        <f>IF(I409="","",IF(I409="Reemplazada","Reemplazada",IF(H409="","Sin fecha",IF(H409&lt;0,"Vencida",IF(H409&lt;=IFERROR(IF(INDEX(Protocolo!$E$5:$E$54,MATCH(B409,Protocolo!$A$5:$A$54,0))="",30,INDEX(Protocolo!$E$5:$E$54,MATCH(B409,Protocolo!$A$5:$A$54,0))),30),"Por vencer","Vigente")))))</f>
      </c>
      <c r="K409" s="10"/>
    </row>
    <row r="410" spans="1:11" x14ac:dyDescent="0.25">
      <c r="A410" s="10"/>
      <c r="B410" s="10"/>
      <c r="C410" s="12">
        <f>IF(B410="","",IFERROR(INDEX(Protocolo!$B$5:$B$54,MATCH(B410,Protocolo!$A$5:$A$54,0)),""))</f>
      </c>
      <c r="D410" s="16"/>
      <c r="E410" s="10"/>
      <c r="F410" s="10"/>
      <c r="G410" s="14">
        <f>IF(OR(B410="",D410=""),"",IFERROR(IF(INDEX(Protocolo!$D$5:$D$54,MATCH(B410,Protocolo!$A$5:$A$54,0))="meses",EDATE(D410,INDEX(Protocolo!$C$5:$C$54,MATCH(B410,Protocolo!$A$5:$A$54,0))),D410+INDEX(Protocolo!$C$5:$C$54,MATCH(B410,Protocolo!$A$5:$A$54,0))*IF(INDEX(Protocolo!$D$5:$D$54,MATCH(B410,Protocolo!$A$5:$A$54,0))="semanas",7,1)),""))</f>
      </c>
      <c r="H410" s="15">
        <f>IF(G410="","",G410-TODAY())</f>
      </c>
      <c r="I410" s="12">
        <f>IF(OR(A410="",B410="",D410=""),"",IF(D410=SUMPRODUCT(MAX(($A$5:$A$504=A410)*($B$5:$B$504=B410)*$D$5:$D$504)),"Sí","Reemplazada"))</f>
      </c>
      <c r="J410" s="12">
        <f>IF(I410="","",IF(I410="Reemplazada","Reemplazada",IF(H410="","Sin fecha",IF(H410&lt;0,"Vencida",IF(H410&lt;=IFERROR(IF(INDEX(Protocolo!$E$5:$E$54,MATCH(B410,Protocolo!$A$5:$A$54,0))="",30,INDEX(Protocolo!$E$5:$E$54,MATCH(B410,Protocolo!$A$5:$A$54,0))),30),"Por vencer","Vigente")))))</f>
      </c>
      <c r="K410" s="10"/>
    </row>
    <row r="411" spans="1:11" x14ac:dyDescent="0.25">
      <c r="A411" s="10"/>
      <c r="B411" s="10"/>
      <c r="C411" s="12">
        <f>IF(B411="","",IFERROR(INDEX(Protocolo!$B$5:$B$54,MATCH(B411,Protocolo!$A$5:$A$54,0)),""))</f>
      </c>
      <c r="D411" s="16"/>
      <c r="E411" s="10"/>
      <c r="F411" s="10"/>
      <c r="G411" s="14">
        <f>IF(OR(B411="",D411=""),"",IFERROR(IF(INDEX(Protocolo!$D$5:$D$54,MATCH(B411,Protocolo!$A$5:$A$54,0))="meses",EDATE(D411,INDEX(Protocolo!$C$5:$C$54,MATCH(B411,Protocolo!$A$5:$A$54,0))),D411+INDEX(Protocolo!$C$5:$C$54,MATCH(B411,Protocolo!$A$5:$A$54,0))*IF(INDEX(Protocolo!$D$5:$D$54,MATCH(B411,Protocolo!$A$5:$A$54,0))="semanas",7,1)),""))</f>
      </c>
      <c r="H411" s="15">
        <f>IF(G411="","",G411-TODAY())</f>
      </c>
      <c r="I411" s="12">
        <f>IF(OR(A411="",B411="",D411=""),"",IF(D411=SUMPRODUCT(MAX(($A$5:$A$504=A411)*($B$5:$B$504=B411)*$D$5:$D$504)),"Sí","Reemplazada"))</f>
      </c>
      <c r="J411" s="12">
        <f>IF(I411="","",IF(I411="Reemplazada","Reemplazada",IF(H411="","Sin fecha",IF(H411&lt;0,"Vencida",IF(H411&lt;=IFERROR(IF(INDEX(Protocolo!$E$5:$E$54,MATCH(B411,Protocolo!$A$5:$A$54,0))="",30,INDEX(Protocolo!$E$5:$E$54,MATCH(B411,Protocolo!$A$5:$A$54,0))),30),"Por vencer","Vigente")))))</f>
      </c>
      <c r="K411" s="10"/>
    </row>
    <row r="412" spans="1:11" x14ac:dyDescent="0.25">
      <c r="A412" s="10"/>
      <c r="B412" s="10"/>
      <c r="C412" s="12">
        <f>IF(B412="","",IFERROR(INDEX(Protocolo!$B$5:$B$54,MATCH(B412,Protocolo!$A$5:$A$54,0)),""))</f>
      </c>
      <c r="D412" s="16"/>
      <c r="E412" s="10"/>
      <c r="F412" s="10"/>
      <c r="G412" s="14">
        <f>IF(OR(B412="",D412=""),"",IFERROR(IF(INDEX(Protocolo!$D$5:$D$54,MATCH(B412,Protocolo!$A$5:$A$54,0))="meses",EDATE(D412,INDEX(Protocolo!$C$5:$C$54,MATCH(B412,Protocolo!$A$5:$A$54,0))),D412+INDEX(Protocolo!$C$5:$C$54,MATCH(B412,Protocolo!$A$5:$A$54,0))*IF(INDEX(Protocolo!$D$5:$D$54,MATCH(B412,Protocolo!$A$5:$A$54,0))="semanas",7,1)),""))</f>
      </c>
      <c r="H412" s="15">
        <f>IF(G412="","",G412-TODAY())</f>
      </c>
      <c r="I412" s="12">
        <f>IF(OR(A412="",B412="",D412=""),"",IF(D412=SUMPRODUCT(MAX(($A$5:$A$504=A412)*($B$5:$B$504=B412)*$D$5:$D$504)),"Sí","Reemplazada"))</f>
      </c>
      <c r="J412" s="12">
        <f>IF(I412="","",IF(I412="Reemplazada","Reemplazada",IF(H412="","Sin fecha",IF(H412&lt;0,"Vencida",IF(H412&lt;=IFERROR(IF(INDEX(Protocolo!$E$5:$E$54,MATCH(B412,Protocolo!$A$5:$A$54,0))="",30,INDEX(Protocolo!$E$5:$E$54,MATCH(B412,Protocolo!$A$5:$A$54,0))),30),"Por vencer","Vigente")))))</f>
      </c>
      <c r="K412" s="10"/>
    </row>
    <row r="413" spans="1:11" x14ac:dyDescent="0.25">
      <c r="A413" s="10"/>
      <c r="B413" s="10"/>
      <c r="C413" s="12">
        <f>IF(B413="","",IFERROR(INDEX(Protocolo!$B$5:$B$54,MATCH(B413,Protocolo!$A$5:$A$54,0)),""))</f>
      </c>
      <c r="D413" s="16"/>
      <c r="E413" s="10"/>
      <c r="F413" s="10"/>
      <c r="G413" s="14">
        <f>IF(OR(B413="",D413=""),"",IFERROR(IF(INDEX(Protocolo!$D$5:$D$54,MATCH(B413,Protocolo!$A$5:$A$54,0))="meses",EDATE(D413,INDEX(Protocolo!$C$5:$C$54,MATCH(B413,Protocolo!$A$5:$A$54,0))),D413+INDEX(Protocolo!$C$5:$C$54,MATCH(B413,Protocolo!$A$5:$A$54,0))*IF(INDEX(Protocolo!$D$5:$D$54,MATCH(B413,Protocolo!$A$5:$A$54,0))="semanas",7,1)),""))</f>
      </c>
      <c r="H413" s="15">
        <f>IF(G413="","",G413-TODAY())</f>
      </c>
      <c r="I413" s="12">
        <f>IF(OR(A413="",B413="",D413=""),"",IF(D413=SUMPRODUCT(MAX(($A$5:$A$504=A413)*($B$5:$B$504=B413)*$D$5:$D$504)),"Sí","Reemplazada"))</f>
      </c>
      <c r="J413" s="12">
        <f>IF(I413="","",IF(I413="Reemplazada","Reemplazada",IF(H413="","Sin fecha",IF(H413&lt;0,"Vencida",IF(H413&lt;=IFERROR(IF(INDEX(Protocolo!$E$5:$E$54,MATCH(B413,Protocolo!$A$5:$A$54,0))="",30,INDEX(Protocolo!$E$5:$E$54,MATCH(B413,Protocolo!$A$5:$A$54,0))),30),"Por vencer","Vigente")))))</f>
      </c>
      <c r="K413" s="10"/>
    </row>
    <row r="414" spans="1:11" x14ac:dyDescent="0.25">
      <c r="A414" s="10"/>
      <c r="B414" s="10"/>
      <c r="C414" s="12">
        <f>IF(B414="","",IFERROR(INDEX(Protocolo!$B$5:$B$54,MATCH(B414,Protocolo!$A$5:$A$54,0)),""))</f>
      </c>
      <c r="D414" s="16"/>
      <c r="E414" s="10"/>
      <c r="F414" s="10"/>
      <c r="G414" s="14">
        <f>IF(OR(B414="",D414=""),"",IFERROR(IF(INDEX(Protocolo!$D$5:$D$54,MATCH(B414,Protocolo!$A$5:$A$54,0))="meses",EDATE(D414,INDEX(Protocolo!$C$5:$C$54,MATCH(B414,Protocolo!$A$5:$A$54,0))),D414+INDEX(Protocolo!$C$5:$C$54,MATCH(B414,Protocolo!$A$5:$A$54,0))*IF(INDEX(Protocolo!$D$5:$D$54,MATCH(B414,Protocolo!$A$5:$A$54,0))="semanas",7,1)),""))</f>
      </c>
      <c r="H414" s="15">
        <f>IF(G414="","",G414-TODAY())</f>
      </c>
      <c r="I414" s="12">
        <f>IF(OR(A414="",B414="",D414=""),"",IF(D414=SUMPRODUCT(MAX(($A$5:$A$504=A414)*($B$5:$B$504=B414)*$D$5:$D$504)),"Sí","Reemplazada"))</f>
      </c>
      <c r="J414" s="12">
        <f>IF(I414="","",IF(I414="Reemplazada","Reemplazada",IF(H414="","Sin fecha",IF(H414&lt;0,"Vencida",IF(H414&lt;=IFERROR(IF(INDEX(Protocolo!$E$5:$E$54,MATCH(B414,Protocolo!$A$5:$A$54,0))="",30,INDEX(Protocolo!$E$5:$E$54,MATCH(B414,Protocolo!$A$5:$A$54,0))),30),"Por vencer","Vigente")))))</f>
      </c>
      <c r="K414" s="10"/>
    </row>
    <row r="415" spans="1:11" x14ac:dyDescent="0.25">
      <c r="A415" s="10"/>
      <c r="B415" s="10"/>
      <c r="C415" s="12">
        <f>IF(B415="","",IFERROR(INDEX(Protocolo!$B$5:$B$54,MATCH(B415,Protocolo!$A$5:$A$54,0)),""))</f>
      </c>
      <c r="D415" s="16"/>
      <c r="E415" s="10"/>
      <c r="F415" s="10"/>
      <c r="G415" s="14">
        <f>IF(OR(B415="",D415=""),"",IFERROR(IF(INDEX(Protocolo!$D$5:$D$54,MATCH(B415,Protocolo!$A$5:$A$54,0))="meses",EDATE(D415,INDEX(Protocolo!$C$5:$C$54,MATCH(B415,Protocolo!$A$5:$A$54,0))),D415+INDEX(Protocolo!$C$5:$C$54,MATCH(B415,Protocolo!$A$5:$A$54,0))*IF(INDEX(Protocolo!$D$5:$D$54,MATCH(B415,Protocolo!$A$5:$A$54,0))="semanas",7,1)),""))</f>
      </c>
      <c r="H415" s="15">
        <f>IF(G415="","",G415-TODAY())</f>
      </c>
      <c r="I415" s="12">
        <f>IF(OR(A415="",B415="",D415=""),"",IF(D415=SUMPRODUCT(MAX(($A$5:$A$504=A415)*($B$5:$B$504=B415)*$D$5:$D$504)),"Sí","Reemplazada"))</f>
      </c>
      <c r="J415" s="12">
        <f>IF(I415="","",IF(I415="Reemplazada","Reemplazada",IF(H415="","Sin fecha",IF(H415&lt;0,"Vencida",IF(H415&lt;=IFERROR(IF(INDEX(Protocolo!$E$5:$E$54,MATCH(B415,Protocolo!$A$5:$A$54,0))="",30,INDEX(Protocolo!$E$5:$E$54,MATCH(B415,Protocolo!$A$5:$A$54,0))),30),"Por vencer","Vigente")))))</f>
      </c>
      <c r="K415" s="10"/>
    </row>
    <row r="416" spans="1:11" x14ac:dyDescent="0.25">
      <c r="A416" s="10"/>
      <c r="B416" s="10"/>
      <c r="C416" s="12">
        <f>IF(B416="","",IFERROR(INDEX(Protocolo!$B$5:$B$54,MATCH(B416,Protocolo!$A$5:$A$54,0)),""))</f>
      </c>
      <c r="D416" s="16"/>
      <c r="E416" s="10"/>
      <c r="F416" s="10"/>
      <c r="G416" s="14">
        <f>IF(OR(B416="",D416=""),"",IFERROR(IF(INDEX(Protocolo!$D$5:$D$54,MATCH(B416,Protocolo!$A$5:$A$54,0))="meses",EDATE(D416,INDEX(Protocolo!$C$5:$C$54,MATCH(B416,Protocolo!$A$5:$A$54,0))),D416+INDEX(Protocolo!$C$5:$C$54,MATCH(B416,Protocolo!$A$5:$A$54,0))*IF(INDEX(Protocolo!$D$5:$D$54,MATCH(B416,Protocolo!$A$5:$A$54,0))="semanas",7,1)),""))</f>
      </c>
      <c r="H416" s="15">
        <f>IF(G416="","",G416-TODAY())</f>
      </c>
      <c r="I416" s="12">
        <f>IF(OR(A416="",B416="",D416=""),"",IF(D416=SUMPRODUCT(MAX(($A$5:$A$504=A416)*($B$5:$B$504=B416)*$D$5:$D$504)),"Sí","Reemplazada"))</f>
      </c>
      <c r="J416" s="12">
        <f>IF(I416="","",IF(I416="Reemplazada","Reemplazada",IF(H416="","Sin fecha",IF(H416&lt;0,"Vencida",IF(H416&lt;=IFERROR(IF(INDEX(Protocolo!$E$5:$E$54,MATCH(B416,Protocolo!$A$5:$A$54,0))="",30,INDEX(Protocolo!$E$5:$E$54,MATCH(B416,Protocolo!$A$5:$A$54,0))),30),"Por vencer","Vigente")))))</f>
      </c>
      <c r="K416" s="10"/>
    </row>
    <row r="417" spans="1:11" x14ac:dyDescent="0.25">
      <c r="A417" s="10"/>
      <c r="B417" s="10"/>
      <c r="C417" s="12">
        <f>IF(B417="","",IFERROR(INDEX(Protocolo!$B$5:$B$54,MATCH(B417,Protocolo!$A$5:$A$54,0)),""))</f>
      </c>
      <c r="D417" s="16"/>
      <c r="E417" s="10"/>
      <c r="F417" s="10"/>
      <c r="G417" s="14">
        <f>IF(OR(B417="",D417=""),"",IFERROR(IF(INDEX(Protocolo!$D$5:$D$54,MATCH(B417,Protocolo!$A$5:$A$54,0))="meses",EDATE(D417,INDEX(Protocolo!$C$5:$C$54,MATCH(B417,Protocolo!$A$5:$A$54,0))),D417+INDEX(Protocolo!$C$5:$C$54,MATCH(B417,Protocolo!$A$5:$A$54,0))*IF(INDEX(Protocolo!$D$5:$D$54,MATCH(B417,Protocolo!$A$5:$A$54,0))="semanas",7,1)),""))</f>
      </c>
      <c r="H417" s="15">
        <f>IF(G417="","",G417-TODAY())</f>
      </c>
      <c r="I417" s="12">
        <f>IF(OR(A417="",B417="",D417=""),"",IF(D417=SUMPRODUCT(MAX(($A$5:$A$504=A417)*($B$5:$B$504=B417)*$D$5:$D$504)),"Sí","Reemplazada"))</f>
      </c>
      <c r="J417" s="12">
        <f>IF(I417="","",IF(I417="Reemplazada","Reemplazada",IF(H417="","Sin fecha",IF(H417&lt;0,"Vencida",IF(H417&lt;=IFERROR(IF(INDEX(Protocolo!$E$5:$E$54,MATCH(B417,Protocolo!$A$5:$A$54,0))="",30,INDEX(Protocolo!$E$5:$E$54,MATCH(B417,Protocolo!$A$5:$A$54,0))),30),"Por vencer","Vigente")))))</f>
      </c>
      <c r="K417" s="10"/>
    </row>
    <row r="418" spans="1:11" x14ac:dyDescent="0.25">
      <c r="A418" s="10"/>
      <c r="B418" s="10"/>
      <c r="C418" s="12">
        <f>IF(B418="","",IFERROR(INDEX(Protocolo!$B$5:$B$54,MATCH(B418,Protocolo!$A$5:$A$54,0)),""))</f>
      </c>
      <c r="D418" s="16"/>
      <c r="E418" s="10"/>
      <c r="F418" s="10"/>
      <c r="G418" s="14">
        <f>IF(OR(B418="",D418=""),"",IFERROR(IF(INDEX(Protocolo!$D$5:$D$54,MATCH(B418,Protocolo!$A$5:$A$54,0))="meses",EDATE(D418,INDEX(Protocolo!$C$5:$C$54,MATCH(B418,Protocolo!$A$5:$A$54,0))),D418+INDEX(Protocolo!$C$5:$C$54,MATCH(B418,Protocolo!$A$5:$A$54,0))*IF(INDEX(Protocolo!$D$5:$D$54,MATCH(B418,Protocolo!$A$5:$A$54,0))="semanas",7,1)),""))</f>
      </c>
      <c r="H418" s="15">
        <f>IF(G418="","",G418-TODAY())</f>
      </c>
      <c r="I418" s="12">
        <f>IF(OR(A418="",B418="",D418=""),"",IF(D418=SUMPRODUCT(MAX(($A$5:$A$504=A418)*($B$5:$B$504=B418)*$D$5:$D$504)),"Sí","Reemplazada"))</f>
      </c>
      <c r="J418" s="12">
        <f>IF(I418="","",IF(I418="Reemplazada","Reemplazada",IF(H418="","Sin fecha",IF(H418&lt;0,"Vencida",IF(H418&lt;=IFERROR(IF(INDEX(Protocolo!$E$5:$E$54,MATCH(B418,Protocolo!$A$5:$A$54,0))="",30,INDEX(Protocolo!$E$5:$E$54,MATCH(B418,Protocolo!$A$5:$A$54,0))),30),"Por vencer","Vigente")))))</f>
      </c>
      <c r="K418" s="10"/>
    </row>
    <row r="419" spans="1:11" x14ac:dyDescent="0.25">
      <c r="A419" s="10"/>
      <c r="B419" s="10"/>
      <c r="C419" s="12">
        <f>IF(B419="","",IFERROR(INDEX(Protocolo!$B$5:$B$54,MATCH(B419,Protocolo!$A$5:$A$54,0)),""))</f>
      </c>
      <c r="D419" s="16"/>
      <c r="E419" s="10"/>
      <c r="F419" s="10"/>
      <c r="G419" s="14">
        <f>IF(OR(B419="",D419=""),"",IFERROR(IF(INDEX(Protocolo!$D$5:$D$54,MATCH(B419,Protocolo!$A$5:$A$54,0))="meses",EDATE(D419,INDEX(Protocolo!$C$5:$C$54,MATCH(B419,Protocolo!$A$5:$A$54,0))),D419+INDEX(Protocolo!$C$5:$C$54,MATCH(B419,Protocolo!$A$5:$A$54,0))*IF(INDEX(Protocolo!$D$5:$D$54,MATCH(B419,Protocolo!$A$5:$A$54,0))="semanas",7,1)),""))</f>
      </c>
      <c r="H419" s="15">
        <f>IF(G419="","",G419-TODAY())</f>
      </c>
      <c r="I419" s="12">
        <f>IF(OR(A419="",B419="",D419=""),"",IF(D419=SUMPRODUCT(MAX(($A$5:$A$504=A419)*($B$5:$B$504=B419)*$D$5:$D$504)),"Sí","Reemplazada"))</f>
      </c>
      <c r="J419" s="12">
        <f>IF(I419="","",IF(I419="Reemplazada","Reemplazada",IF(H419="","Sin fecha",IF(H419&lt;0,"Vencida",IF(H419&lt;=IFERROR(IF(INDEX(Protocolo!$E$5:$E$54,MATCH(B419,Protocolo!$A$5:$A$54,0))="",30,INDEX(Protocolo!$E$5:$E$54,MATCH(B419,Protocolo!$A$5:$A$54,0))),30),"Por vencer","Vigente")))))</f>
      </c>
      <c r="K419" s="10"/>
    </row>
    <row r="420" spans="1:11" x14ac:dyDescent="0.25">
      <c r="A420" s="10"/>
      <c r="B420" s="10"/>
      <c r="C420" s="12">
        <f>IF(B420="","",IFERROR(INDEX(Protocolo!$B$5:$B$54,MATCH(B420,Protocolo!$A$5:$A$54,0)),""))</f>
      </c>
      <c r="D420" s="16"/>
      <c r="E420" s="10"/>
      <c r="F420" s="10"/>
      <c r="G420" s="14">
        <f>IF(OR(B420="",D420=""),"",IFERROR(IF(INDEX(Protocolo!$D$5:$D$54,MATCH(B420,Protocolo!$A$5:$A$54,0))="meses",EDATE(D420,INDEX(Protocolo!$C$5:$C$54,MATCH(B420,Protocolo!$A$5:$A$54,0))),D420+INDEX(Protocolo!$C$5:$C$54,MATCH(B420,Protocolo!$A$5:$A$54,0))*IF(INDEX(Protocolo!$D$5:$D$54,MATCH(B420,Protocolo!$A$5:$A$54,0))="semanas",7,1)),""))</f>
      </c>
      <c r="H420" s="15">
        <f>IF(G420="","",G420-TODAY())</f>
      </c>
      <c r="I420" s="12">
        <f>IF(OR(A420="",B420="",D420=""),"",IF(D420=SUMPRODUCT(MAX(($A$5:$A$504=A420)*($B$5:$B$504=B420)*$D$5:$D$504)),"Sí","Reemplazada"))</f>
      </c>
      <c r="J420" s="12">
        <f>IF(I420="","",IF(I420="Reemplazada","Reemplazada",IF(H420="","Sin fecha",IF(H420&lt;0,"Vencida",IF(H420&lt;=IFERROR(IF(INDEX(Protocolo!$E$5:$E$54,MATCH(B420,Protocolo!$A$5:$A$54,0))="",30,INDEX(Protocolo!$E$5:$E$54,MATCH(B420,Protocolo!$A$5:$A$54,0))),30),"Por vencer","Vigente")))))</f>
      </c>
      <c r="K420" s="10"/>
    </row>
    <row r="421" spans="1:11" x14ac:dyDescent="0.25">
      <c r="A421" s="10"/>
      <c r="B421" s="10"/>
      <c r="C421" s="12">
        <f>IF(B421="","",IFERROR(INDEX(Protocolo!$B$5:$B$54,MATCH(B421,Protocolo!$A$5:$A$54,0)),""))</f>
      </c>
      <c r="D421" s="16"/>
      <c r="E421" s="10"/>
      <c r="F421" s="10"/>
      <c r="G421" s="14">
        <f>IF(OR(B421="",D421=""),"",IFERROR(IF(INDEX(Protocolo!$D$5:$D$54,MATCH(B421,Protocolo!$A$5:$A$54,0))="meses",EDATE(D421,INDEX(Protocolo!$C$5:$C$54,MATCH(B421,Protocolo!$A$5:$A$54,0))),D421+INDEX(Protocolo!$C$5:$C$54,MATCH(B421,Protocolo!$A$5:$A$54,0))*IF(INDEX(Protocolo!$D$5:$D$54,MATCH(B421,Protocolo!$A$5:$A$54,0))="semanas",7,1)),""))</f>
      </c>
      <c r="H421" s="15">
        <f>IF(G421="","",G421-TODAY())</f>
      </c>
      <c r="I421" s="12">
        <f>IF(OR(A421="",B421="",D421=""),"",IF(D421=SUMPRODUCT(MAX(($A$5:$A$504=A421)*($B$5:$B$504=B421)*$D$5:$D$504)),"Sí","Reemplazada"))</f>
      </c>
      <c r="J421" s="12">
        <f>IF(I421="","",IF(I421="Reemplazada","Reemplazada",IF(H421="","Sin fecha",IF(H421&lt;0,"Vencida",IF(H421&lt;=IFERROR(IF(INDEX(Protocolo!$E$5:$E$54,MATCH(B421,Protocolo!$A$5:$A$54,0))="",30,INDEX(Protocolo!$E$5:$E$54,MATCH(B421,Protocolo!$A$5:$A$54,0))),30),"Por vencer","Vigente")))))</f>
      </c>
      <c r="K421" s="10"/>
    </row>
    <row r="422" spans="1:11" x14ac:dyDescent="0.25">
      <c r="A422" s="10"/>
      <c r="B422" s="10"/>
      <c r="C422" s="12">
        <f>IF(B422="","",IFERROR(INDEX(Protocolo!$B$5:$B$54,MATCH(B422,Protocolo!$A$5:$A$54,0)),""))</f>
      </c>
      <c r="D422" s="16"/>
      <c r="E422" s="10"/>
      <c r="F422" s="10"/>
      <c r="G422" s="14">
        <f>IF(OR(B422="",D422=""),"",IFERROR(IF(INDEX(Protocolo!$D$5:$D$54,MATCH(B422,Protocolo!$A$5:$A$54,0))="meses",EDATE(D422,INDEX(Protocolo!$C$5:$C$54,MATCH(B422,Protocolo!$A$5:$A$54,0))),D422+INDEX(Protocolo!$C$5:$C$54,MATCH(B422,Protocolo!$A$5:$A$54,0))*IF(INDEX(Protocolo!$D$5:$D$54,MATCH(B422,Protocolo!$A$5:$A$54,0))="semanas",7,1)),""))</f>
      </c>
      <c r="H422" s="15">
        <f>IF(G422="","",G422-TODAY())</f>
      </c>
      <c r="I422" s="12">
        <f>IF(OR(A422="",B422="",D422=""),"",IF(D422=SUMPRODUCT(MAX(($A$5:$A$504=A422)*($B$5:$B$504=B422)*$D$5:$D$504)),"Sí","Reemplazada"))</f>
      </c>
      <c r="J422" s="12">
        <f>IF(I422="","",IF(I422="Reemplazada","Reemplazada",IF(H422="","Sin fecha",IF(H422&lt;0,"Vencida",IF(H422&lt;=IFERROR(IF(INDEX(Protocolo!$E$5:$E$54,MATCH(B422,Protocolo!$A$5:$A$54,0))="",30,INDEX(Protocolo!$E$5:$E$54,MATCH(B422,Protocolo!$A$5:$A$54,0))),30),"Por vencer","Vigente")))))</f>
      </c>
      <c r="K422" s="10"/>
    </row>
    <row r="423" spans="1:11" x14ac:dyDescent="0.25">
      <c r="A423" s="10"/>
      <c r="B423" s="10"/>
      <c r="C423" s="12">
        <f>IF(B423="","",IFERROR(INDEX(Protocolo!$B$5:$B$54,MATCH(B423,Protocolo!$A$5:$A$54,0)),""))</f>
      </c>
      <c r="D423" s="16"/>
      <c r="E423" s="10"/>
      <c r="F423" s="10"/>
      <c r="G423" s="14">
        <f>IF(OR(B423="",D423=""),"",IFERROR(IF(INDEX(Protocolo!$D$5:$D$54,MATCH(B423,Protocolo!$A$5:$A$54,0))="meses",EDATE(D423,INDEX(Protocolo!$C$5:$C$54,MATCH(B423,Protocolo!$A$5:$A$54,0))),D423+INDEX(Protocolo!$C$5:$C$54,MATCH(B423,Protocolo!$A$5:$A$54,0))*IF(INDEX(Protocolo!$D$5:$D$54,MATCH(B423,Protocolo!$A$5:$A$54,0))="semanas",7,1)),""))</f>
      </c>
      <c r="H423" s="15">
        <f>IF(G423="","",G423-TODAY())</f>
      </c>
      <c r="I423" s="12">
        <f>IF(OR(A423="",B423="",D423=""),"",IF(D423=SUMPRODUCT(MAX(($A$5:$A$504=A423)*($B$5:$B$504=B423)*$D$5:$D$504)),"Sí","Reemplazada"))</f>
      </c>
      <c r="J423" s="12">
        <f>IF(I423="","",IF(I423="Reemplazada","Reemplazada",IF(H423="","Sin fecha",IF(H423&lt;0,"Vencida",IF(H423&lt;=IFERROR(IF(INDEX(Protocolo!$E$5:$E$54,MATCH(B423,Protocolo!$A$5:$A$54,0))="",30,INDEX(Protocolo!$E$5:$E$54,MATCH(B423,Protocolo!$A$5:$A$54,0))),30),"Por vencer","Vigente")))))</f>
      </c>
      <c r="K423" s="10"/>
    </row>
    <row r="424" spans="1:11" x14ac:dyDescent="0.25">
      <c r="A424" s="10"/>
      <c r="B424" s="10"/>
      <c r="C424" s="12">
        <f>IF(B424="","",IFERROR(INDEX(Protocolo!$B$5:$B$54,MATCH(B424,Protocolo!$A$5:$A$54,0)),""))</f>
      </c>
      <c r="D424" s="16"/>
      <c r="E424" s="10"/>
      <c r="F424" s="10"/>
      <c r="G424" s="14">
        <f>IF(OR(B424="",D424=""),"",IFERROR(IF(INDEX(Protocolo!$D$5:$D$54,MATCH(B424,Protocolo!$A$5:$A$54,0))="meses",EDATE(D424,INDEX(Protocolo!$C$5:$C$54,MATCH(B424,Protocolo!$A$5:$A$54,0))),D424+INDEX(Protocolo!$C$5:$C$54,MATCH(B424,Protocolo!$A$5:$A$54,0))*IF(INDEX(Protocolo!$D$5:$D$54,MATCH(B424,Protocolo!$A$5:$A$54,0))="semanas",7,1)),""))</f>
      </c>
      <c r="H424" s="15">
        <f>IF(G424="","",G424-TODAY())</f>
      </c>
      <c r="I424" s="12">
        <f>IF(OR(A424="",B424="",D424=""),"",IF(D424=SUMPRODUCT(MAX(($A$5:$A$504=A424)*($B$5:$B$504=B424)*$D$5:$D$504)),"Sí","Reemplazada"))</f>
      </c>
      <c r="J424" s="12">
        <f>IF(I424="","",IF(I424="Reemplazada","Reemplazada",IF(H424="","Sin fecha",IF(H424&lt;0,"Vencida",IF(H424&lt;=IFERROR(IF(INDEX(Protocolo!$E$5:$E$54,MATCH(B424,Protocolo!$A$5:$A$54,0))="",30,INDEX(Protocolo!$E$5:$E$54,MATCH(B424,Protocolo!$A$5:$A$54,0))),30),"Por vencer","Vigente")))))</f>
      </c>
      <c r="K424" s="10"/>
    </row>
    <row r="425" spans="1:11" x14ac:dyDescent="0.25">
      <c r="A425" s="10"/>
      <c r="B425" s="10"/>
      <c r="C425" s="12">
        <f>IF(B425="","",IFERROR(INDEX(Protocolo!$B$5:$B$54,MATCH(B425,Protocolo!$A$5:$A$54,0)),""))</f>
      </c>
      <c r="D425" s="16"/>
      <c r="E425" s="10"/>
      <c r="F425" s="10"/>
      <c r="G425" s="14">
        <f>IF(OR(B425="",D425=""),"",IFERROR(IF(INDEX(Protocolo!$D$5:$D$54,MATCH(B425,Protocolo!$A$5:$A$54,0))="meses",EDATE(D425,INDEX(Protocolo!$C$5:$C$54,MATCH(B425,Protocolo!$A$5:$A$54,0))),D425+INDEX(Protocolo!$C$5:$C$54,MATCH(B425,Protocolo!$A$5:$A$54,0))*IF(INDEX(Protocolo!$D$5:$D$54,MATCH(B425,Protocolo!$A$5:$A$54,0))="semanas",7,1)),""))</f>
      </c>
      <c r="H425" s="15">
        <f>IF(G425="","",G425-TODAY())</f>
      </c>
      <c r="I425" s="12">
        <f>IF(OR(A425="",B425="",D425=""),"",IF(D425=SUMPRODUCT(MAX(($A$5:$A$504=A425)*($B$5:$B$504=B425)*$D$5:$D$504)),"Sí","Reemplazada"))</f>
      </c>
      <c r="J425" s="12">
        <f>IF(I425="","",IF(I425="Reemplazada","Reemplazada",IF(H425="","Sin fecha",IF(H425&lt;0,"Vencida",IF(H425&lt;=IFERROR(IF(INDEX(Protocolo!$E$5:$E$54,MATCH(B425,Protocolo!$A$5:$A$54,0))="",30,INDEX(Protocolo!$E$5:$E$54,MATCH(B425,Protocolo!$A$5:$A$54,0))),30),"Por vencer","Vigente")))))</f>
      </c>
      <c r="K425" s="10"/>
    </row>
    <row r="426" spans="1:11" x14ac:dyDescent="0.25">
      <c r="A426" s="10"/>
      <c r="B426" s="10"/>
      <c r="C426" s="12">
        <f>IF(B426="","",IFERROR(INDEX(Protocolo!$B$5:$B$54,MATCH(B426,Protocolo!$A$5:$A$54,0)),""))</f>
      </c>
      <c r="D426" s="16"/>
      <c r="E426" s="10"/>
      <c r="F426" s="10"/>
      <c r="G426" s="14">
        <f>IF(OR(B426="",D426=""),"",IFERROR(IF(INDEX(Protocolo!$D$5:$D$54,MATCH(B426,Protocolo!$A$5:$A$54,0))="meses",EDATE(D426,INDEX(Protocolo!$C$5:$C$54,MATCH(B426,Protocolo!$A$5:$A$54,0))),D426+INDEX(Protocolo!$C$5:$C$54,MATCH(B426,Protocolo!$A$5:$A$54,0))*IF(INDEX(Protocolo!$D$5:$D$54,MATCH(B426,Protocolo!$A$5:$A$54,0))="semanas",7,1)),""))</f>
      </c>
      <c r="H426" s="15">
        <f>IF(G426="","",G426-TODAY())</f>
      </c>
      <c r="I426" s="12">
        <f>IF(OR(A426="",B426="",D426=""),"",IF(D426=SUMPRODUCT(MAX(($A$5:$A$504=A426)*($B$5:$B$504=B426)*$D$5:$D$504)),"Sí","Reemplazada"))</f>
      </c>
      <c r="J426" s="12">
        <f>IF(I426="","",IF(I426="Reemplazada","Reemplazada",IF(H426="","Sin fecha",IF(H426&lt;0,"Vencida",IF(H426&lt;=IFERROR(IF(INDEX(Protocolo!$E$5:$E$54,MATCH(B426,Protocolo!$A$5:$A$54,0))="",30,INDEX(Protocolo!$E$5:$E$54,MATCH(B426,Protocolo!$A$5:$A$54,0))),30),"Por vencer","Vigente")))))</f>
      </c>
      <c r="K426" s="10"/>
    </row>
    <row r="427" spans="1:11" x14ac:dyDescent="0.25">
      <c r="A427" s="10"/>
      <c r="B427" s="10"/>
      <c r="C427" s="12">
        <f>IF(B427="","",IFERROR(INDEX(Protocolo!$B$5:$B$54,MATCH(B427,Protocolo!$A$5:$A$54,0)),""))</f>
      </c>
      <c r="D427" s="16"/>
      <c r="E427" s="10"/>
      <c r="F427" s="10"/>
      <c r="G427" s="14">
        <f>IF(OR(B427="",D427=""),"",IFERROR(IF(INDEX(Protocolo!$D$5:$D$54,MATCH(B427,Protocolo!$A$5:$A$54,0))="meses",EDATE(D427,INDEX(Protocolo!$C$5:$C$54,MATCH(B427,Protocolo!$A$5:$A$54,0))),D427+INDEX(Protocolo!$C$5:$C$54,MATCH(B427,Protocolo!$A$5:$A$54,0))*IF(INDEX(Protocolo!$D$5:$D$54,MATCH(B427,Protocolo!$A$5:$A$54,0))="semanas",7,1)),""))</f>
      </c>
      <c r="H427" s="15">
        <f>IF(G427="","",G427-TODAY())</f>
      </c>
      <c r="I427" s="12">
        <f>IF(OR(A427="",B427="",D427=""),"",IF(D427=SUMPRODUCT(MAX(($A$5:$A$504=A427)*($B$5:$B$504=B427)*$D$5:$D$504)),"Sí","Reemplazada"))</f>
      </c>
      <c r="J427" s="12">
        <f>IF(I427="","",IF(I427="Reemplazada","Reemplazada",IF(H427="","Sin fecha",IF(H427&lt;0,"Vencida",IF(H427&lt;=IFERROR(IF(INDEX(Protocolo!$E$5:$E$54,MATCH(B427,Protocolo!$A$5:$A$54,0))="",30,INDEX(Protocolo!$E$5:$E$54,MATCH(B427,Protocolo!$A$5:$A$54,0))),30),"Por vencer","Vigente")))))</f>
      </c>
      <c r="K427" s="10"/>
    </row>
    <row r="428" spans="1:11" x14ac:dyDescent="0.25">
      <c r="A428" s="10"/>
      <c r="B428" s="10"/>
      <c r="C428" s="12">
        <f>IF(B428="","",IFERROR(INDEX(Protocolo!$B$5:$B$54,MATCH(B428,Protocolo!$A$5:$A$54,0)),""))</f>
      </c>
      <c r="D428" s="16"/>
      <c r="E428" s="10"/>
      <c r="F428" s="10"/>
      <c r="G428" s="14">
        <f>IF(OR(B428="",D428=""),"",IFERROR(IF(INDEX(Protocolo!$D$5:$D$54,MATCH(B428,Protocolo!$A$5:$A$54,0))="meses",EDATE(D428,INDEX(Protocolo!$C$5:$C$54,MATCH(B428,Protocolo!$A$5:$A$54,0))),D428+INDEX(Protocolo!$C$5:$C$54,MATCH(B428,Protocolo!$A$5:$A$54,0))*IF(INDEX(Protocolo!$D$5:$D$54,MATCH(B428,Protocolo!$A$5:$A$54,0))="semanas",7,1)),""))</f>
      </c>
      <c r="H428" s="15">
        <f>IF(G428="","",G428-TODAY())</f>
      </c>
      <c r="I428" s="12">
        <f>IF(OR(A428="",B428="",D428=""),"",IF(D428=SUMPRODUCT(MAX(($A$5:$A$504=A428)*($B$5:$B$504=B428)*$D$5:$D$504)),"Sí","Reemplazada"))</f>
      </c>
      <c r="J428" s="12">
        <f>IF(I428="","",IF(I428="Reemplazada","Reemplazada",IF(H428="","Sin fecha",IF(H428&lt;0,"Vencida",IF(H428&lt;=IFERROR(IF(INDEX(Protocolo!$E$5:$E$54,MATCH(B428,Protocolo!$A$5:$A$54,0))="",30,INDEX(Protocolo!$E$5:$E$54,MATCH(B428,Protocolo!$A$5:$A$54,0))),30),"Por vencer","Vigente")))))</f>
      </c>
      <c r="K428" s="10"/>
    </row>
    <row r="429" spans="1:11" x14ac:dyDescent="0.25">
      <c r="A429" s="10"/>
      <c r="B429" s="10"/>
      <c r="C429" s="12">
        <f>IF(B429="","",IFERROR(INDEX(Protocolo!$B$5:$B$54,MATCH(B429,Protocolo!$A$5:$A$54,0)),""))</f>
      </c>
      <c r="D429" s="16"/>
      <c r="E429" s="10"/>
      <c r="F429" s="10"/>
      <c r="G429" s="14">
        <f>IF(OR(B429="",D429=""),"",IFERROR(IF(INDEX(Protocolo!$D$5:$D$54,MATCH(B429,Protocolo!$A$5:$A$54,0))="meses",EDATE(D429,INDEX(Protocolo!$C$5:$C$54,MATCH(B429,Protocolo!$A$5:$A$54,0))),D429+INDEX(Protocolo!$C$5:$C$54,MATCH(B429,Protocolo!$A$5:$A$54,0))*IF(INDEX(Protocolo!$D$5:$D$54,MATCH(B429,Protocolo!$A$5:$A$54,0))="semanas",7,1)),""))</f>
      </c>
      <c r="H429" s="15">
        <f>IF(G429="","",G429-TODAY())</f>
      </c>
      <c r="I429" s="12">
        <f>IF(OR(A429="",B429="",D429=""),"",IF(D429=SUMPRODUCT(MAX(($A$5:$A$504=A429)*($B$5:$B$504=B429)*$D$5:$D$504)),"Sí","Reemplazada"))</f>
      </c>
      <c r="J429" s="12">
        <f>IF(I429="","",IF(I429="Reemplazada","Reemplazada",IF(H429="","Sin fecha",IF(H429&lt;0,"Vencida",IF(H429&lt;=IFERROR(IF(INDEX(Protocolo!$E$5:$E$54,MATCH(B429,Protocolo!$A$5:$A$54,0))="",30,INDEX(Protocolo!$E$5:$E$54,MATCH(B429,Protocolo!$A$5:$A$54,0))),30),"Por vencer","Vigente")))))</f>
      </c>
      <c r="K429" s="10"/>
    </row>
    <row r="430" spans="1:11" x14ac:dyDescent="0.25">
      <c r="A430" s="10"/>
      <c r="B430" s="10"/>
      <c r="C430" s="12">
        <f>IF(B430="","",IFERROR(INDEX(Protocolo!$B$5:$B$54,MATCH(B430,Protocolo!$A$5:$A$54,0)),""))</f>
      </c>
      <c r="D430" s="16"/>
      <c r="E430" s="10"/>
      <c r="F430" s="10"/>
      <c r="G430" s="14">
        <f>IF(OR(B430="",D430=""),"",IFERROR(IF(INDEX(Protocolo!$D$5:$D$54,MATCH(B430,Protocolo!$A$5:$A$54,0))="meses",EDATE(D430,INDEX(Protocolo!$C$5:$C$54,MATCH(B430,Protocolo!$A$5:$A$54,0))),D430+INDEX(Protocolo!$C$5:$C$54,MATCH(B430,Protocolo!$A$5:$A$54,0))*IF(INDEX(Protocolo!$D$5:$D$54,MATCH(B430,Protocolo!$A$5:$A$54,0))="semanas",7,1)),""))</f>
      </c>
      <c r="H430" s="15">
        <f>IF(G430="","",G430-TODAY())</f>
      </c>
      <c r="I430" s="12">
        <f>IF(OR(A430="",B430="",D430=""),"",IF(D430=SUMPRODUCT(MAX(($A$5:$A$504=A430)*($B$5:$B$504=B430)*$D$5:$D$504)),"Sí","Reemplazada"))</f>
      </c>
      <c r="J430" s="12">
        <f>IF(I430="","",IF(I430="Reemplazada","Reemplazada",IF(H430="","Sin fecha",IF(H430&lt;0,"Vencida",IF(H430&lt;=IFERROR(IF(INDEX(Protocolo!$E$5:$E$54,MATCH(B430,Protocolo!$A$5:$A$54,0))="",30,INDEX(Protocolo!$E$5:$E$54,MATCH(B430,Protocolo!$A$5:$A$54,0))),30),"Por vencer","Vigente")))))</f>
      </c>
      <c r="K430" s="10"/>
    </row>
    <row r="431" spans="1:11" x14ac:dyDescent="0.25">
      <c r="A431" s="10"/>
      <c r="B431" s="10"/>
      <c r="C431" s="12">
        <f>IF(B431="","",IFERROR(INDEX(Protocolo!$B$5:$B$54,MATCH(B431,Protocolo!$A$5:$A$54,0)),""))</f>
      </c>
      <c r="D431" s="16"/>
      <c r="E431" s="10"/>
      <c r="F431" s="10"/>
      <c r="G431" s="14">
        <f>IF(OR(B431="",D431=""),"",IFERROR(IF(INDEX(Protocolo!$D$5:$D$54,MATCH(B431,Protocolo!$A$5:$A$54,0))="meses",EDATE(D431,INDEX(Protocolo!$C$5:$C$54,MATCH(B431,Protocolo!$A$5:$A$54,0))),D431+INDEX(Protocolo!$C$5:$C$54,MATCH(B431,Protocolo!$A$5:$A$54,0))*IF(INDEX(Protocolo!$D$5:$D$54,MATCH(B431,Protocolo!$A$5:$A$54,0))="semanas",7,1)),""))</f>
      </c>
      <c r="H431" s="15">
        <f>IF(G431="","",G431-TODAY())</f>
      </c>
      <c r="I431" s="12">
        <f>IF(OR(A431="",B431="",D431=""),"",IF(D431=SUMPRODUCT(MAX(($A$5:$A$504=A431)*($B$5:$B$504=B431)*$D$5:$D$504)),"Sí","Reemplazada"))</f>
      </c>
      <c r="J431" s="12">
        <f>IF(I431="","",IF(I431="Reemplazada","Reemplazada",IF(H431="","Sin fecha",IF(H431&lt;0,"Vencida",IF(H431&lt;=IFERROR(IF(INDEX(Protocolo!$E$5:$E$54,MATCH(B431,Protocolo!$A$5:$A$54,0))="",30,INDEX(Protocolo!$E$5:$E$54,MATCH(B431,Protocolo!$A$5:$A$54,0))),30),"Por vencer","Vigente")))))</f>
      </c>
      <c r="K431" s="10"/>
    </row>
    <row r="432" spans="1:11" x14ac:dyDescent="0.25">
      <c r="A432" s="10"/>
      <c r="B432" s="10"/>
      <c r="C432" s="12">
        <f>IF(B432="","",IFERROR(INDEX(Protocolo!$B$5:$B$54,MATCH(B432,Protocolo!$A$5:$A$54,0)),""))</f>
      </c>
      <c r="D432" s="16"/>
      <c r="E432" s="10"/>
      <c r="F432" s="10"/>
      <c r="G432" s="14">
        <f>IF(OR(B432="",D432=""),"",IFERROR(IF(INDEX(Protocolo!$D$5:$D$54,MATCH(B432,Protocolo!$A$5:$A$54,0))="meses",EDATE(D432,INDEX(Protocolo!$C$5:$C$54,MATCH(B432,Protocolo!$A$5:$A$54,0))),D432+INDEX(Protocolo!$C$5:$C$54,MATCH(B432,Protocolo!$A$5:$A$54,0))*IF(INDEX(Protocolo!$D$5:$D$54,MATCH(B432,Protocolo!$A$5:$A$54,0))="semanas",7,1)),""))</f>
      </c>
      <c r="H432" s="15">
        <f>IF(G432="","",G432-TODAY())</f>
      </c>
      <c r="I432" s="12">
        <f>IF(OR(A432="",B432="",D432=""),"",IF(D432=SUMPRODUCT(MAX(($A$5:$A$504=A432)*($B$5:$B$504=B432)*$D$5:$D$504)),"Sí","Reemplazada"))</f>
      </c>
      <c r="J432" s="12">
        <f>IF(I432="","",IF(I432="Reemplazada","Reemplazada",IF(H432="","Sin fecha",IF(H432&lt;0,"Vencida",IF(H432&lt;=IFERROR(IF(INDEX(Protocolo!$E$5:$E$54,MATCH(B432,Protocolo!$A$5:$A$54,0))="",30,INDEX(Protocolo!$E$5:$E$54,MATCH(B432,Protocolo!$A$5:$A$54,0))),30),"Por vencer","Vigente")))))</f>
      </c>
      <c r="K432" s="10"/>
    </row>
    <row r="433" spans="1:11" x14ac:dyDescent="0.25">
      <c r="A433" s="10"/>
      <c r="B433" s="10"/>
      <c r="C433" s="12">
        <f>IF(B433="","",IFERROR(INDEX(Protocolo!$B$5:$B$54,MATCH(B433,Protocolo!$A$5:$A$54,0)),""))</f>
      </c>
      <c r="D433" s="16"/>
      <c r="E433" s="10"/>
      <c r="F433" s="10"/>
      <c r="G433" s="14">
        <f>IF(OR(B433="",D433=""),"",IFERROR(IF(INDEX(Protocolo!$D$5:$D$54,MATCH(B433,Protocolo!$A$5:$A$54,0))="meses",EDATE(D433,INDEX(Protocolo!$C$5:$C$54,MATCH(B433,Protocolo!$A$5:$A$54,0))),D433+INDEX(Protocolo!$C$5:$C$54,MATCH(B433,Protocolo!$A$5:$A$54,0))*IF(INDEX(Protocolo!$D$5:$D$54,MATCH(B433,Protocolo!$A$5:$A$54,0))="semanas",7,1)),""))</f>
      </c>
      <c r="H433" s="15">
        <f>IF(G433="","",G433-TODAY())</f>
      </c>
      <c r="I433" s="12">
        <f>IF(OR(A433="",B433="",D433=""),"",IF(D433=SUMPRODUCT(MAX(($A$5:$A$504=A433)*($B$5:$B$504=B433)*$D$5:$D$504)),"Sí","Reemplazada"))</f>
      </c>
      <c r="J433" s="12">
        <f>IF(I433="","",IF(I433="Reemplazada","Reemplazada",IF(H433="","Sin fecha",IF(H433&lt;0,"Vencida",IF(H433&lt;=IFERROR(IF(INDEX(Protocolo!$E$5:$E$54,MATCH(B433,Protocolo!$A$5:$A$54,0))="",30,INDEX(Protocolo!$E$5:$E$54,MATCH(B433,Protocolo!$A$5:$A$54,0))),30),"Por vencer","Vigente")))))</f>
      </c>
      <c r="K433" s="10"/>
    </row>
    <row r="434" spans="1:11" x14ac:dyDescent="0.25">
      <c r="A434" s="10"/>
      <c r="B434" s="10"/>
      <c r="C434" s="12">
        <f>IF(B434="","",IFERROR(INDEX(Protocolo!$B$5:$B$54,MATCH(B434,Protocolo!$A$5:$A$54,0)),""))</f>
      </c>
      <c r="D434" s="16"/>
      <c r="E434" s="10"/>
      <c r="F434" s="10"/>
      <c r="G434" s="14">
        <f>IF(OR(B434="",D434=""),"",IFERROR(IF(INDEX(Protocolo!$D$5:$D$54,MATCH(B434,Protocolo!$A$5:$A$54,0))="meses",EDATE(D434,INDEX(Protocolo!$C$5:$C$54,MATCH(B434,Protocolo!$A$5:$A$54,0))),D434+INDEX(Protocolo!$C$5:$C$54,MATCH(B434,Protocolo!$A$5:$A$54,0))*IF(INDEX(Protocolo!$D$5:$D$54,MATCH(B434,Protocolo!$A$5:$A$54,0))="semanas",7,1)),""))</f>
      </c>
      <c r="H434" s="15">
        <f>IF(G434="","",G434-TODAY())</f>
      </c>
      <c r="I434" s="12">
        <f>IF(OR(A434="",B434="",D434=""),"",IF(D434=SUMPRODUCT(MAX(($A$5:$A$504=A434)*($B$5:$B$504=B434)*$D$5:$D$504)),"Sí","Reemplazada"))</f>
      </c>
      <c r="J434" s="12">
        <f>IF(I434="","",IF(I434="Reemplazada","Reemplazada",IF(H434="","Sin fecha",IF(H434&lt;0,"Vencida",IF(H434&lt;=IFERROR(IF(INDEX(Protocolo!$E$5:$E$54,MATCH(B434,Protocolo!$A$5:$A$54,0))="",30,INDEX(Protocolo!$E$5:$E$54,MATCH(B434,Protocolo!$A$5:$A$54,0))),30),"Por vencer","Vigente")))))</f>
      </c>
      <c r="K434" s="10"/>
    </row>
    <row r="435" spans="1:11" x14ac:dyDescent="0.25">
      <c r="A435" s="10"/>
      <c r="B435" s="10"/>
      <c r="C435" s="12">
        <f>IF(B435="","",IFERROR(INDEX(Protocolo!$B$5:$B$54,MATCH(B435,Protocolo!$A$5:$A$54,0)),""))</f>
      </c>
      <c r="D435" s="16"/>
      <c r="E435" s="10"/>
      <c r="F435" s="10"/>
      <c r="G435" s="14">
        <f>IF(OR(B435="",D435=""),"",IFERROR(IF(INDEX(Protocolo!$D$5:$D$54,MATCH(B435,Protocolo!$A$5:$A$54,0))="meses",EDATE(D435,INDEX(Protocolo!$C$5:$C$54,MATCH(B435,Protocolo!$A$5:$A$54,0))),D435+INDEX(Protocolo!$C$5:$C$54,MATCH(B435,Protocolo!$A$5:$A$54,0))*IF(INDEX(Protocolo!$D$5:$D$54,MATCH(B435,Protocolo!$A$5:$A$54,0))="semanas",7,1)),""))</f>
      </c>
      <c r="H435" s="15">
        <f>IF(G435="","",G435-TODAY())</f>
      </c>
      <c r="I435" s="12">
        <f>IF(OR(A435="",B435="",D435=""),"",IF(D435=SUMPRODUCT(MAX(($A$5:$A$504=A435)*($B$5:$B$504=B435)*$D$5:$D$504)),"Sí","Reemplazada"))</f>
      </c>
      <c r="J435" s="12">
        <f>IF(I435="","",IF(I435="Reemplazada","Reemplazada",IF(H435="","Sin fecha",IF(H435&lt;0,"Vencida",IF(H435&lt;=IFERROR(IF(INDEX(Protocolo!$E$5:$E$54,MATCH(B435,Protocolo!$A$5:$A$54,0))="",30,INDEX(Protocolo!$E$5:$E$54,MATCH(B435,Protocolo!$A$5:$A$54,0))),30),"Por vencer","Vigente")))))</f>
      </c>
      <c r="K435" s="10"/>
    </row>
    <row r="436" spans="1:11" x14ac:dyDescent="0.25">
      <c r="A436" s="10"/>
      <c r="B436" s="10"/>
      <c r="C436" s="12">
        <f>IF(B436="","",IFERROR(INDEX(Protocolo!$B$5:$B$54,MATCH(B436,Protocolo!$A$5:$A$54,0)),""))</f>
      </c>
      <c r="D436" s="16"/>
      <c r="E436" s="10"/>
      <c r="F436" s="10"/>
      <c r="G436" s="14">
        <f>IF(OR(B436="",D436=""),"",IFERROR(IF(INDEX(Protocolo!$D$5:$D$54,MATCH(B436,Protocolo!$A$5:$A$54,0))="meses",EDATE(D436,INDEX(Protocolo!$C$5:$C$54,MATCH(B436,Protocolo!$A$5:$A$54,0))),D436+INDEX(Protocolo!$C$5:$C$54,MATCH(B436,Protocolo!$A$5:$A$54,0))*IF(INDEX(Protocolo!$D$5:$D$54,MATCH(B436,Protocolo!$A$5:$A$54,0))="semanas",7,1)),""))</f>
      </c>
      <c r="H436" s="15">
        <f>IF(G436="","",G436-TODAY())</f>
      </c>
      <c r="I436" s="12">
        <f>IF(OR(A436="",B436="",D436=""),"",IF(D436=SUMPRODUCT(MAX(($A$5:$A$504=A436)*($B$5:$B$504=B436)*$D$5:$D$504)),"Sí","Reemplazada"))</f>
      </c>
      <c r="J436" s="12">
        <f>IF(I436="","",IF(I436="Reemplazada","Reemplazada",IF(H436="","Sin fecha",IF(H436&lt;0,"Vencida",IF(H436&lt;=IFERROR(IF(INDEX(Protocolo!$E$5:$E$54,MATCH(B436,Protocolo!$A$5:$A$54,0))="",30,INDEX(Protocolo!$E$5:$E$54,MATCH(B436,Protocolo!$A$5:$A$54,0))),30),"Por vencer","Vigente")))))</f>
      </c>
      <c r="K436" s="10"/>
    </row>
    <row r="437" spans="1:11" x14ac:dyDescent="0.25">
      <c r="A437" s="10"/>
      <c r="B437" s="10"/>
      <c r="C437" s="12">
        <f>IF(B437="","",IFERROR(INDEX(Protocolo!$B$5:$B$54,MATCH(B437,Protocolo!$A$5:$A$54,0)),""))</f>
      </c>
      <c r="D437" s="16"/>
      <c r="E437" s="10"/>
      <c r="F437" s="10"/>
      <c r="G437" s="14">
        <f>IF(OR(B437="",D437=""),"",IFERROR(IF(INDEX(Protocolo!$D$5:$D$54,MATCH(B437,Protocolo!$A$5:$A$54,0))="meses",EDATE(D437,INDEX(Protocolo!$C$5:$C$54,MATCH(B437,Protocolo!$A$5:$A$54,0))),D437+INDEX(Protocolo!$C$5:$C$54,MATCH(B437,Protocolo!$A$5:$A$54,0))*IF(INDEX(Protocolo!$D$5:$D$54,MATCH(B437,Protocolo!$A$5:$A$54,0))="semanas",7,1)),""))</f>
      </c>
      <c r="H437" s="15">
        <f>IF(G437="","",G437-TODAY())</f>
      </c>
      <c r="I437" s="12">
        <f>IF(OR(A437="",B437="",D437=""),"",IF(D437=SUMPRODUCT(MAX(($A$5:$A$504=A437)*($B$5:$B$504=B437)*$D$5:$D$504)),"Sí","Reemplazada"))</f>
      </c>
      <c r="J437" s="12">
        <f>IF(I437="","",IF(I437="Reemplazada","Reemplazada",IF(H437="","Sin fecha",IF(H437&lt;0,"Vencida",IF(H437&lt;=IFERROR(IF(INDEX(Protocolo!$E$5:$E$54,MATCH(B437,Protocolo!$A$5:$A$54,0))="",30,INDEX(Protocolo!$E$5:$E$54,MATCH(B437,Protocolo!$A$5:$A$54,0))),30),"Por vencer","Vigente")))))</f>
      </c>
      <c r="K437" s="10"/>
    </row>
    <row r="438" spans="1:11" x14ac:dyDescent="0.25">
      <c r="A438" s="10"/>
      <c r="B438" s="10"/>
      <c r="C438" s="12">
        <f>IF(B438="","",IFERROR(INDEX(Protocolo!$B$5:$B$54,MATCH(B438,Protocolo!$A$5:$A$54,0)),""))</f>
      </c>
      <c r="D438" s="16"/>
      <c r="E438" s="10"/>
      <c r="F438" s="10"/>
      <c r="G438" s="14">
        <f>IF(OR(B438="",D438=""),"",IFERROR(IF(INDEX(Protocolo!$D$5:$D$54,MATCH(B438,Protocolo!$A$5:$A$54,0))="meses",EDATE(D438,INDEX(Protocolo!$C$5:$C$54,MATCH(B438,Protocolo!$A$5:$A$54,0))),D438+INDEX(Protocolo!$C$5:$C$54,MATCH(B438,Protocolo!$A$5:$A$54,0))*IF(INDEX(Protocolo!$D$5:$D$54,MATCH(B438,Protocolo!$A$5:$A$54,0))="semanas",7,1)),""))</f>
      </c>
      <c r="H438" s="15">
        <f>IF(G438="","",G438-TODAY())</f>
      </c>
      <c r="I438" s="12">
        <f>IF(OR(A438="",B438="",D438=""),"",IF(D438=SUMPRODUCT(MAX(($A$5:$A$504=A438)*($B$5:$B$504=B438)*$D$5:$D$504)),"Sí","Reemplazada"))</f>
      </c>
      <c r="J438" s="12">
        <f>IF(I438="","",IF(I438="Reemplazada","Reemplazada",IF(H438="","Sin fecha",IF(H438&lt;0,"Vencida",IF(H438&lt;=IFERROR(IF(INDEX(Protocolo!$E$5:$E$54,MATCH(B438,Protocolo!$A$5:$A$54,0))="",30,INDEX(Protocolo!$E$5:$E$54,MATCH(B438,Protocolo!$A$5:$A$54,0))),30),"Por vencer","Vigente")))))</f>
      </c>
      <c r="K438" s="10"/>
    </row>
    <row r="439" spans="1:11" x14ac:dyDescent="0.25">
      <c r="A439" s="10"/>
      <c r="B439" s="10"/>
      <c r="C439" s="12">
        <f>IF(B439="","",IFERROR(INDEX(Protocolo!$B$5:$B$54,MATCH(B439,Protocolo!$A$5:$A$54,0)),""))</f>
      </c>
      <c r="D439" s="16"/>
      <c r="E439" s="10"/>
      <c r="F439" s="10"/>
      <c r="G439" s="14">
        <f>IF(OR(B439="",D439=""),"",IFERROR(IF(INDEX(Protocolo!$D$5:$D$54,MATCH(B439,Protocolo!$A$5:$A$54,0))="meses",EDATE(D439,INDEX(Protocolo!$C$5:$C$54,MATCH(B439,Protocolo!$A$5:$A$54,0))),D439+INDEX(Protocolo!$C$5:$C$54,MATCH(B439,Protocolo!$A$5:$A$54,0))*IF(INDEX(Protocolo!$D$5:$D$54,MATCH(B439,Protocolo!$A$5:$A$54,0))="semanas",7,1)),""))</f>
      </c>
      <c r="H439" s="15">
        <f>IF(G439="","",G439-TODAY())</f>
      </c>
      <c r="I439" s="12">
        <f>IF(OR(A439="",B439="",D439=""),"",IF(D439=SUMPRODUCT(MAX(($A$5:$A$504=A439)*($B$5:$B$504=B439)*$D$5:$D$504)),"Sí","Reemplazada"))</f>
      </c>
      <c r="J439" s="12">
        <f>IF(I439="","",IF(I439="Reemplazada","Reemplazada",IF(H439="","Sin fecha",IF(H439&lt;0,"Vencida",IF(H439&lt;=IFERROR(IF(INDEX(Protocolo!$E$5:$E$54,MATCH(B439,Protocolo!$A$5:$A$54,0))="",30,INDEX(Protocolo!$E$5:$E$54,MATCH(B439,Protocolo!$A$5:$A$54,0))),30),"Por vencer","Vigente")))))</f>
      </c>
      <c r="K439" s="10"/>
    </row>
    <row r="440" spans="1:11" x14ac:dyDescent="0.25">
      <c r="A440" s="10"/>
      <c r="B440" s="10"/>
      <c r="C440" s="12">
        <f>IF(B440="","",IFERROR(INDEX(Protocolo!$B$5:$B$54,MATCH(B440,Protocolo!$A$5:$A$54,0)),""))</f>
      </c>
      <c r="D440" s="16"/>
      <c r="E440" s="10"/>
      <c r="F440" s="10"/>
      <c r="G440" s="14">
        <f>IF(OR(B440="",D440=""),"",IFERROR(IF(INDEX(Protocolo!$D$5:$D$54,MATCH(B440,Protocolo!$A$5:$A$54,0))="meses",EDATE(D440,INDEX(Protocolo!$C$5:$C$54,MATCH(B440,Protocolo!$A$5:$A$54,0))),D440+INDEX(Protocolo!$C$5:$C$54,MATCH(B440,Protocolo!$A$5:$A$54,0))*IF(INDEX(Protocolo!$D$5:$D$54,MATCH(B440,Protocolo!$A$5:$A$54,0))="semanas",7,1)),""))</f>
      </c>
      <c r="H440" s="15">
        <f>IF(G440="","",G440-TODAY())</f>
      </c>
      <c r="I440" s="12">
        <f>IF(OR(A440="",B440="",D440=""),"",IF(D440=SUMPRODUCT(MAX(($A$5:$A$504=A440)*($B$5:$B$504=B440)*$D$5:$D$504)),"Sí","Reemplazada"))</f>
      </c>
      <c r="J440" s="12">
        <f>IF(I440="","",IF(I440="Reemplazada","Reemplazada",IF(H440="","Sin fecha",IF(H440&lt;0,"Vencida",IF(H440&lt;=IFERROR(IF(INDEX(Protocolo!$E$5:$E$54,MATCH(B440,Protocolo!$A$5:$A$54,0))="",30,INDEX(Protocolo!$E$5:$E$54,MATCH(B440,Protocolo!$A$5:$A$54,0))),30),"Por vencer","Vigente")))))</f>
      </c>
      <c r="K440" s="10"/>
    </row>
    <row r="441" spans="1:11" x14ac:dyDescent="0.25">
      <c r="A441" s="10"/>
      <c r="B441" s="10"/>
      <c r="C441" s="12">
        <f>IF(B441="","",IFERROR(INDEX(Protocolo!$B$5:$B$54,MATCH(B441,Protocolo!$A$5:$A$54,0)),""))</f>
      </c>
      <c r="D441" s="16"/>
      <c r="E441" s="10"/>
      <c r="F441" s="10"/>
      <c r="G441" s="14">
        <f>IF(OR(B441="",D441=""),"",IFERROR(IF(INDEX(Protocolo!$D$5:$D$54,MATCH(B441,Protocolo!$A$5:$A$54,0))="meses",EDATE(D441,INDEX(Protocolo!$C$5:$C$54,MATCH(B441,Protocolo!$A$5:$A$54,0))),D441+INDEX(Protocolo!$C$5:$C$54,MATCH(B441,Protocolo!$A$5:$A$54,0))*IF(INDEX(Protocolo!$D$5:$D$54,MATCH(B441,Protocolo!$A$5:$A$54,0))="semanas",7,1)),""))</f>
      </c>
      <c r="H441" s="15">
        <f>IF(G441="","",G441-TODAY())</f>
      </c>
      <c r="I441" s="12">
        <f>IF(OR(A441="",B441="",D441=""),"",IF(D441=SUMPRODUCT(MAX(($A$5:$A$504=A441)*($B$5:$B$504=B441)*$D$5:$D$504)),"Sí","Reemplazada"))</f>
      </c>
      <c r="J441" s="12">
        <f>IF(I441="","",IF(I441="Reemplazada","Reemplazada",IF(H441="","Sin fecha",IF(H441&lt;0,"Vencida",IF(H441&lt;=IFERROR(IF(INDEX(Protocolo!$E$5:$E$54,MATCH(B441,Protocolo!$A$5:$A$54,0))="",30,INDEX(Protocolo!$E$5:$E$54,MATCH(B441,Protocolo!$A$5:$A$54,0))),30),"Por vencer","Vigente")))))</f>
      </c>
      <c r="K441" s="10"/>
    </row>
    <row r="442" spans="1:11" x14ac:dyDescent="0.25">
      <c r="A442" s="10"/>
      <c r="B442" s="10"/>
      <c r="C442" s="12">
        <f>IF(B442="","",IFERROR(INDEX(Protocolo!$B$5:$B$54,MATCH(B442,Protocolo!$A$5:$A$54,0)),""))</f>
      </c>
      <c r="D442" s="16"/>
      <c r="E442" s="10"/>
      <c r="F442" s="10"/>
      <c r="G442" s="14">
        <f>IF(OR(B442="",D442=""),"",IFERROR(IF(INDEX(Protocolo!$D$5:$D$54,MATCH(B442,Protocolo!$A$5:$A$54,0))="meses",EDATE(D442,INDEX(Protocolo!$C$5:$C$54,MATCH(B442,Protocolo!$A$5:$A$54,0))),D442+INDEX(Protocolo!$C$5:$C$54,MATCH(B442,Protocolo!$A$5:$A$54,0))*IF(INDEX(Protocolo!$D$5:$D$54,MATCH(B442,Protocolo!$A$5:$A$54,0))="semanas",7,1)),""))</f>
      </c>
      <c r="H442" s="15">
        <f>IF(G442="","",G442-TODAY())</f>
      </c>
      <c r="I442" s="12">
        <f>IF(OR(A442="",B442="",D442=""),"",IF(D442=SUMPRODUCT(MAX(($A$5:$A$504=A442)*($B$5:$B$504=B442)*$D$5:$D$504)),"Sí","Reemplazada"))</f>
      </c>
      <c r="J442" s="12">
        <f>IF(I442="","",IF(I442="Reemplazada","Reemplazada",IF(H442="","Sin fecha",IF(H442&lt;0,"Vencida",IF(H442&lt;=IFERROR(IF(INDEX(Protocolo!$E$5:$E$54,MATCH(B442,Protocolo!$A$5:$A$54,0))="",30,INDEX(Protocolo!$E$5:$E$54,MATCH(B442,Protocolo!$A$5:$A$54,0))),30),"Por vencer","Vigente")))))</f>
      </c>
      <c r="K442" s="10"/>
    </row>
    <row r="443" spans="1:11" x14ac:dyDescent="0.25">
      <c r="A443" s="10"/>
      <c r="B443" s="10"/>
      <c r="C443" s="12">
        <f>IF(B443="","",IFERROR(INDEX(Protocolo!$B$5:$B$54,MATCH(B443,Protocolo!$A$5:$A$54,0)),""))</f>
      </c>
      <c r="D443" s="16"/>
      <c r="E443" s="10"/>
      <c r="F443" s="10"/>
      <c r="G443" s="14">
        <f>IF(OR(B443="",D443=""),"",IFERROR(IF(INDEX(Protocolo!$D$5:$D$54,MATCH(B443,Protocolo!$A$5:$A$54,0))="meses",EDATE(D443,INDEX(Protocolo!$C$5:$C$54,MATCH(B443,Protocolo!$A$5:$A$54,0))),D443+INDEX(Protocolo!$C$5:$C$54,MATCH(B443,Protocolo!$A$5:$A$54,0))*IF(INDEX(Protocolo!$D$5:$D$54,MATCH(B443,Protocolo!$A$5:$A$54,0))="semanas",7,1)),""))</f>
      </c>
      <c r="H443" s="15">
        <f>IF(G443="","",G443-TODAY())</f>
      </c>
      <c r="I443" s="12">
        <f>IF(OR(A443="",B443="",D443=""),"",IF(D443=SUMPRODUCT(MAX(($A$5:$A$504=A443)*($B$5:$B$504=B443)*$D$5:$D$504)),"Sí","Reemplazada"))</f>
      </c>
      <c r="J443" s="12">
        <f>IF(I443="","",IF(I443="Reemplazada","Reemplazada",IF(H443="","Sin fecha",IF(H443&lt;0,"Vencida",IF(H443&lt;=IFERROR(IF(INDEX(Protocolo!$E$5:$E$54,MATCH(B443,Protocolo!$A$5:$A$54,0))="",30,INDEX(Protocolo!$E$5:$E$54,MATCH(B443,Protocolo!$A$5:$A$54,0))),30),"Por vencer","Vigente")))))</f>
      </c>
      <c r="K443" s="10"/>
    </row>
    <row r="444" spans="1:11" x14ac:dyDescent="0.25">
      <c r="A444" s="10"/>
      <c r="B444" s="10"/>
      <c r="C444" s="12">
        <f>IF(B444="","",IFERROR(INDEX(Protocolo!$B$5:$B$54,MATCH(B444,Protocolo!$A$5:$A$54,0)),""))</f>
      </c>
      <c r="D444" s="16"/>
      <c r="E444" s="10"/>
      <c r="F444" s="10"/>
      <c r="G444" s="14">
        <f>IF(OR(B444="",D444=""),"",IFERROR(IF(INDEX(Protocolo!$D$5:$D$54,MATCH(B444,Protocolo!$A$5:$A$54,0))="meses",EDATE(D444,INDEX(Protocolo!$C$5:$C$54,MATCH(B444,Protocolo!$A$5:$A$54,0))),D444+INDEX(Protocolo!$C$5:$C$54,MATCH(B444,Protocolo!$A$5:$A$54,0))*IF(INDEX(Protocolo!$D$5:$D$54,MATCH(B444,Protocolo!$A$5:$A$54,0))="semanas",7,1)),""))</f>
      </c>
      <c r="H444" s="15">
        <f>IF(G444="","",G444-TODAY())</f>
      </c>
      <c r="I444" s="12">
        <f>IF(OR(A444="",B444="",D444=""),"",IF(D444=SUMPRODUCT(MAX(($A$5:$A$504=A444)*($B$5:$B$504=B444)*$D$5:$D$504)),"Sí","Reemplazada"))</f>
      </c>
      <c r="J444" s="12">
        <f>IF(I444="","",IF(I444="Reemplazada","Reemplazada",IF(H444="","Sin fecha",IF(H444&lt;0,"Vencida",IF(H444&lt;=IFERROR(IF(INDEX(Protocolo!$E$5:$E$54,MATCH(B444,Protocolo!$A$5:$A$54,0))="",30,INDEX(Protocolo!$E$5:$E$54,MATCH(B444,Protocolo!$A$5:$A$54,0))),30),"Por vencer","Vigente")))))</f>
      </c>
      <c r="K444" s="10"/>
    </row>
    <row r="445" spans="1:11" x14ac:dyDescent="0.25">
      <c r="A445" s="10"/>
      <c r="B445" s="10"/>
      <c r="C445" s="12">
        <f>IF(B445="","",IFERROR(INDEX(Protocolo!$B$5:$B$54,MATCH(B445,Protocolo!$A$5:$A$54,0)),""))</f>
      </c>
      <c r="D445" s="16"/>
      <c r="E445" s="10"/>
      <c r="F445" s="10"/>
      <c r="G445" s="14">
        <f>IF(OR(B445="",D445=""),"",IFERROR(IF(INDEX(Protocolo!$D$5:$D$54,MATCH(B445,Protocolo!$A$5:$A$54,0))="meses",EDATE(D445,INDEX(Protocolo!$C$5:$C$54,MATCH(B445,Protocolo!$A$5:$A$54,0))),D445+INDEX(Protocolo!$C$5:$C$54,MATCH(B445,Protocolo!$A$5:$A$54,0))*IF(INDEX(Protocolo!$D$5:$D$54,MATCH(B445,Protocolo!$A$5:$A$54,0))="semanas",7,1)),""))</f>
      </c>
      <c r="H445" s="15">
        <f>IF(G445="","",G445-TODAY())</f>
      </c>
      <c r="I445" s="12">
        <f>IF(OR(A445="",B445="",D445=""),"",IF(D445=SUMPRODUCT(MAX(($A$5:$A$504=A445)*($B$5:$B$504=B445)*$D$5:$D$504)),"Sí","Reemplazada"))</f>
      </c>
      <c r="J445" s="12">
        <f>IF(I445="","",IF(I445="Reemplazada","Reemplazada",IF(H445="","Sin fecha",IF(H445&lt;0,"Vencida",IF(H445&lt;=IFERROR(IF(INDEX(Protocolo!$E$5:$E$54,MATCH(B445,Protocolo!$A$5:$A$54,0))="",30,INDEX(Protocolo!$E$5:$E$54,MATCH(B445,Protocolo!$A$5:$A$54,0))),30),"Por vencer","Vigente")))))</f>
      </c>
      <c r="K445" s="10"/>
    </row>
    <row r="446" spans="1:11" x14ac:dyDescent="0.25">
      <c r="A446" s="10"/>
      <c r="B446" s="10"/>
      <c r="C446" s="12">
        <f>IF(B446="","",IFERROR(INDEX(Protocolo!$B$5:$B$54,MATCH(B446,Protocolo!$A$5:$A$54,0)),""))</f>
      </c>
      <c r="D446" s="16"/>
      <c r="E446" s="10"/>
      <c r="F446" s="10"/>
      <c r="G446" s="14">
        <f>IF(OR(B446="",D446=""),"",IFERROR(IF(INDEX(Protocolo!$D$5:$D$54,MATCH(B446,Protocolo!$A$5:$A$54,0))="meses",EDATE(D446,INDEX(Protocolo!$C$5:$C$54,MATCH(B446,Protocolo!$A$5:$A$54,0))),D446+INDEX(Protocolo!$C$5:$C$54,MATCH(B446,Protocolo!$A$5:$A$54,0))*IF(INDEX(Protocolo!$D$5:$D$54,MATCH(B446,Protocolo!$A$5:$A$54,0))="semanas",7,1)),""))</f>
      </c>
      <c r="H446" s="15">
        <f>IF(G446="","",G446-TODAY())</f>
      </c>
      <c r="I446" s="12">
        <f>IF(OR(A446="",B446="",D446=""),"",IF(D446=SUMPRODUCT(MAX(($A$5:$A$504=A446)*($B$5:$B$504=B446)*$D$5:$D$504)),"Sí","Reemplazada"))</f>
      </c>
      <c r="J446" s="12">
        <f>IF(I446="","",IF(I446="Reemplazada","Reemplazada",IF(H446="","Sin fecha",IF(H446&lt;0,"Vencida",IF(H446&lt;=IFERROR(IF(INDEX(Protocolo!$E$5:$E$54,MATCH(B446,Protocolo!$A$5:$A$54,0))="",30,INDEX(Protocolo!$E$5:$E$54,MATCH(B446,Protocolo!$A$5:$A$54,0))),30),"Por vencer","Vigente")))))</f>
      </c>
      <c r="K446" s="10"/>
    </row>
    <row r="447" spans="1:11" x14ac:dyDescent="0.25">
      <c r="A447" s="10"/>
      <c r="B447" s="10"/>
      <c r="C447" s="12">
        <f>IF(B447="","",IFERROR(INDEX(Protocolo!$B$5:$B$54,MATCH(B447,Protocolo!$A$5:$A$54,0)),""))</f>
      </c>
      <c r="D447" s="16"/>
      <c r="E447" s="10"/>
      <c r="F447" s="10"/>
      <c r="G447" s="14">
        <f>IF(OR(B447="",D447=""),"",IFERROR(IF(INDEX(Protocolo!$D$5:$D$54,MATCH(B447,Protocolo!$A$5:$A$54,0))="meses",EDATE(D447,INDEX(Protocolo!$C$5:$C$54,MATCH(B447,Protocolo!$A$5:$A$54,0))),D447+INDEX(Protocolo!$C$5:$C$54,MATCH(B447,Protocolo!$A$5:$A$54,0))*IF(INDEX(Protocolo!$D$5:$D$54,MATCH(B447,Protocolo!$A$5:$A$54,0))="semanas",7,1)),""))</f>
      </c>
      <c r="H447" s="15">
        <f>IF(G447="","",G447-TODAY())</f>
      </c>
      <c r="I447" s="12">
        <f>IF(OR(A447="",B447="",D447=""),"",IF(D447=SUMPRODUCT(MAX(($A$5:$A$504=A447)*($B$5:$B$504=B447)*$D$5:$D$504)),"Sí","Reemplazada"))</f>
      </c>
      <c r="J447" s="12">
        <f>IF(I447="","",IF(I447="Reemplazada","Reemplazada",IF(H447="","Sin fecha",IF(H447&lt;0,"Vencida",IF(H447&lt;=IFERROR(IF(INDEX(Protocolo!$E$5:$E$54,MATCH(B447,Protocolo!$A$5:$A$54,0))="",30,INDEX(Protocolo!$E$5:$E$54,MATCH(B447,Protocolo!$A$5:$A$54,0))),30),"Por vencer","Vigente")))))</f>
      </c>
      <c r="K447" s="10"/>
    </row>
    <row r="448" spans="1:11" x14ac:dyDescent="0.25">
      <c r="A448" s="10"/>
      <c r="B448" s="10"/>
      <c r="C448" s="12">
        <f>IF(B448="","",IFERROR(INDEX(Protocolo!$B$5:$B$54,MATCH(B448,Protocolo!$A$5:$A$54,0)),""))</f>
      </c>
      <c r="D448" s="16"/>
      <c r="E448" s="10"/>
      <c r="F448" s="10"/>
      <c r="G448" s="14">
        <f>IF(OR(B448="",D448=""),"",IFERROR(IF(INDEX(Protocolo!$D$5:$D$54,MATCH(B448,Protocolo!$A$5:$A$54,0))="meses",EDATE(D448,INDEX(Protocolo!$C$5:$C$54,MATCH(B448,Protocolo!$A$5:$A$54,0))),D448+INDEX(Protocolo!$C$5:$C$54,MATCH(B448,Protocolo!$A$5:$A$54,0))*IF(INDEX(Protocolo!$D$5:$D$54,MATCH(B448,Protocolo!$A$5:$A$54,0))="semanas",7,1)),""))</f>
      </c>
      <c r="H448" s="15">
        <f>IF(G448="","",G448-TODAY())</f>
      </c>
      <c r="I448" s="12">
        <f>IF(OR(A448="",B448="",D448=""),"",IF(D448=SUMPRODUCT(MAX(($A$5:$A$504=A448)*($B$5:$B$504=B448)*$D$5:$D$504)),"Sí","Reemplazada"))</f>
      </c>
      <c r="J448" s="12">
        <f>IF(I448="","",IF(I448="Reemplazada","Reemplazada",IF(H448="","Sin fecha",IF(H448&lt;0,"Vencida",IF(H448&lt;=IFERROR(IF(INDEX(Protocolo!$E$5:$E$54,MATCH(B448,Protocolo!$A$5:$A$54,0))="",30,INDEX(Protocolo!$E$5:$E$54,MATCH(B448,Protocolo!$A$5:$A$54,0))),30),"Por vencer","Vigente")))))</f>
      </c>
      <c r="K448" s="10"/>
    </row>
    <row r="449" spans="1:11" x14ac:dyDescent="0.25">
      <c r="A449" s="10"/>
      <c r="B449" s="10"/>
      <c r="C449" s="12">
        <f>IF(B449="","",IFERROR(INDEX(Protocolo!$B$5:$B$54,MATCH(B449,Protocolo!$A$5:$A$54,0)),""))</f>
      </c>
      <c r="D449" s="16"/>
      <c r="E449" s="10"/>
      <c r="F449" s="10"/>
      <c r="G449" s="14">
        <f>IF(OR(B449="",D449=""),"",IFERROR(IF(INDEX(Protocolo!$D$5:$D$54,MATCH(B449,Protocolo!$A$5:$A$54,0))="meses",EDATE(D449,INDEX(Protocolo!$C$5:$C$54,MATCH(B449,Protocolo!$A$5:$A$54,0))),D449+INDEX(Protocolo!$C$5:$C$54,MATCH(B449,Protocolo!$A$5:$A$54,0))*IF(INDEX(Protocolo!$D$5:$D$54,MATCH(B449,Protocolo!$A$5:$A$54,0))="semanas",7,1)),""))</f>
      </c>
      <c r="H449" s="15">
        <f>IF(G449="","",G449-TODAY())</f>
      </c>
      <c r="I449" s="12">
        <f>IF(OR(A449="",B449="",D449=""),"",IF(D449=SUMPRODUCT(MAX(($A$5:$A$504=A449)*($B$5:$B$504=B449)*$D$5:$D$504)),"Sí","Reemplazada"))</f>
      </c>
      <c r="J449" s="12">
        <f>IF(I449="","",IF(I449="Reemplazada","Reemplazada",IF(H449="","Sin fecha",IF(H449&lt;0,"Vencida",IF(H449&lt;=IFERROR(IF(INDEX(Protocolo!$E$5:$E$54,MATCH(B449,Protocolo!$A$5:$A$54,0))="",30,INDEX(Protocolo!$E$5:$E$54,MATCH(B449,Protocolo!$A$5:$A$54,0))),30),"Por vencer","Vigente")))))</f>
      </c>
      <c r="K449" s="10"/>
    </row>
    <row r="450" spans="1:11" x14ac:dyDescent="0.25">
      <c r="A450" s="10"/>
      <c r="B450" s="10"/>
      <c r="C450" s="12">
        <f>IF(B450="","",IFERROR(INDEX(Protocolo!$B$5:$B$54,MATCH(B450,Protocolo!$A$5:$A$54,0)),""))</f>
      </c>
      <c r="D450" s="16"/>
      <c r="E450" s="10"/>
      <c r="F450" s="10"/>
      <c r="G450" s="14">
        <f>IF(OR(B450="",D450=""),"",IFERROR(IF(INDEX(Protocolo!$D$5:$D$54,MATCH(B450,Protocolo!$A$5:$A$54,0))="meses",EDATE(D450,INDEX(Protocolo!$C$5:$C$54,MATCH(B450,Protocolo!$A$5:$A$54,0))),D450+INDEX(Protocolo!$C$5:$C$54,MATCH(B450,Protocolo!$A$5:$A$54,0))*IF(INDEX(Protocolo!$D$5:$D$54,MATCH(B450,Protocolo!$A$5:$A$54,0))="semanas",7,1)),""))</f>
      </c>
      <c r="H450" s="15">
        <f>IF(G450="","",G450-TODAY())</f>
      </c>
      <c r="I450" s="12">
        <f>IF(OR(A450="",B450="",D450=""),"",IF(D450=SUMPRODUCT(MAX(($A$5:$A$504=A450)*($B$5:$B$504=B450)*$D$5:$D$504)),"Sí","Reemplazada"))</f>
      </c>
      <c r="J450" s="12">
        <f>IF(I450="","",IF(I450="Reemplazada","Reemplazada",IF(H450="","Sin fecha",IF(H450&lt;0,"Vencida",IF(H450&lt;=IFERROR(IF(INDEX(Protocolo!$E$5:$E$54,MATCH(B450,Protocolo!$A$5:$A$54,0))="",30,INDEX(Protocolo!$E$5:$E$54,MATCH(B450,Protocolo!$A$5:$A$54,0))),30),"Por vencer","Vigente")))))</f>
      </c>
      <c r="K450" s="10"/>
    </row>
    <row r="451" spans="1:11" x14ac:dyDescent="0.25">
      <c r="A451" s="10"/>
      <c r="B451" s="10"/>
      <c r="C451" s="12">
        <f>IF(B451="","",IFERROR(INDEX(Protocolo!$B$5:$B$54,MATCH(B451,Protocolo!$A$5:$A$54,0)),""))</f>
      </c>
      <c r="D451" s="16"/>
      <c r="E451" s="10"/>
      <c r="F451" s="10"/>
      <c r="G451" s="14">
        <f>IF(OR(B451="",D451=""),"",IFERROR(IF(INDEX(Protocolo!$D$5:$D$54,MATCH(B451,Protocolo!$A$5:$A$54,0))="meses",EDATE(D451,INDEX(Protocolo!$C$5:$C$54,MATCH(B451,Protocolo!$A$5:$A$54,0))),D451+INDEX(Protocolo!$C$5:$C$54,MATCH(B451,Protocolo!$A$5:$A$54,0))*IF(INDEX(Protocolo!$D$5:$D$54,MATCH(B451,Protocolo!$A$5:$A$54,0))="semanas",7,1)),""))</f>
      </c>
      <c r="H451" s="15">
        <f>IF(G451="","",G451-TODAY())</f>
      </c>
      <c r="I451" s="12">
        <f>IF(OR(A451="",B451="",D451=""),"",IF(D451=SUMPRODUCT(MAX(($A$5:$A$504=A451)*($B$5:$B$504=B451)*$D$5:$D$504)),"Sí","Reemplazada"))</f>
      </c>
      <c r="J451" s="12">
        <f>IF(I451="","",IF(I451="Reemplazada","Reemplazada",IF(H451="","Sin fecha",IF(H451&lt;0,"Vencida",IF(H451&lt;=IFERROR(IF(INDEX(Protocolo!$E$5:$E$54,MATCH(B451,Protocolo!$A$5:$A$54,0))="",30,INDEX(Protocolo!$E$5:$E$54,MATCH(B451,Protocolo!$A$5:$A$54,0))),30),"Por vencer","Vigente")))))</f>
      </c>
      <c r="K451" s="10"/>
    </row>
    <row r="452" spans="1:11" x14ac:dyDescent="0.25">
      <c r="A452" s="10"/>
      <c r="B452" s="10"/>
      <c r="C452" s="12">
        <f>IF(B452="","",IFERROR(INDEX(Protocolo!$B$5:$B$54,MATCH(B452,Protocolo!$A$5:$A$54,0)),""))</f>
      </c>
      <c r="D452" s="16"/>
      <c r="E452" s="10"/>
      <c r="F452" s="10"/>
      <c r="G452" s="14">
        <f>IF(OR(B452="",D452=""),"",IFERROR(IF(INDEX(Protocolo!$D$5:$D$54,MATCH(B452,Protocolo!$A$5:$A$54,0))="meses",EDATE(D452,INDEX(Protocolo!$C$5:$C$54,MATCH(B452,Protocolo!$A$5:$A$54,0))),D452+INDEX(Protocolo!$C$5:$C$54,MATCH(B452,Protocolo!$A$5:$A$54,0))*IF(INDEX(Protocolo!$D$5:$D$54,MATCH(B452,Protocolo!$A$5:$A$54,0))="semanas",7,1)),""))</f>
      </c>
      <c r="H452" s="15">
        <f>IF(G452="","",G452-TODAY())</f>
      </c>
      <c r="I452" s="12">
        <f>IF(OR(A452="",B452="",D452=""),"",IF(D452=SUMPRODUCT(MAX(($A$5:$A$504=A452)*($B$5:$B$504=B452)*$D$5:$D$504)),"Sí","Reemplazada"))</f>
      </c>
      <c r="J452" s="12">
        <f>IF(I452="","",IF(I452="Reemplazada","Reemplazada",IF(H452="","Sin fecha",IF(H452&lt;0,"Vencida",IF(H452&lt;=IFERROR(IF(INDEX(Protocolo!$E$5:$E$54,MATCH(B452,Protocolo!$A$5:$A$54,0))="",30,INDEX(Protocolo!$E$5:$E$54,MATCH(B452,Protocolo!$A$5:$A$54,0))),30),"Por vencer","Vigente")))))</f>
      </c>
      <c r="K452" s="10"/>
    </row>
    <row r="453" spans="1:11" x14ac:dyDescent="0.25">
      <c r="A453" s="10"/>
      <c r="B453" s="10"/>
      <c r="C453" s="12">
        <f>IF(B453="","",IFERROR(INDEX(Protocolo!$B$5:$B$54,MATCH(B453,Protocolo!$A$5:$A$54,0)),""))</f>
      </c>
      <c r="D453" s="16"/>
      <c r="E453" s="10"/>
      <c r="F453" s="10"/>
      <c r="G453" s="14">
        <f>IF(OR(B453="",D453=""),"",IFERROR(IF(INDEX(Protocolo!$D$5:$D$54,MATCH(B453,Protocolo!$A$5:$A$54,0))="meses",EDATE(D453,INDEX(Protocolo!$C$5:$C$54,MATCH(B453,Protocolo!$A$5:$A$54,0))),D453+INDEX(Protocolo!$C$5:$C$54,MATCH(B453,Protocolo!$A$5:$A$54,0))*IF(INDEX(Protocolo!$D$5:$D$54,MATCH(B453,Protocolo!$A$5:$A$54,0))="semanas",7,1)),""))</f>
      </c>
      <c r="H453" s="15">
        <f>IF(G453="","",G453-TODAY())</f>
      </c>
      <c r="I453" s="12">
        <f>IF(OR(A453="",B453="",D453=""),"",IF(D453=SUMPRODUCT(MAX(($A$5:$A$504=A453)*($B$5:$B$504=B453)*$D$5:$D$504)),"Sí","Reemplazada"))</f>
      </c>
      <c r="J453" s="12">
        <f>IF(I453="","",IF(I453="Reemplazada","Reemplazada",IF(H453="","Sin fecha",IF(H453&lt;0,"Vencida",IF(H453&lt;=IFERROR(IF(INDEX(Protocolo!$E$5:$E$54,MATCH(B453,Protocolo!$A$5:$A$54,0))="",30,INDEX(Protocolo!$E$5:$E$54,MATCH(B453,Protocolo!$A$5:$A$54,0))),30),"Por vencer","Vigente")))))</f>
      </c>
      <c r="K453" s="10"/>
    </row>
    <row r="454" spans="1:11" x14ac:dyDescent="0.25">
      <c r="A454" s="10"/>
      <c r="B454" s="10"/>
      <c r="C454" s="12">
        <f>IF(B454="","",IFERROR(INDEX(Protocolo!$B$5:$B$54,MATCH(B454,Protocolo!$A$5:$A$54,0)),""))</f>
      </c>
      <c r="D454" s="16"/>
      <c r="E454" s="10"/>
      <c r="F454" s="10"/>
      <c r="G454" s="14">
        <f>IF(OR(B454="",D454=""),"",IFERROR(IF(INDEX(Protocolo!$D$5:$D$54,MATCH(B454,Protocolo!$A$5:$A$54,0))="meses",EDATE(D454,INDEX(Protocolo!$C$5:$C$54,MATCH(B454,Protocolo!$A$5:$A$54,0))),D454+INDEX(Protocolo!$C$5:$C$54,MATCH(B454,Protocolo!$A$5:$A$54,0))*IF(INDEX(Protocolo!$D$5:$D$54,MATCH(B454,Protocolo!$A$5:$A$54,0))="semanas",7,1)),""))</f>
      </c>
      <c r="H454" s="15">
        <f>IF(G454="","",G454-TODAY())</f>
      </c>
      <c r="I454" s="12">
        <f>IF(OR(A454="",B454="",D454=""),"",IF(D454=SUMPRODUCT(MAX(($A$5:$A$504=A454)*($B$5:$B$504=B454)*$D$5:$D$504)),"Sí","Reemplazada"))</f>
      </c>
      <c r="J454" s="12">
        <f>IF(I454="","",IF(I454="Reemplazada","Reemplazada",IF(H454="","Sin fecha",IF(H454&lt;0,"Vencida",IF(H454&lt;=IFERROR(IF(INDEX(Protocolo!$E$5:$E$54,MATCH(B454,Protocolo!$A$5:$A$54,0))="",30,INDEX(Protocolo!$E$5:$E$54,MATCH(B454,Protocolo!$A$5:$A$54,0))),30),"Por vencer","Vigente")))))</f>
      </c>
      <c r="K454" s="10"/>
    </row>
    <row r="455" spans="1:11" x14ac:dyDescent="0.25">
      <c r="A455" s="10"/>
      <c r="B455" s="10"/>
      <c r="C455" s="12">
        <f>IF(B455="","",IFERROR(INDEX(Protocolo!$B$5:$B$54,MATCH(B455,Protocolo!$A$5:$A$54,0)),""))</f>
      </c>
      <c r="D455" s="16"/>
      <c r="E455" s="10"/>
      <c r="F455" s="10"/>
      <c r="G455" s="14">
        <f>IF(OR(B455="",D455=""),"",IFERROR(IF(INDEX(Protocolo!$D$5:$D$54,MATCH(B455,Protocolo!$A$5:$A$54,0))="meses",EDATE(D455,INDEX(Protocolo!$C$5:$C$54,MATCH(B455,Protocolo!$A$5:$A$54,0))),D455+INDEX(Protocolo!$C$5:$C$54,MATCH(B455,Protocolo!$A$5:$A$54,0))*IF(INDEX(Protocolo!$D$5:$D$54,MATCH(B455,Protocolo!$A$5:$A$54,0))="semanas",7,1)),""))</f>
      </c>
      <c r="H455" s="15">
        <f>IF(G455="","",G455-TODAY())</f>
      </c>
      <c r="I455" s="12">
        <f>IF(OR(A455="",B455="",D455=""),"",IF(D455=SUMPRODUCT(MAX(($A$5:$A$504=A455)*($B$5:$B$504=B455)*$D$5:$D$504)),"Sí","Reemplazada"))</f>
      </c>
      <c r="J455" s="12">
        <f>IF(I455="","",IF(I455="Reemplazada","Reemplazada",IF(H455="","Sin fecha",IF(H455&lt;0,"Vencida",IF(H455&lt;=IFERROR(IF(INDEX(Protocolo!$E$5:$E$54,MATCH(B455,Protocolo!$A$5:$A$54,0))="",30,INDEX(Protocolo!$E$5:$E$54,MATCH(B455,Protocolo!$A$5:$A$54,0))),30),"Por vencer","Vigente")))))</f>
      </c>
      <c r="K455" s="10"/>
    </row>
    <row r="456" spans="1:11" x14ac:dyDescent="0.25">
      <c r="A456" s="10"/>
      <c r="B456" s="10"/>
      <c r="C456" s="12">
        <f>IF(B456="","",IFERROR(INDEX(Protocolo!$B$5:$B$54,MATCH(B456,Protocolo!$A$5:$A$54,0)),""))</f>
      </c>
      <c r="D456" s="16"/>
      <c r="E456" s="10"/>
      <c r="F456" s="10"/>
      <c r="G456" s="14">
        <f>IF(OR(B456="",D456=""),"",IFERROR(IF(INDEX(Protocolo!$D$5:$D$54,MATCH(B456,Protocolo!$A$5:$A$54,0))="meses",EDATE(D456,INDEX(Protocolo!$C$5:$C$54,MATCH(B456,Protocolo!$A$5:$A$54,0))),D456+INDEX(Protocolo!$C$5:$C$54,MATCH(B456,Protocolo!$A$5:$A$54,0))*IF(INDEX(Protocolo!$D$5:$D$54,MATCH(B456,Protocolo!$A$5:$A$54,0))="semanas",7,1)),""))</f>
      </c>
      <c r="H456" s="15">
        <f>IF(G456="","",G456-TODAY())</f>
      </c>
      <c r="I456" s="12">
        <f>IF(OR(A456="",B456="",D456=""),"",IF(D456=SUMPRODUCT(MAX(($A$5:$A$504=A456)*($B$5:$B$504=B456)*$D$5:$D$504)),"Sí","Reemplazada"))</f>
      </c>
      <c r="J456" s="12">
        <f>IF(I456="","",IF(I456="Reemplazada","Reemplazada",IF(H456="","Sin fecha",IF(H456&lt;0,"Vencida",IF(H456&lt;=IFERROR(IF(INDEX(Protocolo!$E$5:$E$54,MATCH(B456,Protocolo!$A$5:$A$54,0))="",30,INDEX(Protocolo!$E$5:$E$54,MATCH(B456,Protocolo!$A$5:$A$54,0))),30),"Por vencer","Vigente")))))</f>
      </c>
      <c r="K456" s="10"/>
    </row>
    <row r="457" spans="1:11" x14ac:dyDescent="0.25">
      <c r="A457" s="10"/>
      <c r="B457" s="10"/>
      <c r="C457" s="12">
        <f>IF(B457="","",IFERROR(INDEX(Protocolo!$B$5:$B$54,MATCH(B457,Protocolo!$A$5:$A$54,0)),""))</f>
      </c>
      <c r="D457" s="16"/>
      <c r="E457" s="10"/>
      <c r="F457" s="10"/>
      <c r="G457" s="14">
        <f>IF(OR(B457="",D457=""),"",IFERROR(IF(INDEX(Protocolo!$D$5:$D$54,MATCH(B457,Protocolo!$A$5:$A$54,0))="meses",EDATE(D457,INDEX(Protocolo!$C$5:$C$54,MATCH(B457,Protocolo!$A$5:$A$54,0))),D457+INDEX(Protocolo!$C$5:$C$54,MATCH(B457,Protocolo!$A$5:$A$54,0))*IF(INDEX(Protocolo!$D$5:$D$54,MATCH(B457,Protocolo!$A$5:$A$54,0))="semanas",7,1)),""))</f>
      </c>
      <c r="H457" s="15">
        <f>IF(G457="","",G457-TODAY())</f>
      </c>
      <c r="I457" s="12">
        <f>IF(OR(A457="",B457="",D457=""),"",IF(D457=SUMPRODUCT(MAX(($A$5:$A$504=A457)*($B$5:$B$504=B457)*$D$5:$D$504)),"Sí","Reemplazada"))</f>
      </c>
      <c r="J457" s="12">
        <f>IF(I457="","",IF(I457="Reemplazada","Reemplazada",IF(H457="","Sin fecha",IF(H457&lt;0,"Vencida",IF(H457&lt;=IFERROR(IF(INDEX(Protocolo!$E$5:$E$54,MATCH(B457,Protocolo!$A$5:$A$54,0))="",30,INDEX(Protocolo!$E$5:$E$54,MATCH(B457,Protocolo!$A$5:$A$54,0))),30),"Por vencer","Vigente")))))</f>
      </c>
      <c r="K457" s="10"/>
    </row>
    <row r="458" spans="1:11" x14ac:dyDescent="0.25">
      <c r="A458" s="10"/>
      <c r="B458" s="10"/>
      <c r="C458" s="12">
        <f>IF(B458="","",IFERROR(INDEX(Protocolo!$B$5:$B$54,MATCH(B458,Protocolo!$A$5:$A$54,0)),""))</f>
      </c>
      <c r="D458" s="16"/>
      <c r="E458" s="10"/>
      <c r="F458" s="10"/>
      <c r="G458" s="14">
        <f>IF(OR(B458="",D458=""),"",IFERROR(IF(INDEX(Protocolo!$D$5:$D$54,MATCH(B458,Protocolo!$A$5:$A$54,0))="meses",EDATE(D458,INDEX(Protocolo!$C$5:$C$54,MATCH(B458,Protocolo!$A$5:$A$54,0))),D458+INDEX(Protocolo!$C$5:$C$54,MATCH(B458,Protocolo!$A$5:$A$54,0))*IF(INDEX(Protocolo!$D$5:$D$54,MATCH(B458,Protocolo!$A$5:$A$54,0))="semanas",7,1)),""))</f>
      </c>
      <c r="H458" s="15">
        <f>IF(G458="","",G458-TODAY())</f>
      </c>
      <c r="I458" s="12">
        <f>IF(OR(A458="",B458="",D458=""),"",IF(D458=SUMPRODUCT(MAX(($A$5:$A$504=A458)*($B$5:$B$504=B458)*$D$5:$D$504)),"Sí","Reemplazada"))</f>
      </c>
      <c r="J458" s="12">
        <f>IF(I458="","",IF(I458="Reemplazada","Reemplazada",IF(H458="","Sin fecha",IF(H458&lt;0,"Vencida",IF(H458&lt;=IFERROR(IF(INDEX(Protocolo!$E$5:$E$54,MATCH(B458,Protocolo!$A$5:$A$54,0))="",30,INDEX(Protocolo!$E$5:$E$54,MATCH(B458,Protocolo!$A$5:$A$54,0))),30),"Por vencer","Vigente")))))</f>
      </c>
      <c r="K458" s="10"/>
    </row>
    <row r="459" spans="1:11" x14ac:dyDescent="0.25">
      <c r="A459" s="10"/>
      <c r="B459" s="10"/>
      <c r="C459" s="12">
        <f>IF(B459="","",IFERROR(INDEX(Protocolo!$B$5:$B$54,MATCH(B459,Protocolo!$A$5:$A$54,0)),""))</f>
      </c>
      <c r="D459" s="16"/>
      <c r="E459" s="10"/>
      <c r="F459" s="10"/>
      <c r="G459" s="14">
        <f>IF(OR(B459="",D459=""),"",IFERROR(IF(INDEX(Protocolo!$D$5:$D$54,MATCH(B459,Protocolo!$A$5:$A$54,0))="meses",EDATE(D459,INDEX(Protocolo!$C$5:$C$54,MATCH(B459,Protocolo!$A$5:$A$54,0))),D459+INDEX(Protocolo!$C$5:$C$54,MATCH(B459,Protocolo!$A$5:$A$54,0))*IF(INDEX(Protocolo!$D$5:$D$54,MATCH(B459,Protocolo!$A$5:$A$54,0))="semanas",7,1)),""))</f>
      </c>
      <c r="H459" s="15">
        <f>IF(G459="","",G459-TODAY())</f>
      </c>
      <c r="I459" s="12">
        <f>IF(OR(A459="",B459="",D459=""),"",IF(D459=SUMPRODUCT(MAX(($A$5:$A$504=A459)*($B$5:$B$504=B459)*$D$5:$D$504)),"Sí","Reemplazada"))</f>
      </c>
      <c r="J459" s="12">
        <f>IF(I459="","",IF(I459="Reemplazada","Reemplazada",IF(H459="","Sin fecha",IF(H459&lt;0,"Vencida",IF(H459&lt;=IFERROR(IF(INDEX(Protocolo!$E$5:$E$54,MATCH(B459,Protocolo!$A$5:$A$54,0))="",30,INDEX(Protocolo!$E$5:$E$54,MATCH(B459,Protocolo!$A$5:$A$54,0))),30),"Por vencer","Vigente")))))</f>
      </c>
      <c r="K459" s="10"/>
    </row>
    <row r="460" spans="1:11" x14ac:dyDescent="0.25">
      <c r="A460" s="10"/>
      <c r="B460" s="10"/>
      <c r="C460" s="12">
        <f>IF(B460="","",IFERROR(INDEX(Protocolo!$B$5:$B$54,MATCH(B460,Protocolo!$A$5:$A$54,0)),""))</f>
      </c>
      <c r="D460" s="16"/>
      <c r="E460" s="10"/>
      <c r="F460" s="10"/>
      <c r="G460" s="14">
        <f>IF(OR(B460="",D460=""),"",IFERROR(IF(INDEX(Protocolo!$D$5:$D$54,MATCH(B460,Protocolo!$A$5:$A$54,0))="meses",EDATE(D460,INDEX(Protocolo!$C$5:$C$54,MATCH(B460,Protocolo!$A$5:$A$54,0))),D460+INDEX(Protocolo!$C$5:$C$54,MATCH(B460,Protocolo!$A$5:$A$54,0))*IF(INDEX(Protocolo!$D$5:$D$54,MATCH(B460,Protocolo!$A$5:$A$54,0))="semanas",7,1)),""))</f>
      </c>
      <c r="H460" s="15">
        <f>IF(G460="","",G460-TODAY())</f>
      </c>
      <c r="I460" s="12">
        <f>IF(OR(A460="",B460="",D460=""),"",IF(D460=SUMPRODUCT(MAX(($A$5:$A$504=A460)*($B$5:$B$504=B460)*$D$5:$D$504)),"Sí","Reemplazada"))</f>
      </c>
      <c r="J460" s="12">
        <f>IF(I460="","",IF(I460="Reemplazada","Reemplazada",IF(H460="","Sin fecha",IF(H460&lt;0,"Vencida",IF(H460&lt;=IFERROR(IF(INDEX(Protocolo!$E$5:$E$54,MATCH(B460,Protocolo!$A$5:$A$54,0))="",30,INDEX(Protocolo!$E$5:$E$54,MATCH(B460,Protocolo!$A$5:$A$54,0))),30),"Por vencer","Vigente")))))</f>
      </c>
      <c r="K460" s="10"/>
    </row>
    <row r="461" spans="1:11" x14ac:dyDescent="0.25">
      <c r="A461" s="10"/>
      <c r="B461" s="10"/>
      <c r="C461" s="12">
        <f>IF(B461="","",IFERROR(INDEX(Protocolo!$B$5:$B$54,MATCH(B461,Protocolo!$A$5:$A$54,0)),""))</f>
      </c>
      <c r="D461" s="16"/>
      <c r="E461" s="10"/>
      <c r="F461" s="10"/>
      <c r="G461" s="14">
        <f>IF(OR(B461="",D461=""),"",IFERROR(IF(INDEX(Protocolo!$D$5:$D$54,MATCH(B461,Protocolo!$A$5:$A$54,0))="meses",EDATE(D461,INDEX(Protocolo!$C$5:$C$54,MATCH(B461,Protocolo!$A$5:$A$54,0))),D461+INDEX(Protocolo!$C$5:$C$54,MATCH(B461,Protocolo!$A$5:$A$54,0))*IF(INDEX(Protocolo!$D$5:$D$54,MATCH(B461,Protocolo!$A$5:$A$54,0))="semanas",7,1)),""))</f>
      </c>
      <c r="H461" s="15">
        <f>IF(G461="","",G461-TODAY())</f>
      </c>
      <c r="I461" s="12">
        <f>IF(OR(A461="",B461="",D461=""),"",IF(D461=SUMPRODUCT(MAX(($A$5:$A$504=A461)*($B$5:$B$504=B461)*$D$5:$D$504)),"Sí","Reemplazada"))</f>
      </c>
      <c r="J461" s="12">
        <f>IF(I461="","",IF(I461="Reemplazada","Reemplazada",IF(H461="","Sin fecha",IF(H461&lt;0,"Vencida",IF(H461&lt;=IFERROR(IF(INDEX(Protocolo!$E$5:$E$54,MATCH(B461,Protocolo!$A$5:$A$54,0))="",30,INDEX(Protocolo!$E$5:$E$54,MATCH(B461,Protocolo!$A$5:$A$54,0))),30),"Por vencer","Vigente")))))</f>
      </c>
      <c r="K461" s="10"/>
    </row>
    <row r="462" spans="1:11" x14ac:dyDescent="0.25">
      <c r="A462" s="10"/>
      <c r="B462" s="10"/>
      <c r="C462" s="12">
        <f>IF(B462="","",IFERROR(INDEX(Protocolo!$B$5:$B$54,MATCH(B462,Protocolo!$A$5:$A$54,0)),""))</f>
      </c>
      <c r="D462" s="16"/>
      <c r="E462" s="10"/>
      <c r="F462" s="10"/>
      <c r="G462" s="14">
        <f>IF(OR(B462="",D462=""),"",IFERROR(IF(INDEX(Protocolo!$D$5:$D$54,MATCH(B462,Protocolo!$A$5:$A$54,0))="meses",EDATE(D462,INDEX(Protocolo!$C$5:$C$54,MATCH(B462,Protocolo!$A$5:$A$54,0))),D462+INDEX(Protocolo!$C$5:$C$54,MATCH(B462,Protocolo!$A$5:$A$54,0))*IF(INDEX(Protocolo!$D$5:$D$54,MATCH(B462,Protocolo!$A$5:$A$54,0))="semanas",7,1)),""))</f>
      </c>
      <c r="H462" s="15">
        <f>IF(G462="","",G462-TODAY())</f>
      </c>
      <c r="I462" s="12">
        <f>IF(OR(A462="",B462="",D462=""),"",IF(D462=SUMPRODUCT(MAX(($A$5:$A$504=A462)*($B$5:$B$504=B462)*$D$5:$D$504)),"Sí","Reemplazada"))</f>
      </c>
      <c r="J462" s="12">
        <f>IF(I462="","",IF(I462="Reemplazada","Reemplazada",IF(H462="","Sin fecha",IF(H462&lt;0,"Vencida",IF(H462&lt;=IFERROR(IF(INDEX(Protocolo!$E$5:$E$54,MATCH(B462,Protocolo!$A$5:$A$54,0))="",30,INDEX(Protocolo!$E$5:$E$54,MATCH(B462,Protocolo!$A$5:$A$54,0))),30),"Por vencer","Vigente")))))</f>
      </c>
      <c r="K462" s="10"/>
    </row>
    <row r="463" spans="1:11" x14ac:dyDescent="0.25">
      <c r="A463" s="10"/>
      <c r="B463" s="10"/>
      <c r="C463" s="12">
        <f>IF(B463="","",IFERROR(INDEX(Protocolo!$B$5:$B$54,MATCH(B463,Protocolo!$A$5:$A$54,0)),""))</f>
      </c>
      <c r="D463" s="16"/>
      <c r="E463" s="10"/>
      <c r="F463" s="10"/>
      <c r="G463" s="14">
        <f>IF(OR(B463="",D463=""),"",IFERROR(IF(INDEX(Protocolo!$D$5:$D$54,MATCH(B463,Protocolo!$A$5:$A$54,0))="meses",EDATE(D463,INDEX(Protocolo!$C$5:$C$54,MATCH(B463,Protocolo!$A$5:$A$54,0))),D463+INDEX(Protocolo!$C$5:$C$54,MATCH(B463,Protocolo!$A$5:$A$54,0))*IF(INDEX(Protocolo!$D$5:$D$54,MATCH(B463,Protocolo!$A$5:$A$54,0))="semanas",7,1)),""))</f>
      </c>
      <c r="H463" s="15">
        <f>IF(G463="","",G463-TODAY())</f>
      </c>
      <c r="I463" s="12">
        <f>IF(OR(A463="",B463="",D463=""),"",IF(D463=SUMPRODUCT(MAX(($A$5:$A$504=A463)*($B$5:$B$504=B463)*$D$5:$D$504)),"Sí","Reemplazada"))</f>
      </c>
      <c r="J463" s="12">
        <f>IF(I463="","",IF(I463="Reemplazada","Reemplazada",IF(H463="","Sin fecha",IF(H463&lt;0,"Vencida",IF(H463&lt;=IFERROR(IF(INDEX(Protocolo!$E$5:$E$54,MATCH(B463,Protocolo!$A$5:$A$54,0))="",30,INDEX(Protocolo!$E$5:$E$54,MATCH(B463,Protocolo!$A$5:$A$54,0))),30),"Por vencer","Vigente")))))</f>
      </c>
      <c r="K463" s="10"/>
    </row>
    <row r="464" spans="1:11" x14ac:dyDescent="0.25">
      <c r="A464" s="10"/>
      <c r="B464" s="10"/>
      <c r="C464" s="12">
        <f>IF(B464="","",IFERROR(INDEX(Protocolo!$B$5:$B$54,MATCH(B464,Protocolo!$A$5:$A$54,0)),""))</f>
      </c>
      <c r="D464" s="16"/>
      <c r="E464" s="10"/>
      <c r="F464" s="10"/>
      <c r="G464" s="14">
        <f>IF(OR(B464="",D464=""),"",IFERROR(IF(INDEX(Protocolo!$D$5:$D$54,MATCH(B464,Protocolo!$A$5:$A$54,0))="meses",EDATE(D464,INDEX(Protocolo!$C$5:$C$54,MATCH(B464,Protocolo!$A$5:$A$54,0))),D464+INDEX(Protocolo!$C$5:$C$54,MATCH(B464,Protocolo!$A$5:$A$54,0))*IF(INDEX(Protocolo!$D$5:$D$54,MATCH(B464,Protocolo!$A$5:$A$54,0))="semanas",7,1)),""))</f>
      </c>
      <c r="H464" s="15">
        <f>IF(G464="","",G464-TODAY())</f>
      </c>
      <c r="I464" s="12">
        <f>IF(OR(A464="",B464="",D464=""),"",IF(D464=SUMPRODUCT(MAX(($A$5:$A$504=A464)*($B$5:$B$504=B464)*$D$5:$D$504)),"Sí","Reemplazada"))</f>
      </c>
      <c r="J464" s="12">
        <f>IF(I464="","",IF(I464="Reemplazada","Reemplazada",IF(H464="","Sin fecha",IF(H464&lt;0,"Vencida",IF(H464&lt;=IFERROR(IF(INDEX(Protocolo!$E$5:$E$54,MATCH(B464,Protocolo!$A$5:$A$54,0))="",30,INDEX(Protocolo!$E$5:$E$54,MATCH(B464,Protocolo!$A$5:$A$54,0))),30),"Por vencer","Vigente")))))</f>
      </c>
      <c r="K464" s="10"/>
    </row>
    <row r="465" spans="1:11" x14ac:dyDescent="0.25">
      <c r="A465" s="10"/>
      <c r="B465" s="10"/>
      <c r="C465" s="12">
        <f>IF(B465="","",IFERROR(INDEX(Protocolo!$B$5:$B$54,MATCH(B465,Protocolo!$A$5:$A$54,0)),""))</f>
      </c>
      <c r="D465" s="16"/>
      <c r="E465" s="10"/>
      <c r="F465" s="10"/>
      <c r="G465" s="14">
        <f>IF(OR(B465="",D465=""),"",IFERROR(IF(INDEX(Protocolo!$D$5:$D$54,MATCH(B465,Protocolo!$A$5:$A$54,0))="meses",EDATE(D465,INDEX(Protocolo!$C$5:$C$54,MATCH(B465,Protocolo!$A$5:$A$54,0))),D465+INDEX(Protocolo!$C$5:$C$54,MATCH(B465,Protocolo!$A$5:$A$54,0))*IF(INDEX(Protocolo!$D$5:$D$54,MATCH(B465,Protocolo!$A$5:$A$54,0))="semanas",7,1)),""))</f>
      </c>
      <c r="H465" s="15">
        <f>IF(G465="","",G465-TODAY())</f>
      </c>
      <c r="I465" s="12">
        <f>IF(OR(A465="",B465="",D465=""),"",IF(D465=SUMPRODUCT(MAX(($A$5:$A$504=A465)*($B$5:$B$504=B465)*$D$5:$D$504)),"Sí","Reemplazada"))</f>
      </c>
      <c r="J465" s="12">
        <f>IF(I465="","",IF(I465="Reemplazada","Reemplazada",IF(H465="","Sin fecha",IF(H465&lt;0,"Vencida",IF(H465&lt;=IFERROR(IF(INDEX(Protocolo!$E$5:$E$54,MATCH(B465,Protocolo!$A$5:$A$54,0))="",30,INDEX(Protocolo!$E$5:$E$54,MATCH(B465,Protocolo!$A$5:$A$54,0))),30),"Por vencer","Vigente")))))</f>
      </c>
      <c r="K465" s="10"/>
    </row>
    <row r="466" spans="1:11" x14ac:dyDescent="0.25">
      <c r="A466" s="10"/>
      <c r="B466" s="10"/>
      <c r="C466" s="12">
        <f>IF(B466="","",IFERROR(INDEX(Protocolo!$B$5:$B$54,MATCH(B466,Protocolo!$A$5:$A$54,0)),""))</f>
      </c>
      <c r="D466" s="16"/>
      <c r="E466" s="10"/>
      <c r="F466" s="10"/>
      <c r="G466" s="14">
        <f>IF(OR(B466="",D466=""),"",IFERROR(IF(INDEX(Protocolo!$D$5:$D$54,MATCH(B466,Protocolo!$A$5:$A$54,0))="meses",EDATE(D466,INDEX(Protocolo!$C$5:$C$54,MATCH(B466,Protocolo!$A$5:$A$54,0))),D466+INDEX(Protocolo!$C$5:$C$54,MATCH(B466,Protocolo!$A$5:$A$54,0))*IF(INDEX(Protocolo!$D$5:$D$54,MATCH(B466,Protocolo!$A$5:$A$54,0))="semanas",7,1)),""))</f>
      </c>
      <c r="H466" s="15">
        <f>IF(G466="","",G466-TODAY())</f>
      </c>
      <c r="I466" s="12">
        <f>IF(OR(A466="",B466="",D466=""),"",IF(D466=SUMPRODUCT(MAX(($A$5:$A$504=A466)*($B$5:$B$504=B466)*$D$5:$D$504)),"Sí","Reemplazada"))</f>
      </c>
      <c r="J466" s="12">
        <f>IF(I466="","",IF(I466="Reemplazada","Reemplazada",IF(H466="","Sin fecha",IF(H466&lt;0,"Vencida",IF(H466&lt;=IFERROR(IF(INDEX(Protocolo!$E$5:$E$54,MATCH(B466,Protocolo!$A$5:$A$54,0))="",30,INDEX(Protocolo!$E$5:$E$54,MATCH(B466,Protocolo!$A$5:$A$54,0))),30),"Por vencer","Vigente")))))</f>
      </c>
      <c r="K466" s="10"/>
    </row>
    <row r="467" spans="1:11" x14ac:dyDescent="0.25">
      <c r="A467" s="10"/>
      <c r="B467" s="10"/>
      <c r="C467" s="12">
        <f>IF(B467="","",IFERROR(INDEX(Protocolo!$B$5:$B$54,MATCH(B467,Protocolo!$A$5:$A$54,0)),""))</f>
      </c>
      <c r="D467" s="16"/>
      <c r="E467" s="10"/>
      <c r="F467" s="10"/>
      <c r="G467" s="14">
        <f>IF(OR(B467="",D467=""),"",IFERROR(IF(INDEX(Protocolo!$D$5:$D$54,MATCH(B467,Protocolo!$A$5:$A$54,0))="meses",EDATE(D467,INDEX(Protocolo!$C$5:$C$54,MATCH(B467,Protocolo!$A$5:$A$54,0))),D467+INDEX(Protocolo!$C$5:$C$54,MATCH(B467,Protocolo!$A$5:$A$54,0))*IF(INDEX(Protocolo!$D$5:$D$54,MATCH(B467,Protocolo!$A$5:$A$54,0))="semanas",7,1)),""))</f>
      </c>
      <c r="H467" s="15">
        <f>IF(G467="","",G467-TODAY())</f>
      </c>
      <c r="I467" s="12">
        <f>IF(OR(A467="",B467="",D467=""),"",IF(D467=SUMPRODUCT(MAX(($A$5:$A$504=A467)*($B$5:$B$504=B467)*$D$5:$D$504)),"Sí","Reemplazada"))</f>
      </c>
      <c r="J467" s="12">
        <f>IF(I467="","",IF(I467="Reemplazada","Reemplazada",IF(H467="","Sin fecha",IF(H467&lt;0,"Vencida",IF(H467&lt;=IFERROR(IF(INDEX(Protocolo!$E$5:$E$54,MATCH(B467,Protocolo!$A$5:$A$54,0))="",30,INDEX(Protocolo!$E$5:$E$54,MATCH(B467,Protocolo!$A$5:$A$54,0))),30),"Por vencer","Vigente")))))</f>
      </c>
      <c r="K467" s="10"/>
    </row>
    <row r="468" spans="1:11" x14ac:dyDescent="0.25">
      <c r="A468" s="10"/>
      <c r="B468" s="10"/>
      <c r="C468" s="12">
        <f>IF(B468="","",IFERROR(INDEX(Protocolo!$B$5:$B$54,MATCH(B468,Protocolo!$A$5:$A$54,0)),""))</f>
      </c>
      <c r="D468" s="16"/>
      <c r="E468" s="10"/>
      <c r="F468" s="10"/>
      <c r="G468" s="14">
        <f>IF(OR(B468="",D468=""),"",IFERROR(IF(INDEX(Protocolo!$D$5:$D$54,MATCH(B468,Protocolo!$A$5:$A$54,0))="meses",EDATE(D468,INDEX(Protocolo!$C$5:$C$54,MATCH(B468,Protocolo!$A$5:$A$54,0))),D468+INDEX(Protocolo!$C$5:$C$54,MATCH(B468,Protocolo!$A$5:$A$54,0))*IF(INDEX(Protocolo!$D$5:$D$54,MATCH(B468,Protocolo!$A$5:$A$54,0))="semanas",7,1)),""))</f>
      </c>
      <c r="H468" s="15">
        <f>IF(G468="","",G468-TODAY())</f>
      </c>
      <c r="I468" s="12">
        <f>IF(OR(A468="",B468="",D468=""),"",IF(D468=SUMPRODUCT(MAX(($A$5:$A$504=A468)*($B$5:$B$504=B468)*$D$5:$D$504)),"Sí","Reemplazada"))</f>
      </c>
      <c r="J468" s="12">
        <f>IF(I468="","",IF(I468="Reemplazada","Reemplazada",IF(H468="","Sin fecha",IF(H468&lt;0,"Vencida",IF(H468&lt;=IFERROR(IF(INDEX(Protocolo!$E$5:$E$54,MATCH(B468,Protocolo!$A$5:$A$54,0))="",30,INDEX(Protocolo!$E$5:$E$54,MATCH(B468,Protocolo!$A$5:$A$54,0))),30),"Por vencer","Vigente")))))</f>
      </c>
      <c r="K468" s="10"/>
    </row>
    <row r="469" spans="1:11" x14ac:dyDescent="0.25">
      <c r="A469" s="10"/>
      <c r="B469" s="10"/>
      <c r="C469" s="12">
        <f>IF(B469="","",IFERROR(INDEX(Protocolo!$B$5:$B$54,MATCH(B469,Protocolo!$A$5:$A$54,0)),""))</f>
      </c>
      <c r="D469" s="16"/>
      <c r="E469" s="10"/>
      <c r="F469" s="10"/>
      <c r="G469" s="14">
        <f>IF(OR(B469="",D469=""),"",IFERROR(IF(INDEX(Protocolo!$D$5:$D$54,MATCH(B469,Protocolo!$A$5:$A$54,0))="meses",EDATE(D469,INDEX(Protocolo!$C$5:$C$54,MATCH(B469,Protocolo!$A$5:$A$54,0))),D469+INDEX(Protocolo!$C$5:$C$54,MATCH(B469,Protocolo!$A$5:$A$54,0))*IF(INDEX(Protocolo!$D$5:$D$54,MATCH(B469,Protocolo!$A$5:$A$54,0))="semanas",7,1)),""))</f>
      </c>
      <c r="H469" s="15">
        <f>IF(G469="","",G469-TODAY())</f>
      </c>
      <c r="I469" s="12">
        <f>IF(OR(A469="",B469="",D469=""),"",IF(D469=SUMPRODUCT(MAX(($A$5:$A$504=A469)*($B$5:$B$504=B469)*$D$5:$D$504)),"Sí","Reemplazada"))</f>
      </c>
      <c r="J469" s="12">
        <f>IF(I469="","",IF(I469="Reemplazada","Reemplazada",IF(H469="","Sin fecha",IF(H469&lt;0,"Vencida",IF(H469&lt;=IFERROR(IF(INDEX(Protocolo!$E$5:$E$54,MATCH(B469,Protocolo!$A$5:$A$54,0))="",30,INDEX(Protocolo!$E$5:$E$54,MATCH(B469,Protocolo!$A$5:$A$54,0))),30),"Por vencer","Vigente")))))</f>
      </c>
      <c r="K469" s="10"/>
    </row>
    <row r="470" spans="1:11" x14ac:dyDescent="0.25">
      <c r="A470" s="10"/>
      <c r="B470" s="10"/>
      <c r="C470" s="12">
        <f>IF(B470="","",IFERROR(INDEX(Protocolo!$B$5:$B$54,MATCH(B470,Protocolo!$A$5:$A$54,0)),""))</f>
      </c>
      <c r="D470" s="16"/>
      <c r="E470" s="10"/>
      <c r="F470" s="10"/>
      <c r="G470" s="14">
        <f>IF(OR(B470="",D470=""),"",IFERROR(IF(INDEX(Protocolo!$D$5:$D$54,MATCH(B470,Protocolo!$A$5:$A$54,0))="meses",EDATE(D470,INDEX(Protocolo!$C$5:$C$54,MATCH(B470,Protocolo!$A$5:$A$54,0))),D470+INDEX(Protocolo!$C$5:$C$54,MATCH(B470,Protocolo!$A$5:$A$54,0))*IF(INDEX(Protocolo!$D$5:$D$54,MATCH(B470,Protocolo!$A$5:$A$54,0))="semanas",7,1)),""))</f>
      </c>
      <c r="H470" s="15">
        <f>IF(G470="","",G470-TODAY())</f>
      </c>
      <c r="I470" s="12">
        <f>IF(OR(A470="",B470="",D470=""),"",IF(D470=SUMPRODUCT(MAX(($A$5:$A$504=A470)*($B$5:$B$504=B470)*$D$5:$D$504)),"Sí","Reemplazada"))</f>
      </c>
      <c r="J470" s="12">
        <f>IF(I470="","",IF(I470="Reemplazada","Reemplazada",IF(H470="","Sin fecha",IF(H470&lt;0,"Vencida",IF(H470&lt;=IFERROR(IF(INDEX(Protocolo!$E$5:$E$54,MATCH(B470,Protocolo!$A$5:$A$54,0))="",30,INDEX(Protocolo!$E$5:$E$54,MATCH(B470,Protocolo!$A$5:$A$54,0))),30),"Por vencer","Vigente")))))</f>
      </c>
      <c r="K470" s="10"/>
    </row>
    <row r="471" spans="1:11" x14ac:dyDescent="0.25">
      <c r="A471" s="10"/>
      <c r="B471" s="10"/>
      <c r="C471" s="12">
        <f>IF(B471="","",IFERROR(INDEX(Protocolo!$B$5:$B$54,MATCH(B471,Protocolo!$A$5:$A$54,0)),""))</f>
      </c>
      <c r="D471" s="16"/>
      <c r="E471" s="10"/>
      <c r="F471" s="10"/>
      <c r="G471" s="14">
        <f>IF(OR(B471="",D471=""),"",IFERROR(IF(INDEX(Protocolo!$D$5:$D$54,MATCH(B471,Protocolo!$A$5:$A$54,0))="meses",EDATE(D471,INDEX(Protocolo!$C$5:$C$54,MATCH(B471,Protocolo!$A$5:$A$54,0))),D471+INDEX(Protocolo!$C$5:$C$54,MATCH(B471,Protocolo!$A$5:$A$54,0))*IF(INDEX(Protocolo!$D$5:$D$54,MATCH(B471,Protocolo!$A$5:$A$54,0))="semanas",7,1)),""))</f>
      </c>
      <c r="H471" s="15">
        <f>IF(G471="","",G471-TODAY())</f>
      </c>
      <c r="I471" s="12">
        <f>IF(OR(A471="",B471="",D471=""),"",IF(D471=SUMPRODUCT(MAX(($A$5:$A$504=A471)*($B$5:$B$504=B471)*$D$5:$D$504)),"Sí","Reemplazada"))</f>
      </c>
      <c r="J471" s="12">
        <f>IF(I471="","",IF(I471="Reemplazada","Reemplazada",IF(H471="","Sin fecha",IF(H471&lt;0,"Vencida",IF(H471&lt;=IFERROR(IF(INDEX(Protocolo!$E$5:$E$54,MATCH(B471,Protocolo!$A$5:$A$54,0))="",30,INDEX(Protocolo!$E$5:$E$54,MATCH(B471,Protocolo!$A$5:$A$54,0))),30),"Por vencer","Vigente")))))</f>
      </c>
      <c r="K471" s="10"/>
    </row>
    <row r="472" spans="1:11" x14ac:dyDescent="0.25">
      <c r="A472" s="10"/>
      <c r="B472" s="10"/>
      <c r="C472" s="12">
        <f>IF(B472="","",IFERROR(INDEX(Protocolo!$B$5:$B$54,MATCH(B472,Protocolo!$A$5:$A$54,0)),""))</f>
      </c>
      <c r="D472" s="16"/>
      <c r="E472" s="10"/>
      <c r="F472" s="10"/>
      <c r="G472" s="14">
        <f>IF(OR(B472="",D472=""),"",IFERROR(IF(INDEX(Protocolo!$D$5:$D$54,MATCH(B472,Protocolo!$A$5:$A$54,0))="meses",EDATE(D472,INDEX(Protocolo!$C$5:$C$54,MATCH(B472,Protocolo!$A$5:$A$54,0))),D472+INDEX(Protocolo!$C$5:$C$54,MATCH(B472,Protocolo!$A$5:$A$54,0))*IF(INDEX(Protocolo!$D$5:$D$54,MATCH(B472,Protocolo!$A$5:$A$54,0))="semanas",7,1)),""))</f>
      </c>
      <c r="H472" s="15">
        <f>IF(G472="","",G472-TODAY())</f>
      </c>
      <c r="I472" s="12">
        <f>IF(OR(A472="",B472="",D472=""),"",IF(D472=SUMPRODUCT(MAX(($A$5:$A$504=A472)*($B$5:$B$504=B472)*$D$5:$D$504)),"Sí","Reemplazada"))</f>
      </c>
      <c r="J472" s="12">
        <f>IF(I472="","",IF(I472="Reemplazada","Reemplazada",IF(H472="","Sin fecha",IF(H472&lt;0,"Vencida",IF(H472&lt;=IFERROR(IF(INDEX(Protocolo!$E$5:$E$54,MATCH(B472,Protocolo!$A$5:$A$54,0))="",30,INDEX(Protocolo!$E$5:$E$54,MATCH(B472,Protocolo!$A$5:$A$54,0))),30),"Por vencer","Vigente")))))</f>
      </c>
      <c r="K472" s="10"/>
    </row>
    <row r="473" spans="1:11" x14ac:dyDescent="0.25">
      <c r="A473" s="10"/>
      <c r="B473" s="10"/>
      <c r="C473" s="12">
        <f>IF(B473="","",IFERROR(INDEX(Protocolo!$B$5:$B$54,MATCH(B473,Protocolo!$A$5:$A$54,0)),""))</f>
      </c>
      <c r="D473" s="16"/>
      <c r="E473" s="10"/>
      <c r="F473" s="10"/>
      <c r="G473" s="14">
        <f>IF(OR(B473="",D473=""),"",IFERROR(IF(INDEX(Protocolo!$D$5:$D$54,MATCH(B473,Protocolo!$A$5:$A$54,0))="meses",EDATE(D473,INDEX(Protocolo!$C$5:$C$54,MATCH(B473,Protocolo!$A$5:$A$54,0))),D473+INDEX(Protocolo!$C$5:$C$54,MATCH(B473,Protocolo!$A$5:$A$54,0))*IF(INDEX(Protocolo!$D$5:$D$54,MATCH(B473,Protocolo!$A$5:$A$54,0))="semanas",7,1)),""))</f>
      </c>
      <c r="H473" s="15">
        <f>IF(G473="","",G473-TODAY())</f>
      </c>
      <c r="I473" s="12">
        <f>IF(OR(A473="",B473="",D473=""),"",IF(D473=SUMPRODUCT(MAX(($A$5:$A$504=A473)*($B$5:$B$504=B473)*$D$5:$D$504)),"Sí","Reemplazada"))</f>
      </c>
      <c r="J473" s="12">
        <f>IF(I473="","",IF(I473="Reemplazada","Reemplazada",IF(H473="","Sin fecha",IF(H473&lt;0,"Vencida",IF(H473&lt;=IFERROR(IF(INDEX(Protocolo!$E$5:$E$54,MATCH(B473,Protocolo!$A$5:$A$54,0))="",30,INDEX(Protocolo!$E$5:$E$54,MATCH(B473,Protocolo!$A$5:$A$54,0))),30),"Por vencer","Vigente")))))</f>
      </c>
      <c r="K473" s="10"/>
    </row>
    <row r="474" spans="1:11" x14ac:dyDescent="0.25">
      <c r="A474" s="10"/>
      <c r="B474" s="10"/>
      <c r="C474" s="12">
        <f>IF(B474="","",IFERROR(INDEX(Protocolo!$B$5:$B$54,MATCH(B474,Protocolo!$A$5:$A$54,0)),""))</f>
      </c>
      <c r="D474" s="16"/>
      <c r="E474" s="10"/>
      <c r="F474" s="10"/>
      <c r="G474" s="14">
        <f>IF(OR(B474="",D474=""),"",IFERROR(IF(INDEX(Protocolo!$D$5:$D$54,MATCH(B474,Protocolo!$A$5:$A$54,0))="meses",EDATE(D474,INDEX(Protocolo!$C$5:$C$54,MATCH(B474,Protocolo!$A$5:$A$54,0))),D474+INDEX(Protocolo!$C$5:$C$54,MATCH(B474,Protocolo!$A$5:$A$54,0))*IF(INDEX(Protocolo!$D$5:$D$54,MATCH(B474,Protocolo!$A$5:$A$54,0))="semanas",7,1)),""))</f>
      </c>
      <c r="H474" s="15">
        <f>IF(G474="","",G474-TODAY())</f>
      </c>
      <c r="I474" s="12">
        <f>IF(OR(A474="",B474="",D474=""),"",IF(D474=SUMPRODUCT(MAX(($A$5:$A$504=A474)*($B$5:$B$504=B474)*$D$5:$D$504)),"Sí","Reemplazada"))</f>
      </c>
      <c r="J474" s="12">
        <f>IF(I474="","",IF(I474="Reemplazada","Reemplazada",IF(H474="","Sin fecha",IF(H474&lt;0,"Vencida",IF(H474&lt;=IFERROR(IF(INDEX(Protocolo!$E$5:$E$54,MATCH(B474,Protocolo!$A$5:$A$54,0))="",30,INDEX(Protocolo!$E$5:$E$54,MATCH(B474,Protocolo!$A$5:$A$54,0))),30),"Por vencer","Vigente")))))</f>
      </c>
      <c r="K474" s="10"/>
    </row>
    <row r="475" spans="1:11" x14ac:dyDescent="0.25">
      <c r="A475" s="10"/>
      <c r="B475" s="10"/>
      <c r="C475" s="12">
        <f>IF(B475="","",IFERROR(INDEX(Protocolo!$B$5:$B$54,MATCH(B475,Protocolo!$A$5:$A$54,0)),""))</f>
      </c>
      <c r="D475" s="16"/>
      <c r="E475" s="10"/>
      <c r="F475" s="10"/>
      <c r="G475" s="14">
        <f>IF(OR(B475="",D475=""),"",IFERROR(IF(INDEX(Protocolo!$D$5:$D$54,MATCH(B475,Protocolo!$A$5:$A$54,0))="meses",EDATE(D475,INDEX(Protocolo!$C$5:$C$54,MATCH(B475,Protocolo!$A$5:$A$54,0))),D475+INDEX(Protocolo!$C$5:$C$54,MATCH(B475,Protocolo!$A$5:$A$54,0))*IF(INDEX(Protocolo!$D$5:$D$54,MATCH(B475,Protocolo!$A$5:$A$54,0))="semanas",7,1)),""))</f>
      </c>
      <c r="H475" s="15">
        <f>IF(G475="","",G475-TODAY())</f>
      </c>
      <c r="I475" s="12">
        <f>IF(OR(A475="",B475="",D475=""),"",IF(D475=SUMPRODUCT(MAX(($A$5:$A$504=A475)*($B$5:$B$504=B475)*$D$5:$D$504)),"Sí","Reemplazada"))</f>
      </c>
      <c r="J475" s="12">
        <f>IF(I475="","",IF(I475="Reemplazada","Reemplazada",IF(H475="","Sin fecha",IF(H475&lt;0,"Vencida",IF(H475&lt;=IFERROR(IF(INDEX(Protocolo!$E$5:$E$54,MATCH(B475,Protocolo!$A$5:$A$54,0))="",30,INDEX(Protocolo!$E$5:$E$54,MATCH(B475,Protocolo!$A$5:$A$54,0))),30),"Por vencer","Vigente")))))</f>
      </c>
      <c r="K475" s="10"/>
    </row>
    <row r="476" spans="1:11" x14ac:dyDescent="0.25">
      <c r="A476" s="10"/>
      <c r="B476" s="10"/>
      <c r="C476" s="12">
        <f>IF(B476="","",IFERROR(INDEX(Protocolo!$B$5:$B$54,MATCH(B476,Protocolo!$A$5:$A$54,0)),""))</f>
      </c>
      <c r="D476" s="16"/>
      <c r="E476" s="10"/>
      <c r="F476" s="10"/>
      <c r="G476" s="14">
        <f>IF(OR(B476="",D476=""),"",IFERROR(IF(INDEX(Protocolo!$D$5:$D$54,MATCH(B476,Protocolo!$A$5:$A$54,0))="meses",EDATE(D476,INDEX(Protocolo!$C$5:$C$54,MATCH(B476,Protocolo!$A$5:$A$54,0))),D476+INDEX(Protocolo!$C$5:$C$54,MATCH(B476,Protocolo!$A$5:$A$54,0))*IF(INDEX(Protocolo!$D$5:$D$54,MATCH(B476,Protocolo!$A$5:$A$54,0))="semanas",7,1)),""))</f>
      </c>
      <c r="H476" s="15">
        <f>IF(G476="","",G476-TODAY())</f>
      </c>
      <c r="I476" s="12">
        <f>IF(OR(A476="",B476="",D476=""),"",IF(D476=SUMPRODUCT(MAX(($A$5:$A$504=A476)*($B$5:$B$504=B476)*$D$5:$D$504)),"Sí","Reemplazada"))</f>
      </c>
      <c r="J476" s="12">
        <f>IF(I476="","",IF(I476="Reemplazada","Reemplazada",IF(H476="","Sin fecha",IF(H476&lt;0,"Vencida",IF(H476&lt;=IFERROR(IF(INDEX(Protocolo!$E$5:$E$54,MATCH(B476,Protocolo!$A$5:$A$54,0))="",30,INDEX(Protocolo!$E$5:$E$54,MATCH(B476,Protocolo!$A$5:$A$54,0))),30),"Por vencer","Vigente")))))</f>
      </c>
      <c r="K476" s="10"/>
    </row>
    <row r="477" spans="1:11" x14ac:dyDescent="0.25">
      <c r="A477" s="10"/>
      <c r="B477" s="10"/>
      <c r="C477" s="12">
        <f>IF(B477="","",IFERROR(INDEX(Protocolo!$B$5:$B$54,MATCH(B477,Protocolo!$A$5:$A$54,0)),""))</f>
      </c>
      <c r="D477" s="16"/>
      <c r="E477" s="10"/>
      <c r="F477" s="10"/>
      <c r="G477" s="14">
        <f>IF(OR(B477="",D477=""),"",IFERROR(IF(INDEX(Protocolo!$D$5:$D$54,MATCH(B477,Protocolo!$A$5:$A$54,0))="meses",EDATE(D477,INDEX(Protocolo!$C$5:$C$54,MATCH(B477,Protocolo!$A$5:$A$54,0))),D477+INDEX(Protocolo!$C$5:$C$54,MATCH(B477,Protocolo!$A$5:$A$54,0))*IF(INDEX(Protocolo!$D$5:$D$54,MATCH(B477,Protocolo!$A$5:$A$54,0))="semanas",7,1)),""))</f>
      </c>
      <c r="H477" s="15">
        <f>IF(G477="","",G477-TODAY())</f>
      </c>
      <c r="I477" s="12">
        <f>IF(OR(A477="",B477="",D477=""),"",IF(D477=SUMPRODUCT(MAX(($A$5:$A$504=A477)*($B$5:$B$504=B477)*$D$5:$D$504)),"Sí","Reemplazada"))</f>
      </c>
      <c r="J477" s="12">
        <f>IF(I477="","",IF(I477="Reemplazada","Reemplazada",IF(H477="","Sin fecha",IF(H477&lt;0,"Vencida",IF(H477&lt;=IFERROR(IF(INDEX(Protocolo!$E$5:$E$54,MATCH(B477,Protocolo!$A$5:$A$54,0))="",30,INDEX(Protocolo!$E$5:$E$54,MATCH(B477,Protocolo!$A$5:$A$54,0))),30),"Por vencer","Vigente")))))</f>
      </c>
      <c r="K477" s="10"/>
    </row>
    <row r="478" spans="1:11" x14ac:dyDescent="0.25">
      <c r="A478" s="10"/>
      <c r="B478" s="10"/>
      <c r="C478" s="12">
        <f>IF(B478="","",IFERROR(INDEX(Protocolo!$B$5:$B$54,MATCH(B478,Protocolo!$A$5:$A$54,0)),""))</f>
      </c>
      <c r="D478" s="16"/>
      <c r="E478" s="10"/>
      <c r="F478" s="10"/>
      <c r="G478" s="14">
        <f>IF(OR(B478="",D478=""),"",IFERROR(IF(INDEX(Protocolo!$D$5:$D$54,MATCH(B478,Protocolo!$A$5:$A$54,0))="meses",EDATE(D478,INDEX(Protocolo!$C$5:$C$54,MATCH(B478,Protocolo!$A$5:$A$54,0))),D478+INDEX(Protocolo!$C$5:$C$54,MATCH(B478,Protocolo!$A$5:$A$54,0))*IF(INDEX(Protocolo!$D$5:$D$54,MATCH(B478,Protocolo!$A$5:$A$54,0))="semanas",7,1)),""))</f>
      </c>
      <c r="H478" s="15">
        <f>IF(G478="","",G478-TODAY())</f>
      </c>
      <c r="I478" s="12">
        <f>IF(OR(A478="",B478="",D478=""),"",IF(D478=SUMPRODUCT(MAX(($A$5:$A$504=A478)*($B$5:$B$504=B478)*$D$5:$D$504)),"Sí","Reemplazada"))</f>
      </c>
      <c r="J478" s="12">
        <f>IF(I478="","",IF(I478="Reemplazada","Reemplazada",IF(H478="","Sin fecha",IF(H478&lt;0,"Vencida",IF(H478&lt;=IFERROR(IF(INDEX(Protocolo!$E$5:$E$54,MATCH(B478,Protocolo!$A$5:$A$54,0))="",30,INDEX(Protocolo!$E$5:$E$54,MATCH(B478,Protocolo!$A$5:$A$54,0))),30),"Por vencer","Vigente")))))</f>
      </c>
      <c r="K478" s="10"/>
    </row>
    <row r="479" spans="1:11" x14ac:dyDescent="0.25">
      <c r="A479" s="10"/>
      <c r="B479" s="10"/>
      <c r="C479" s="12">
        <f>IF(B479="","",IFERROR(INDEX(Protocolo!$B$5:$B$54,MATCH(B479,Protocolo!$A$5:$A$54,0)),""))</f>
      </c>
      <c r="D479" s="16"/>
      <c r="E479" s="10"/>
      <c r="F479" s="10"/>
      <c r="G479" s="14">
        <f>IF(OR(B479="",D479=""),"",IFERROR(IF(INDEX(Protocolo!$D$5:$D$54,MATCH(B479,Protocolo!$A$5:$A$54,0))="meses",EDATE(D479,INDEX(Protocolo!$C$5:$C$54,MATCH(B479,Protocolo!$A$5:$A$54,0))),D479+INDEX(Protocolo!$C$5:$C$54,MATCH(B479,Protocolo!$A$5:$A$54,0))*IF(INDEX(Protocolo!$D$5:$D$54,MATCH(B479,Protocolo!$A$5:$A$54,0))="semanas",7,1)),""))</f>
      </c>
      <c r="H479" s="15">
        <f>IF(G479="","",G479-TODAY())</f>
      </c>
      <c r="I479" s="12">
        <f>IF(OR(A479="",B479="",D479=""),"",IF(D479=SUMPRODUCT(MAX(($A$5:$A$504=A479)*($B$5:$B$504=B479)*$D$5:$D$504)),"Sí","Reemplazada"))</f>
      </c>
      <c r="J479" s="12">
        <f>IF(I479="","",IF(I479="Reemplazada","Reemplazada",IF(H479="","Sin fecha",IF(H479&lt;0,"Vencida",IF(H479&lt;=IFERROR(IF(INDEX(Protocolo!$E$5:$E$54,MATCH(B479,Protocolo!$A$5:$A$54,0))="",30,INDEX(Protocolo!$E$5:$E$54,MATCH(B479,Protocolo!$A$5:$A$54,0))),30),"Por vencer","Vigente")))))</f>
      </c>
      <c r="K479" s="10"/>
    </row>
    <row r="480" spans="1:11" x14ac:dyDescent="0.25">
      <c r="A480" s="10"/>
      <c r="B480" s="10"/>
      <c r="C480" s="12">
        <f>IF(B480="","",IFERROR(INDEX(Protocolo!$B$5:$B$54,MATCH(B480,Protocolo!$A$5:$A$54,0)),""))</f>
      </c>
      <c r="D480" s="16"/>
      <c r="E480" s="10"/>
      <c r="F480" s="10"/>
      <c r="G480" s="14">
        <f>IF(OR(B480="",D480=""),"",IFERROR(IF(INDEX(Protocolo!$D$5:$D$54,MATCH(B480,Protocolo!$A$5:$A$54,0))="meses",EDATE(D480,INDEX(Protocolo!$C$5:$C$54,MATCH(B480,Protocolo!$A$5:$A$54,0))),D480+INDEX(Protocolo!$C$5:$C$54,MATCH(B480,Protocolo!$A$5:$A$54,0))*IF(INDEX(Protocolo!$D$5:$D$54,MATCH(B480,Protocolo!$A$5:$A$54,0))="semanas",7,1)),""))</f>
      </c>
      <c r="H480" s="15">
        <f>IF(G480="","",G480-TODAY())</f>
      </c>
      <c r="I480" s="12">
        <f>IF(OR(A480="",B480="",D480=""),"",IF(D480=SUMPRODUCT(MAX(($A$5:$A$504=A480)*($B$5:$B$504=B480)*$D$5:$D$504)),"Sí","Reemplazada"))</f>
      </c>
      <c r="J480" s="12">
        <f>IF(I480="","",IF(I480="Reemplazada","Reemplazada",IF(H480="","Sin fecha",IF(H480&lt;0,"Vencida",IF(H480&lt;=IFERROR(IF(INDEX(Protocolo!$E$5:$E$54,MATCH(B480,Protocolo!$A$5:$A$54,0))="",30,INDEX(Protocolo!$E$5:$E$54,MATCH(B480,Protocolo!$A$5:$A$54,0))),30),"Por vencer","Vigente")))))</f>
      </c>
      <c r="K480" s="10"/>
    </row>
    <row r="481" spans="1:11" x14ac:dyDescent="0.25">
      <c r="A481" s="10"/>
      <c r="B481" s="10"/>
      <c r="C481" s="12">
        <f>IF(B481="","",IFERROR(INDEX(Protocolo!$B$5:$B$54,MATCH(B481,Protocolo!$A$5:$A$54,0)),""))</f>
      </c>
      <c r="D481" s="16"/>
      <c r="E481" s="10"/>
      <c r="F481" s="10"/>
      <c r="G481" s="14">
        <f>IF(OR(B481="",D481=""),"",IFERROR(IF(INDEX(Protocolo!$D$5:$D$54,MATCH(B481,Protocolo!$A$5:$A$54,0))="meses",EDATE(D481,INDEX(Protocolo!$C$5:$C$54,MATCH(B481,Protocolo!$A$5:$A$54,0))),D481+INDEX(Protocolo!$C$5:$C$54,MATCH(B481,Protocolo!$A$5:$A$54,0))*IF(INDEX(Protocolo!$D$5:$D$54,MATCH(B481,Protocolo!$A$5:$A$54,0))="semanas",7,1)),""))</f>
      </c>
      <c r="H481" s="15">
        <f>IF(G481="","",G481-TODAY())</f>
      </c>
      <c r="I481" s="12">
        <f>IF(OR(A481="",B481="",D481=""),"",IF(D481=SUMPRODUCT(MAX(($A$5:$A$504=A481)*($B$5:$B$504=B481)*$D$5:$D$504)),"Sí","Reemplazada"))</f>
      </c>
      <c r="J481" s="12">
        <f>IF(I481="","",IF(I481="Reemplazada","Reemplazada",IF(H481="","Sin fecha",IF(H481&lt;0,"Vencida",IF(H481&lt;=IFERROR(IF(INDEX(Protocolo!$E$5:$E$54,MATCH(B481,Protocolo!$A$5:$A$54,0))="",30,INDEX(Protocolo!$E$5:$E$54,MATCH(B481,Protocolo!$A$5:$A$54,0))),30),"Por vencer","Vigente")))))</f>
      </c>
      <c r="K481" s="10"/>
    </row>
    <row r="482" spans="1:11" x14ac:dyDescent="0.25">
      <c r="A482" s="10"/>
      <c r="B482" s="10"/>
      <c r="C482" s="12">
        <f>IF(B482="","",IFERROR(INDEX(Protocolo!$B$5:$B$54,MATCH(B482,Protocolo!$A$5:$A$54,0)),""))</f>
      </c>
      <c r="D482" s="16"/>
      <c r="E482" s="10"/>
      <c r="F482" s="10"/>
      <c r="G482" s="14">
        <f>IF(OR(B482="",D482=""),"",IFERROR(IF(INDEX(Protocolo!$D$5:$D$54,MATCH(B482,Protocolo!$A$5:$A$54,0))="meses",EDATE(D482,INDEX(Protocolo!$C$5:$C$54,MATCH(B482,Protocolo!$A$5:$A$54,0))),D482+INDEX(Protocolo!$C$5:$C$54,MATCH(B482,Protocolo!$A$5:$A$54,0))*IF(INDEX(Protocolo!$D$5:$D$54,MATCH(B482,Protocolo!$A$5:$A$54,0))="semanas",7,1)),""))</f>
      </c>
      <c r="H482" s="15">
        <f>IF(G482="","",G482-TODAY())</f>
      </c>
      <c r="I482" s="12">
        <f>IF(OR(A482="",B482="",D482=""),"",IF(D482=SUMPRODUCT(MAX(($A$5:$A$504=A482)*($B$5:$B$504=B482)*$D$5:$D$504)),"Sí","Reemplazada"))</f>
      </c>
      <c r="J482" s="12">
        <f>IF(I482="","",IF(I482="Reemplazada","Reemplazada",IF(H482="","Sin fecha",IF(H482&lt;0,"Vencida",IF(H482&lt;=IFERROR(IF(INDEX(Protocolo!$E$5:$E$54,MATCH(B482,Protocolo!$A$5:$A$54,0))="",30,INDEX(Protocolo!$E$5:$E$54,MATCH(B482,Protocolo!$A$5:$A$54,0))),30),"Por vencer","Vigente")))))</f>
      </c>
      <c r="K482" s="10"/>
    </row>
    <row r="483" spans="1:11" x14ac:dyDescent="0.25">
      <c r="A483" s="10"/>
      <c r="B483" s="10"/>
      <c r="C483" s="12">
        <f>IF(B483="","",IFERROR(INDEX(Protocolo!$B$5:$B$54,MATCH(B483,Protocolo!$A$5:$A$54,0)),""))</f>
      </c>
      <c r="D483" s="16"/>
      <c r="E483" s="10"/>
      <c r="F483" s="10"/>
      <c r="G483" s="14">
        <f>IF(OR(B483="",D483=""),"",IFERROR(IF(INDEX(Protocolo!$D$5:$D$54,MATCH(B483,Protocolo!$A$5:$A$54,0))="meses",EDATE(D483,INDEX(Protocolo!$C$5:$C$54,MATCH(B483,Protocolo!$A$5:$A$54,0))),D483+INDEX(Protocolo!$C$5:$C$54,MATCH(B483,Protocolo!$A$5:$A$54,0))*IF(INDEX(Protocolo!$D$5:$D$54,MATCH(B483,Protocolo!$A$5:$A$54,0))="semanas",7,1)),""))</f>
      </c>
      <c r="H483" s="15">
        <f>IF(G483="","",G483-TODAY())</f>
      </c>
      <c r="I483" s="12">
        <f>IF(OR(A483="",B483="",D483=""),"",IF(D483=SUMPRODUCT(MAX(($A$5:$A$504=A483)*($B$5:$B$504=B483)*$D$5:$D$504)),"Sí","Reemplazada"))</f>
      </c>
      <c r="J483" s="12">
        <f>IF(I483="","",IF(I483="Reemplazada","Reemplazada",IF(H483="","Sin fecha",IF(H483&lt;0,"Vencida",IF(H483&lt;=IFERROR(IF(INDEX(Protocolo!$E$5:$E$54,MATCH(B483,Protocolo!$A$5:$A$54,0))="",30,INDEX(Protocolo!$E$5:$E$54,MATCH(B483,Protocolo!$A$5:$A$54,0))),30),"Por vencer","Vigente")))))</f>
      </c>
      <c r="K483" s="10"/>
    </row>
    <row r="484" spans="1:11" x14ac:dyDescent="0.25">
      <c r="A484" s="10"/>
      <c r="B484" s="10"/>
      <c r="C484" s="12">
        <f>IF(B484="","",IFERROR(INDEX(Protocolo!$B$5:$B$54,MATCH(B484,Protocolo!$A$5:$A$54,0)),""))</f>
      </c>
      <c r="D484" s="16"/>
      <c r="E484" s="10"/>
      <c r="F484" s="10"/>
      <c r="G484" s="14">
        <f>IF(OR(B484="",D484=""),"",IFERROR(IF(INDEX(Protocolo!$D$5:$D$54,MATCH(B484,Protocolo!$A$5:$A$54,0))="meses",EDATE(D484,INDEX(Protocolo!$C$5:$C$54,MATCH(B484,Protocolo!$A$5:$A$54,0))),D484+INDEX(Protocolo!$C$5:$C$54,MATCH(B484,Protocolo!$A$5:$A$54,0))*IF(INDEX(Protocolo!$D$5:$D$54,MATCH(B484,Protocolo!$A$5:$A$54,0))="semanas",7,1)),""))</f>
      </c>
      <c r="H484" s="15">
        <f>IF(G484="","",G484-TODAY())</f>
      </c>
      <c r="I484" s="12">
        <f>IF(OR(A484="",B484="",D484=""),"",IF(D484=SUMPRODUCT(MAX(($A$5:$A$504=A484)*($B$5:$B$504=B484)*$D$5:$D$504)),"Sí","Reemplazada"))</f>
      </c>
      <c r="J484" s="12">
        <f>IF(I484="","",IF(I484="Reemplazada","Reemplazada",IF(H484="","Sin fecha",IF(H484&lt;0,"Vencida",IF(H484&lt;=IFERROR(IF(INDEX(Protocolo!$E$5:$E$54,MATCH(B484,Protocolo!$A$5:$A$54,0))="",30,INDEX(Protocolo!$E$5:$E$54,MATCH(B484,Protocolo!$A$5:$A$54,0))),30),"Por vencer","Vigente")))))</f>
      </c>
      <c r="K484" s="10"/>
    </row>
    <row r="485" spans="1:11" x14ac:dyDescent="0.25">
      <c r="A485" s="10"/>
      <c r="B485" s="10"/>
      <c r="C485" s="12">
        <f>IF(B485="","",IFERROR(INDEX(Protocolo!$B$5:$B$54,MATCH(B485,Protocolo!$A$5:$A$54,0)),""))</f>
      </c>
      <c r="D485" s="16"/>
      <c r="E485" s="10"/>
      <c r="F485" s="10"/>
      <c r="G485" s="14">
        <f>IF(OR(B485="",D485=""),"",IFERROR(IF(INDEX(Protocolo!$D$5:$D$54,MATCH(B485,Protocolo!$A$5:$A$54,0))="meses",EDATE(D485,INDEX(Protocolo!$C$5:$C$54,MATCH(B485,Protocolo!$A$5:$A$54,0))),D485+INDEX(Protocolo!$C$5:$C$54,MATCH(B485,Protocolo!$A$5:$A$54,0))*IF(INDEX(Protocolo!$D$5:$D$54,MATCH(B485,Protocolo!$A$5:$A$54,0))="semanas",7,1)),""))</f>
      </c>
      <c r="H485" s="15">
        <f>IF(G485="","",G485-TODAY())</f>
      </c>
      <c r="I485" s="12">
        <f>IF(OR(A485="",B485="",D485=""),"",IF(D485=SUMPRODUCT(MAX(($A$5:$A$504=A485)*($B$5:$B$504=B485)*$D$5:$D$504)),"Sí","Reemplazada"))</f>
      </c>
      <c r="J485" s="12">
        <f>IF(I485="","",IF(I485="Reemplazada","Reemplazada",IF(H485="","Sin fecha",IF(H485&lt;0,"Vencida",IF(H485&lt;=IFERROR(IF(INDEX(Protocolo!$E$5:$E$54,MATCH(B485,Protocolo!$A$5:$A$54,0))="",30,INDEX(Protocolo!$E$5:$E$54,MATCH(B485,Protocolo!$A$5:$A$54,0))),30),"Por vencer","Vigente")))))</f>
      </c>
      <c r="K485" s="10"/>
    </row>
    <row r="486" spans="1:11" x14ac:dyDescent="0.25">
      <c r="A486" s="10"/>
      <c r="B486" s="10"/>
      <c r="C486" s="12">
        <f>IF(B486="","",IFERROR(INDEX(Protocolo!$B$5:$B$54,MATCH(B486,Protocolo!$A$5:$A$54,0)),""))</f>
      </c>
      <c r="D486" s="16"/>
      <c r="E486" s="10"/>
      <c r="F486" s="10"/>
      <c r="G486" s="14">
        <f>IF(OR(B486="",D486=""),"",IFERROR(IF(INDEX(Protocolo!$D$5:$D$54,MATCH(B486,Protocolo!$A$5:$A$54,0))="meses",EDATE(D486,INDEX(Protocolo!$C$5:$C$54,MATCH(B486,Protocolo!$A$5:$A$54,0))),D486+INDEX(Protocolo!$C$5:$C$54,MATCH(B486,Protocolo!$A$5:$A$54,0))*IF(INDEX(Protocolo!$D$5:$D$54,MATCH(B486,Protocolo!$A$5:$A$54,0))="semanas",7,1)),""))</f>
      </c>
      <c r="H486" s="15">
        <f>IF(G486="","",G486-TODAY())</f>
      </c>
      <c r="I486" s="12">
        <f>IF(OR(A486="",B486="",D486=""),"",IF(D486=SUMPRODUCT(MAX(($A$5:$A$504=A486)*($B$5:$B$504=B486)*$D$5:$D$504)),"Sí","Reemplazada"))</f>
      </c>
      <c r="J486" s="12">
        <f>IF(I486="","",IF(I486="Reemplazada","Reemplazada",IF(H486="","Sin fecha",IF(H486&lt;0,"Vencida",IF(H486&lt;=IFERROR(IF(INDEX(Protocolo!$E$5:$E$54,MATCH(B486,Protocolo!$A$5:$A$54,0))="",30,INDEX(Protocolo!$E$5:$E$54,MATCH(B486,Protocolo!$A$5:$A$54,0))),30),"Por vencer","Vigente")))))</f>
      </c>
      <c r="K486" s="10"/>
    </row>
    <row r="487" spans="1:11" x14ac:dyDescent="0.25">
      <c r="A487" s="10"/>
      <c r="B487" s="10"/>
      <c r="C487" s="12">
        <f>IF(B487="","",IFERROR(INDEX(Protocolo!$B$5:$B$54,MATCH(B487,Protocolo!$A$5:$A$54,0)),""))</f>
      </c>
      <c r="D487" s="16"/>
      <c r="E487" s="10"/>
      <c r="F487" s="10"/>
      <c r="G487" s="14">
        <f>IF(OR(B487="",D487=""),"",IFERROR(IF(INDEX(Protocolo!$D$5:$D$54,MATCH(B487,Protocolo!$A$5:$A$54,0))="meses",EDATE(D487,INDEX(Protocolo!$C$5:$C$54,MATCH(B487,Protocolo!$A$5:$A$54,0))),D487+INDEX(Protocolo!$C$5:$C$54,MATCH(B487,Protocolo!$A$5:$A$54,0))*IF(INDEX(Protocolo!$D$5:$D$54,MATCH(B487,Protocolo!$A$5:$A$54,0))="semanas",7,1)),""))</f>
      </c>
      <c r="H487" s="15">
        <f>IF(G487="","",G487-TODAY())</f>
      </c>
      <c r="I487" s="12">
        <f>IF(OR(A487="",B487="",D487=""),"",IF(D487=SUMPRODUCT(MAX(($A$5:$A$504=A487)*($B$5:$B$504=B487)*$D$5:$D$504)),"Sí","Reemplazada"))</f>
      </c>
      <c r="J487" s="12">
        <f>IF(I487="","",IF(I487="Reemplazada","Reemplazada",IF(H487="","Sin fecha",IF(H487&lt;0,"Vencida",IF(H487&lt;=IFERROR(IF(INDEX(Protocolo!$E$5:$E$54,MATCH(B487,Protocolo!$A$5:$A$54,0))="",30,INDEX(Protocolo!$E$5:$E$54,MATCH(B487,Protocolo!$A$5:$A$54,0))),30),"Por vencer","Vigente")))))</f>
      </c>
      <c r="K487" s="10"/>
    </row>
    <row r="488" spans="1:11" x14ac:dyDescent="0.25">
      <c r="A488" s="10"/>
      <c r="B488" s="10"/>
      <c r="C488" s="12">
        <f>IF(B488="","",IFERROR(INDEX(Protocolo!$B$5:$B$54,MATCH(B488,Protocolo!$A$5:$A$54,0)),""))</f>
      </c>
      <c r="D488" s="16"/>
      <c r="E488" s="10"/>
      <c r="F488" s="10"/>
      <c r="G488" s="14">
        <f>IF(OR(B488="",D488=""),"",IFERROR(IF(INDEX(Protocolo!$D$5:$D$54,MATCH(B488,Protocolo!$A$5:$A$54,0))="meses",EDATE(D488,INDEX(Protocolo!$C$5:$C$54,MATCH(B488,Protocolo!$A$5:$A$54,0))),D488+INDEX(Protocolo!$C$5:$C$54,MATCH(B488,Protocolo!$A$5:$A$54,0))*IF(INDEX(Protocolo!$D$5:$D$54,MATCH(B488,Protocolo!$A$5:$A$54,0))="semanas",7,1)),""))</f>
      </c>
      <c r="H488" s="15">
        <f>IF(G488="","",G488-TODAY())</f>
      </c>
      <c r="I488" s="12">
        <f>IF(OR(A488="",B488="",D488=""),"",IF(D488=SUMPRODUCT(MAX(($A$5:$A$504=A488)*($B$5:$B$504=B488)*$D$5:$D$504)),"Sí","Reemplazada"))</f>
      </c>
      <c r="J488" s="12">
        <f>IF(I488="","",IF(I488="Reemplazada","Reemplazada",IF(H488="","Sin fecha",IF(H488&lt;0,"Vencida",IF(H488&lt;=IFERROR(IF(INDEX(Protocolo!$E$5:$E$54,MATCH(B488,Protocolo!$A$5:$A$54,0))="",30,INDEX(Protocolo!$E$5:$E$54,MATCH(B488,Protocolo!$A$5:$A$54,0))),30),"Por vencer","Vigente")))))</f>
      </c>
      <c r="K488" s="10"/>
    </row>
    <row r="489" spans="1:11" x14ac:dyDescent="0.25">
      <c r="A489" s="10"/>
      <c r="B489" s="10"/>
      <c r="C489" s="12">
        <f>IF(B489="","",IFERROR(INDEX(Protocolo!$B$5:$B$54,MATCH(B489,Protocolo!$A$5:$A$54,0)),""))</f>
      </c>
      <c r="D489" s="16"/>
      <c r="E489" s="10"/>
      <c r="F489" s="10"/>
      <c r="G489" s="14">
        <f>IF(OR(B489="",D489=""),"",IFERROR(IF(INDEX(Protocolo!$D$5:$D$54,MATCH(B489,Protocolo!$A$5:$A$54,0))="meses",EDATE(D489,INDEX(Protocolo!$C$5:$C$54,MATCH(B489,Protocolo!$A$5:$A$54,0))),D489+INDEX(Protocolo!$C$5:$C$54,MATCH(B489,Protocolo!$A$5:$A$54,0))*IF(INDEX(Protocolo!$D$5:$D$54,MATCH(B489,Protocolo!$A$5:$A$54,0))="semanas",7,1)),""))</f>
      </c>
      <c r="H489" s="15">
        <f>IF(G489="","",G489-TODAY())</f>
      </c>
      <c r="I489" s="12">
        <f>IF(OR(A489="",B489="",D489=""),"",IF(D489=SUMPRODUCT(MAX(($A$5:$A$504=A489)*($B$5:$B$504=B489)*$D$5:$D$504)),"Sí","Reemplazada"))</f>
      </c>
      <c r="J489" s="12">
        <f>IF(I489="","",IF(I489="Reemplazada","Reemplazada",IF(H489="","Sin fecha",IF(H489&lt;0,"Vencida",IF(H489&lt;=IFERROR(IF(INDEX(Protocolo!$E$5:$E$54,MATCH(B489,Protocolo!$A$5:$A$54,0))="",30,INDEX(Protocolo!$E$5:$E$54,MATCH(B489,Protocolo!$A$5:$A$54,0))),30),"Por vencer","Vigente")))))</f>
      </c>
      <c r="K489" s="10"/>
    </row>
    <row r="490" spans="1:11" x14ac:dyDescent="0.25">
      <c r="A490" s="10"/>
      <c r="B490" s="10"/>
      <c r="C490" s="12">
        <f>IF(B490="","",IFERROR(INDEX(Protocolo!$B$5:$B$54,MATCH(B490,Protocolo!$A$5:$A$54,0)),""))</f>
      </c>
      <c r="D490" s="16"/>
      <c r="E490" s="10"/>
      <c r="F490" s="10"/>
      <c r="G490" s="14">
        <f>IF(OR(B490="",D490=""),"",IFERROR(IF(INDEX(Protocolo!$D$5:$D$54,MATCH(B490,Protocolo!$A$5:$A$54,0))="meses",EDATE(D490,INDEX(Protocolo!$C$5:$C$54,MATCH(B490,Protocolo!$A$5:$A$54,0))),D490+INDEX(Protocolo!$C$5:$C$54,MATCH(B490,Protocolo!$A$5:$A$54,0))*IF(INDEX(Protocolo!$D$5:$D$54,MATCH(B490,Protocolo!$A$5:$A$54,0))="semanas",7,1)),""))</f>
      </c>
      <c r="H490" s="15">
        <f>IF(G490="","",G490-TODAY())</f>
      </c>
      <c r="I490" s="12">
        <f>IF(OR(A490="",B490="",D490=""),"",IF(D490=SUMPRODUCT(MAX(($A$5:$A$504=A490)*($B$5:$B$504=B490)*$D$5:$D$504)),"Sí","Reemplazada"))</f>
      </c>
      <c r="J490" s="12">
        <f>IF(I490="","",IF(I490="Reemplazada","Reemplazada",IF(H490="","Sin fecha",IF(H490&lt;0,"Vencida",IF(H490&lt;=IFERROR(IF(INDEX(Protocolo!$E$5:$E$54,MATCH(B490,Protocolo!$A$5:$A$54,0))="",30,INDEX(Protocolo!$E$5:$E$54,MATCH(B490,Protocolo!$A$5:$A$54,0))),30),"Por vencer","Vigente")))))</f>
      </c>
      <c r="K490" s="10"/>
    </row>
    <row r="491" spans="1:11" x14ac:dyDescent="0.25">
      <c r="A491" s="10"/>
      <c r="B491" s="10"/>
      <c r="C491" s="12">
        <f>IF(B491="","",IFERROR(INDEX(Protocolo!$B$5:$B$54,MATCH(B491,Protocolo!$A$5:$A$54,0)),""))</f>
      </c>
      <c r="D491" s="16"/>
      <c r="E491" s="10"/>
      <c r="F491" s="10"/>
      <c r="G491" s="14">
        <f>IF(OR(B491="",D491=""),"",IFERROR(IF(INDEX(Protocolo!$D$5:$D$54,MATCH(B491,Protocolo!$A$5:$A$54,0))="meses",EDATE(D491,INDEX(Protocolo!$C$5:$C$54,MATCH(B491,Protocolo!$A$5:$A$54,0))),D491+INDEX(Protocolo!$C$5:$C$54,MATCH(B491,Protocolo!$A$5:$A$54,0))*IF(INDEX(Protocolo!$D$5:$D$54,MATCH(B491,Protocolo!$A$5:$A$54,0))="semanas",7,1)),""))</f>
      </c>
      <c r="H491" s="15">
        <f>IF(G491="","",G491-TODAY())</f>
      </c>
      <c r="I491" s="12">
        <f>IF(OR(A491="",B491="",D491=""),"",IF(D491=SUMPRODUCT(MAX(($A$5:$A$504=A491)*($B$5:$B$504=B491)*$D$5:$D$504)),"Sí","Reemplazada"))</f>
      </c>
      <c r="J491" s="12">
        <f>IF(I491="","",IF(I491="Reemplazada","Reemplazada",IF(H491="","Sin fecha",IF(H491&lt;0,"Vencida",IF(H491&lt;=IFERROR(IF(INDEX(Protocolo!$E$5:$E$54,MATCH(B491,Protocolo!$A$5:$A$54,0))="",30,INDEX(Protocolo!$E$5:$E$54,MATCH(B491,Protocolo!$A$5:$A$54,0))),30),"Por vencer","Vigente")))))</f>
      </c>
      <c r="K491" s="10"/>
    </row>
    <row r="492" spans="1:11" x14ac:dyDescent="0.25">
      <c r="A492" s="10"/>
      <c r="B492" s="10"/>
      <c r="C492" s="12">
        <f>IF(B492="","",IFERROR(INDEX(Protocolo!$B$5:$B$54,MATCH(B492,Protocolo!$A$5:$A$54,0)),""))</f>
      </c>
      <c r="D492" s="16"/>
      <c r="E492" s="10"/>
      <c r="F492" s="10"/>
      <c r="G492" s="14">
        <f>IF(OR(B492="",D492=""),"",IFERROR(IF(INDEX(Protocolo!$D$5:$D$54,MATCH(B492,Protocolo!$A$5:$A$54,0))="meses",EDATE(D492,INDEX(Protocolo!$C$5:$C$54,MATCH(B492,Protocolo!$A$5:$A$54,0))),D492+INDEX(Protocolo!$C$5:$C$54,MATCH(B492,Protocolo!$A$5:$A$54,0))*IF(INDEX(Protocolo!$D$5:$D$54,MATCH(B492,Protocolo!$A$5:$A$54,0))="semanas",7,1)),""))</f>
      </c>
      <c r="H492" s="15">
        <f>IF(G492="","",G492-TODAY())</f>
      </c>
      <c r="I492" s="12">
        <f>IF(OR(A492="",B492="",D492=""),"",IF(D492=SUMPRODUCT(MAX(($A$5:$A$504=A492)*($B$5:$B$504=B492)*$D$5:$D$504)),"Sí","Reemplazada"))</f>
      </c>
      <c r="J492" s="12">
        <f>IF(I492="","",IF(I492="Reemplazada","Reemplazada",IF(H492="","Sin fecha",IF(H492&lt;0,"Vencida",IF(H492&lt;=IFERROR(IF(INDEX(Protocolo!$E$5:$E$54,MATCH(B492,Protocolo!$A$5:$A$54,0))="",30,INDEX(Protocolo!$E$5:$E$54,MATCH(B492,Protocolo!$A$5:$A$54,0))),30),"Por vencer","Vigente")))))</f>
      </c>
      <c r="K492" s="10"/>
    </row>
    <row r="493" spans="1:11" x14ac:dyDescent="0.25">
      <c r="A493" s="10"/>
      <c r="B493" s="10"/>
      <c r="C493" s="12">
        <f>IF(B493="","",IFERROR(INDEX(Protocolo!$B$5:$B$54,MATCH(B493,Protocolo!$A$5:$A$54,0)),""))</f>
      </c>
      <c r="D493" s="16"/>
      <c r="E493" s="10"/>
      <c r="F493" s="10"/>
      <c r="G493" s="14">
        <f>IF(OR(B493="",D493=""),"",IFERROR(IF(INDEX(Protocolo!$D$5:$D$54,MATCH(B493,Protocolo!$A$5:$A$54,0))="meses",EDATE(D493,INDEX(Protocolo!$C$5:$C$54,MATCH(B493,Protocolo!$A$5:$A$54,0))),D493+INDEX(Protocolo!$C$5:$C$54,MATCH(B493,Protocolo!$A$5:$A$54,0))*IF(INDEX(Protocolo!$D$5:$D$54,MATCH(B493,Protocolo!$A$5:$A$54,0))="semanas",7,1)),""))</f>
      </c>
      <c r="H493" s="15">
        <f>IF(G493="","",G493-TODAY())</f>
      </c>
      <c r="I493" s="12">
        <f>IF(OR(A493="",B493="",D493=""),"",IF(D493=SUMPRODUCT(MAX(($A$5:$A$504=A493)*($B$5:$B$504=B493)*$D$5:$D$504)),"Sí","Reemplazada"))</f>
      </c>
      <c r="J493" s="12">
        <f>IF(I493="","",IF(I493="Reemplazada","Reemplazada",IF(H493="","Sin fecha",IF(H493&lt;0,"Vencida",IF(H493&lt;=IFERROR(IF(INDEX(Protocolo!$E$5:$E$54,MATCH(B493,Protocolo!$A$5:$A$54,0))="",30,INDEX(Protocolo!$E$5:$E$54,MATCH(B493,Protocolo!$A$5:$A$54,0))),30),"Por vencer","Vigente")))))</f>
      </c>
      <c r="K493" s="10"/>
    </row>
    <row r="494" spans="1:11" x14ac:dyDescent="0.25">
      <c r="A494" s="10"/>
      <c r="B494" s="10"/>
      <c r="C494" s="12">
        <f>IF(B494="","",IFERROR(INDEX(Protocolo!$B$5:$B$54,MATCH(B494,Protocolo!$A$5:$A$54,0)),""))</f>
      </c>
      <c r="D494" s="16"/>
      <c r="E494" s="10"/>
      <c r="F494" s="10"/>
      <c r="G494" s="14">
        <f>IF(OR(B494="",D494=""),"",IFERROR(IF(INDEX(Protocolo!$D$5:$D$54,MATCH(B494,Protocolo!$A$5:$A$54,0))="meses",EDATE(D494,INDEX(Protocolo!$C$5:$C$54,MATCH(B494,Protocolo!$A$5:$A$54,0))),D494+INDEX(Protocolo!$C$5:$C$54,MATCH(B494,Protocolo!$A$5:$A$54,0))*IF(INDEX(Protocolo!$D$5:$D$54,MATCH(B494,Protocolo!$A$5:$A$54,0))="semanas",7,1)),""))</f>
      </c>
      <c r="H494" s="15">
        <f>IF(G494="","",G494-TODAY())</f>
      </c>
      <c r="I494" s="12">
        <f>IF(OR(A494="",B494="",D494=""),"",IF(D494=SUMPRODUCT(MAX(($A$5:$A$504=A494)*($B$5:$B$504=B494)*$D$5:$D$504)),"Sí","Reemplazada"))</f>
      </c>
      <c r="J494" s="12">
        <f>IF(I494="","",IF(I494="Reemplazada","Reemplazada",IF(H494="","Sin fecha",IF(H494&lt;0,"Vencida",IF(H494&lt;=IFERROR(IF(INDEX(Protocolo!$E$5:$E$54,MATCH(B494,Protocolo!$A$5:$A$54,0))="",30,INDEX(Protocolo!$E$5:$E$54,MATCH(B494,Protocolo!$A$5:$A$54,0))),30),"Por vencer","Vigente")))))</f>
      </c>
      <c r="K494" s="10"/>
    </row>
    <row r="495" spans="1:11" x14ac:dyDescent="0.25">
      <c r="A495" s="10"/>
      <c r="B495" s="10"/>
      <c r="C495" s="12">
        <f>IF(B495="","",IFERROR(INDEX(Protocolo!$B$5:$B$54,MATCH(B495,Protocolo!$A$5:$A$54,0)),""))</f>
      </c>
      <c r="D495" s="16"/>
      <c r="E495" s="10"/>
      <c r="F495" s="10"/>
      <c r="G495" s="14">
        <f>IF(OR(B495="",D495=""),"",IFERROR(IF(INDEX(Protocolo!$D$5:$D$54,MATCH(B495,Protocolo!$A$5:$A$54,0))="meses",EDATE(D495,INDEX(Protocolo!$C$5:$C$54,MATCH(B495,Protocolo!$A$5:$A$54,0))),D495+INDEX(Protocolo!$C$5:$C$54,MATCH(B495,Protocolo!$A$5:$A$54,0))*IF(INDEX(Protocolo!$D$5:$D$54,MATCH(B495,Protocolo!$A$5:$A$54,0))="semanas",7,1)),""))</f>
      </c>
      <c r="H495" s="15">
        <f>IF(G495="","",G495-TODAY())</f>
      </c>
      <c r="I495" s="12">
        <f>IF(OR(A495="",B495="",D495=""),"",IF(D495=SUMPRODUCT(MAX(($A$5:$A$504=A495)*($B$5:$B$504=B495)*$D$5:$D$504)),"Sí","Reemplazada"))</f>
      </c>
      <c r="J495" s="12">
        <f>IF(I495="","",IF(I495="Reemplazada","Reemplazada",IF(H495="","Sin fecha",IF(H495&lt;0,"Vencida",IF(H495&lt;=IFERROR(IF(INDEX(Protocolo!$E$5:$E$54,MATCH(B495,Protocolo!$A$5:$A$54,0))="",30,INDEX(Protocolo!$E$5:$E$54,MATCH(B495,Protocolo!$A$5:$A$54,0))),30),"Por vencer","Vigente")))))</f>
      </c>
      <c r="K495" s="10"/>
    </row>
    <row r="496" spans="1:11" x14ac:dyDescent="0.25">
      <c r="A496" s="10"/>
      <c r="B496" s="10"/>
      <c r="C496" s="12">
        <f>IF(B496="","",IFERROR(INDEX(Protocolo!$B$5:$B$54,MATCH(B496,Protocolo!$A$5:$A$54,0)),""))</f>
      </c>
      <c r="D496" s="16"/>
      <c r="E496" s="10"/>
      <c r="F496" s="10"/>
      <c r="G496" s="14">
        <f>IF(OR(B496="",D496=""),"",IFERROR(IF(INDEX(Protocolo!$D$5:$D$54,MATCH(B496,Protocolo!$A$5:$A$54,0))="meses",EDATE(D496,INDEX(Protocolo!$C$5:$C$54,MATCH(B496,Protocolo!$A$5:$A$54,0))),D496+INDEX(Protocolo!$C$5:$C$54,MATCH(B496,Protocolo!$A$5:$A$54,0))*IF(INDEX(Protocolo!$D$5:$D$54,MATCH(B496,Protocolo!$A$5:$A$54,0))="semanas",7,1)),""))</f>
      </c>
      <c r="H496" s="15">
        <f>IF(G496="","",G496-TODAY())</f>
      </c>
      <c r="I496" s="12">
        <f>IF(OR(A496="",B496="",D496=""),"",IF(D496=SUMPRODUCT(MAX(($A$5:$A$504=A496)*($B$5:$B$504=B496)*$D$5:$D$504)),"Sí","Reemplazada"))</f>
      </c>
      <c r="J496" s="12">
        <f>IF(I496="","",IF(I496="Reemplazada","Reemplazada",IF(H496="","Sin fecha",IF(H496&lt;0,"Vencida",IF(H496&lt;=IFERROR(IF(INDEX(Protocolo!$E$5:$E$54,MATCH(B496,Protocolo!$A$5:$A$54,0))="",30,INDEX(Protocolo!$E$5:$E$54,MATCH(B496,Protocolo!$A$5:$A$54,0))),30),"Por vencer","Vigente")))))</f>
      </c>
      <c r="K496" s="10"/>
    </row>
    <row r="497" spans="1:11" x14ac:dyDescent="0.25">
      <c r="A497" s="10"/>
      <c r="B497" s="10"/>
      <c r="C497" s="12">
        <f>IF(B497="","",IFERROR(INDEX(Protocolo!$B$5:$B$54,MATCH(B497,Protocolo!$A$5:$A$54,0)),""))</f>
      </c>
      <c r="D497" s="16"/>
      <c r="E497" s="10"/>
      <c r="F497" s="10"/>
      <c r="G497" s="14">
        <f>IF(OR(B497="",D497=""),"",IFERROR(IF(INDEX(Protocolo!$D$5:$D$54,MATCH(B497,Protocolo!$A$5:$A$54,0))="meses",EDATE(D497,INDEX(Protocolo!$C$5:$C$54,MATCH(B497,Protocolo!$A$5:$A$54,0))),D497+INDEX(Protocolo!$C$5:$C$54,MATCH(B497,Protocolo!$A$5:$A$54,0))*IF(INDEX(Protocolo!$D$5:$D$54,MATCH(B497,Protocolo!$A$5:$A$54,0))="semanas",7,1)),""))</f>
      </c>
      <c r="H497" s="15">
        <f>IF(G497="","",G497-TODAY())</f>
      </c>
      <c r="I497" s="12">
        <f>IF(OR(A497="",B497="",D497=""),"",IF(D497=SUMPRODUCT(MAX(($A$5:$A$504=A497)*($B$5:$B$504=B497)*$D$5:$D$504)),"Sí","Reemplazada"))</f>
      </c>
      <c r="J497" s="12">
        <f>IF(I497="","",IF(I497="Reemplazada","Reemplazada",IF(H497="","Sin fecha",IF(H497&lt;0,"Vencida",IF(H497&lt;=IFERROR(IF(INDEX(Protocolo!$E$5:$E$54,MATCH(B497,Protocolo!$A$5:$A$54,0))="",30,INDEX(Protocolo!$E$5:$E$54,MATCH(B497,Protocolo!$A$5:$A$54,0))),30),"Por vencer","Vigente")))))</f>
      </c>
      <c r="K497" s="10"/>
    </row>
    <row r="498" spans="1:11" x14ac:dyDescent="0.25">
      <c r="A498" s="10"/>
      <c r="B498" s="10"/>
      <c r="C498" s="12">
        <f>IF(B498="","",IFERROR(INDEX(Protocolo!$B$5:$B$54,MATCH(B498,Protocolo!$A$5:$A$54,0)),""))</f>
      </c>
      <c r="D498" s="16"/>
      <c r="E498" s="10"/>
      <c r="F498" s="10"/>
      <c r="G498" s="14">
        <f>IF(OR(B498="",D498=""),"",IFERROR(IF(INDEX(Protocolo!$D$5:$D$54,MATCH(B498,Protocolo!$A$5:$A$54,0))="meses",EDATE(D498,INDEX(Protocolo!$C$5:$C$54,MATCH(B498,Protocolo!$A$5:$A$54,0))),D498+INDEX(Protocolo!$C$5:$C$54,MATCH(B498,Protocolo!$A$5:$A$54,0))*IF(INDEX(Protocolo!$D$5:$D$54,MATCH(B498,Protocolo!$A$5:$A$54,0))="semanas",7,1)),""))</f>
      </c>
      <c r="H498" s="15">
        <f>IF(G498="","",G498-TODAY())</f>
      </c>
      <c r="I498" s="12">
        <f>IF(OR(A498="",B498="",D498=""),"",IF(D498=SUMPRODUCT(MAX(($A$5:$A$504=A498)*($B$5:$B$504=B498)*$D$5:$D$504)),"Sí","Reemplazada"))</f>
      </c>
      <c r="J498" s="12">
        <f>IF(I498="","",IF(I498="Reemplazada","Reemplazada",IF(H498="","Sin fecha",IF(H498&lt;0,"Vencida",IF(H498&lt;=IFERROR(IF(INDEX(Protocolo!$E$5:$E$54,MATCH(B498,Protocolo!$A$5:$A$54,0))="",30,INDEX(Protocolo!$E$5:$E$54,MATCH(B498,Protocolo!$A$5:$A$54,0))),30),"Por vencer","Vigente")))))</f>
      </c>
      <c r="K498" s="10"/>
    </row>
    <row r="499" spans="1:11" x14ac:dyDescent="0.25">
      <c r="A499" s="10"/>
      <c r="B499" s="10"/>
      <c r="C499" s="12">
        <f>IF(B499="","",IFERROR(INDEX(Protocolo!$B$5:$B$54,MATCH(B499,Protocolo!$A$5:$A$54,0)),""))</f>
      </c>
      <c r="D499" s="16"/>
      <c r="E499" s="10"/>
      <c r="F499" s="10"/>
      <c r="G499" s="14">
        <f>IF(OR(B499="",D499=""),"",IFERROR(IF(INDEX(Protocolo!$D$5:$D$54,MATCH(B499,Protocolo!$A$5:$A$54,0))="meses",EDATE(D499,INDEX(Protocolo!$C$5:$C$54,MATCH(B499,Protocolo!$A$5:$A$54,0))),D499+INDEX(Protocolo!$C$5:$C$54,MATCH(B499,Protocolo!$A$5:$A$54,0))*IF(INDEX(Protocolo!$D$5:$D$54,MATCH(B499,Protocolo!$A$5:$A$54,0))="semanas",7,1)),""))</f>
      </c>
      <c r="H499" s="15">
        <f>IF(G499="","",G499-TODAY())</f>
      </c>
      <c r="I499" s="12">
        <f>IF(OR(A499="",B499="",D499=""),"",IF(D499=SUMPRODUCT(MAX(($A$5:$A$504=A499)*($B$5:$B$504=B499)*$D$5:$D$504)),"Sí","Reemplazada"))</f>
      </c>
      <c r="J499" s="12">
        <f>IF(I499="","",IF(I499="Reemplazada","Reemplazada",IF(H499="","Sin fecha",IF(H499&lt;0,"Vencida",IF(H499&lt;=IFERROR(IF(INDEX(Protocolo!$E$5:$E$54,MATCH(B499,Protocolo!$A$5:$A$54,0))="",30,INDEX(Protocolo!$E$5:$E$54,MATCH(B499,Protocolo!$A$5:$A$54,0))),30),"Por vencer","Vigente")))))</f>
      </c>
      <c r="K499" s="10"/>
    </row>
    <row r="500" spans="1:11" x14ac:dyDescent="0.25">
      <c r="A500" s="10"/>
      <c r="B500" s="10"/>
      <c r="C500" s="12">
        <f>IF(B500="","",IFERROR(INDEX(Protocolo!$B$5:$B$54,MATCH(B500,Protocolo!$A$5:$A$54,0)),""))</f>
      </c>
      <c r="D500" s="16"/>
      <c r="E500" s="10"/>
      <c r="F500" s="10"/>
      <c r="G500" s="14">
        <f>IF(OR(B500="",D500=""),"",IFERROR(IF(INDEX(Protocolo!$D$5:$D$54,MATCH(B500,Protocolo!$A$5:$A$54,0))="meses",EDATE(D500,INDEX(Protocolo!$C$5:$C$54,MATCH(B500,Protocolo!$A$5:$A$54,0))),D500+INDEX(Protocolo!$C$5:$C$54,MATCH(B500,Protocolo!$A$5:$A$54,0))*IF(INDEX(Protocolo!$D$5:$D$54,MATCH(B500,Protocolo!$A$5:$A$54,0))="semanas",7,1)),""))</f>
      </c>
      <c r="H500" s="15">
        <f>IF(G500="","",G500-TODAY())</f>
      </c>
      <c r="I500" s="12">
        <f>IF(OR(A500="",B500="",D500=""),"",IF(D500=SUMPRODUCT(MAX(($A$5:$A$504=A500)*($B$5:$B$504=B500)*$D$5:$D$504)),"Sí","Reemplazada"))</f>
      </c>
      <c r="J500" s="12">
        <f>IF(I500="","",IF(I500="Reemplazada","Reemplazada",IF(H500="","Sin fecha",IF(H500&lt;0,"Vencida",IF(H500&lt;=IFERROR(IF(INDEX(Protocolo!$E$5:$E$54,MATCH(B500,Protocolo!$A$5:$A$54,0))="",30,INDEX(Protocolo!$E$5:$E$54,MATCH(B500,Protocolo!$A$5:$A$54,0))),30),"Por vencer","Vigente")))))</f>
      </c>
      <c r="K500" s="10"/>
    </row>
    <row r="501" spans="1:11" x14ac:dyDescent="0.25">
      <c r="A501" s="10"/>
      <c r="B501" s="10"/>
      <c r="C501" s="12">
        <f>IF(B501="","",IFERROR(INDEX(Protocolo!$B$5:$B$54,MATCH(B501,Protocolo!$A$5:$A$54,0)),""))</f>
      </c>
      <c r="D501" s="16"/>
      <c r="E501" s="10"/>
      <c r="F501" s="10"/>
      <c r="G501" s="14">
        <f>IF(OR(B501="",D501=""),"",IFERROR(IF(INDEX(Protocolo!$D$5:$D$54,MATCH(B501,Protocolo!$A$5:$A$54,0))="meses",EDATE(D501,INDEX(Protocolo!$C$5:$C$54,MATCH(B501,Protocolo!$A$5:$A$54,0))),D501+INDEX(Protocolo!$C$5:$C$54,MATCH(B501,Protocolo!$A$5:$A$54,0))*IF(INDEX(Protocolo!$D$5:$D$54,MATCH(B501,Protocolo!$A$5:$A$54,0))="semanas",7,1)),""))</f>
      </c>
      <c r="H501" s="15">
        <f>IF(G501="","",G501-TODAY())</f>
      </c>
      <c r="I501" s="12">
        <f>IF(OR(A501="",B501="",D501=""),"",IF(D501=SUMPRODUCT(MAX(($A$5:$A$504=A501)*($B$5:$B$504=B501)*$D$5:$D$504)),"Sí","Reemplazada"))</f>
      </c>
      <c r="J501" s="12">
        <f>IF(I501="","",IF(I501="Reemplazada","Reemplazada",IF(H501="","Sin fecha",IF(H501&lt;0,"Vencida",IF(H501&lt;=IFERROR(IF(INDEX(Protocolo!$E$5:$E$54,MATCH(B501,Protocolo!$A$5:$A$54,0))="",30,INDEX(Protocolo!$E$5:$E$54,MATCH(B501,Protocolo!$A$5:$A$54,0))),30),"Por vencer","Vigente")))))</f>
      </c>
      <c r="K501" s="10"/>
    </row>
    <row r="502" spans="1:11" x14ac:dyDescent="0.25">
      <c r="A502" s="10"/>
      <c r="B502" s="10"/>
      <c r="C502" s="12">
        <f>IF(B502="","",IFERROR(INDEX(Protocolo!$B$5:$B$54,MATCH(B502,Protocolo!$A$5:$A$54,0)),""))</f>
      </c>
      <c r="D502" s="16"/>
      <c r="E502" s="10"/>
      <c r="F502" s="10"/>
      <c r="G502" s="14">
        <f>IF(OR(B502="",D502=""),"",IFERROR(IF(INDEX(Protocolo!$D$5:$D$54,MATCH(B502,Protocolo!$A$5:$A$54,0))="meses",EDATE(D502,INDEX(Protocolo!$C$5:$C$54,MATCH(B502,Protocolo!$A$5:$A$54,0))),D502+INDEX(Protocolo!$C$5:$C$54,MATCH(B502,Protocolo!$A$5:$A$54,0))*IF(INDEX(Protocolo!$D$5:$D$54,MATCH(B502,Protocolo!$A$5:$A$54,0))="semanas",7,1)),""))</f>
      </c>
      <c r="H502" s="15">
        <f>IF(G502="","",G502-TODAY())</f>
      </c>
      <c r="I502" s="12">
        <f>IF(OR(A502="",B502="",D502=""),"",IF(D502=SUMPRODUCT(MAX(($A$5:$A$504=A502)*($B$5:$B$504=B502)*$D$5:$D$504)),"Sí","Reemplazada"))</f>
      </c>
      <c r="J502" s="12">
        <f>IF(I502="","",IF(I502="Reemplazada","Reemplazada",IF(H502="","Sin fecha",IF(H502&lt;0,"Vencida",IF(H502&lt;=IFERROR(IF(INDEX(Protocolo!$E$5:$E$54,MATCH(B502,Protocolo!$A$5:$A$54,0))="",30,INDEX(Protocolo!$E$5:$E$54,MATCH(B502,Protocolo!$A$5:$A$54,0))),30),"Por vencer","Vigente")))))</f>
      </c>
      <c r="K502" s="10"/>
    </row>
    <row r="503" spans="1:11" x14ac:dyDescent="0.25">
      <c r="A503" s="10"/>
      <c r="B503" s="10"/>
      <c r="C503" s="12">
        <f>IF(B503="","",IFERROR(INDEX(Protocolo!$B$5:$B$54,MATCH(B503,Protocolo!$A$5:$A$54,0)),""))</f>
      </c>
      <c r="D503" s="16"/>
      <c r="E503" s="10"/>
      <c r="F503" s="10"/>
      <c r="G503" s="14">
        <f>IF(OR(B503="",D503=""),"",IFERROR(IF(INDEX(Protocolo!$D$5:$D$54,MATCH(B503,Protocolo!$A$5:$A$54,0))="meses",EDATE(D503,INDEX(Protocolo!$C$5:$C$54,MATCH(B503,Protocolo!$A$5:$A$54,0))),D503+INDEX(Protocolo!$C$5:$C$54,MATCH(B503,Protocolo!$A$5:$A$54,0))*IF(INDEX(Protocolo!$D$5:$D$54,MATCH(B503,Protocolo!$A$5:$A$54,0))="semanas",7,1)),""))</f>
      </c>
      <c r="H503" s="15">
        <f>IF(G503="","",G503-TODAY())</f>
      </c>
      <c r="I503" s="12">
        <f>IF(OR(A503="",B503="",D503=""),"",IF(D503=SUMPRODUCT(MAX(($A$5:$A$504=A503)*($B$5:$B$504=B503)*$D$5:$D$504)),"Sí","Reemplazada"))</f>
      </c>
      <c r="J503" s="12">
        <f>IF(I503="","",IF(I503="Reemplazada","Reemplazada",IF(H503="","Sin fecha",IF(H503&lt;0,"Vencida",IF(H503&lt;=IFERROR(IF(INDEX(Protocolo!$E$5:$E$54,MATCH(B503,Protocolo!$A$5:$A$54,0))="",30,INDEX(Protocolo!$E$5:$E$54,MATCH(B503,Protocolo!$A$5:$A$54,0))),30),"Por vencer","Vigente")))))</f>
      </c>
      <c r="K503" s="10"/>
    </row>
    <row r="504" spans="1:11" x14ac:dyDescent="0.25">
      <c r="A504" s="10"/>
      <c r="B504" s="10"/>
      <c r="C504" s="12">
        <f>IF(B504="","",IFERROR(INDEX(Protocolo!$B$5:$B$54,MATCH(B504,Protocolo!$A$5:$A$54,0)),""))</f>
      </c>
      <c r="D504" s="16"/>
      <c r="E504" s="10"/>
      <c r="F504" s="10"/>
      <c r="G504" s="14">
        <f>IF(OR(B504="",D504=""),"",IFERROR(IF(INDEX(Protocolo!$D$5:$D$54,MATCH(B504,Protocolo!$A$5:$A$54,0))="meses",EDATE(D504,INDEX(Protocolo!$C$5:$C$54,MATCH(B504,Protocolo!$A$5:$A$54,0))),D504+INDEX(Protocolo!$C$5:$C$54,MATCH(B504,Protocolo!$A$5:$A$54,0))*IF(INDEX(Protocolo!$D$5:$D$54,MATCH(B504,Protocolo!$A$5:$A$54,0))="semanas",7,1)),""))</f>
      </c>
      <c r="H504" s="15">
        <f>IF(G504="","",G504-TODAY())</f>
      </c>
      <c r="I504" s="12">
        <f>IF(OR(A504="",B504="",D504=""),"",IF(D504=SUMPRODUCT(MAX(($A$5:$A$504=A504)*($B$5:$B$504=B504)*$D$5:$D$504)),"Sí","Reemplazada"))</f>
      </c>
      <c r="J504" s="12">
        <f>IF(I504="","",IF(I504="Reemplazada","Reemplazada",IF(H504="","Sin fecha",IF(H504&lt;0,"Vencida",IF(H504&lt;=IFERROR(IF(INDEX(Protocolo!$E$5:$E$54,MATCH(B504,Protocolo!$A$5:$A$54,0))="",30,INDEX(Protocolo!$E$5:$E$54,MATCH(B504,Protocolo!$A$5:$A$54,0))),30),"Por vencer","Vigente")))))</f>
      </c>
      <c r="K504" s="10"/>
    </row>
  </sheetData>
  <autoFilter ref="A4:K504"/>
  <mergeCells count="2">
    <mergeCell ref="A1:K1"/>
    <mergeCell ref="A2:K2"/>
  </mergeCells>
  <conditionalFormatting sqref="A5:K504">
    <cfRule type="expression" dxfId="0" priority="16">
      <formula>$J5="Vencida"</formula>
    </cfRule>
  </conditionalFormatting>
  <conditionalFormatting sqref="A5:K504">
    <cfRule type="expression" dxfId="1" priority="17">
      <formula>$J5="Por vencer"</formula>
    </cfRule>
  </conditionalFormatting>
  <conditionalFormatting sqref="J5:J504">
    <cfRule type="expression" dxfId="2" priority="18">
      <formula>$J5="Vigente"</formula>
    </cfRule>
  </conditionalFormatting>
  <conditionalFormatting sqref="A5:K504">
    <cfRule type="expression" dxfId="3" priority="19">
      <formula>$J5="Reemplazada"</formula>
    </cfRule>
  </conditionalFormatting>
  <dataValidations count="2">
    <dataValidation type="list" allowBlank="1" promptTitle="Actividad" showErrorMessage="1" errorStyle="warning" errorTitle="Elige de la lista" error="Elige una opción de la lista desplegable." sqref="B5:B504">
      <formula1>Protocolo!$A$5:$A$54</formula1>
    </dataValidation>
    <dataValidation type="date" operator="greaterThan" allowBlank="1" promptTitle="Fecha de aplicación" showErrorMessage="1" errorStyle="warning" errorTitle="Fecha" error="Escribe una fecha válida, por ejemplo 15/03/2026." sqref="D5:D504">
      <formula1>32874</formula1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2" customWidth="1"/>
    <col min="2" max="4" width="12" customWidth="1"/>
    <col min="5" max="6" width="14" customWidth="1"/>
  </cols>
  <sheetData>
    <row r="1" ht="30" customHeight="1" spans="1:6" x14ac:dyDescent="0.25">
      <c r="A1" s="6" t="s">
        <v>67</v>
      </c>
      <c r="B1" s="6"/>
      <c r="C1" s="6"/>
      <c r="D1" s="6"/>
      <c r="E1" s="6"/>
      <c r="F1" s="6"/>
    </row>
    <row r="2" ht="22" customHeight="1" spans="1:6" x14ac:dyDescent="0.25">
      <c r="A2" s="7" t="s">
        <v>68</v>
      </c>
      <c r="B2" s="7"/>
      <c r="C2" s="7"/>
      <c r="D2" s="7"/>
      <c r="E2" s="7"/>
      <c r="F2" s="7"/>
    </row>
    <row r="4" spans="1:5" x14ac:dyDescent="0.25">
      <c r="A4" s="17" t="s">
        <v>37</v>
      </c>
      <c r="B4" s="17" t="s">
        <v>69</v>
      </c>
      <c r="C4" s="17" t="s">
        <v>70</v>
      </c>
      <c r="D4" s="17" t="s">
        <v>71</v>
      </c>
      <c r="E4" s="17" t="s">
        <v>72</v>
      </c>
    </row>
    <row r="5" spans="1:5" x14ac:dyDescent="0.25">
      <c r="A5" s="12">
        <f>IF(Protocolo!A5="","",Protocolo!A5)</f>
      </c>
      <c r="B5" s="15">
        <f>IF($A5="","",COUNTIFS(Registro!$B$5:$B$504,$A5,Registro!$J$5:$J$504,"Vigente"))</f>
      </c>
      <c r="C5" s="15">
        <f>IF($A5="","",COUNTIFS(Registro!$B$5:$B$504,$A5,Registro!$J$5:$J$504,"Por vencer"))</f>
      </c>
      <c r="D5" s="15">
        <f>IF($A5="","",COUNTIFS(Registro!$B$5:$B$504,$A5,Registro!$J$5:$J$504,"Vencida"))</f>
      </c>
      <c r="E5" s="15">
        <f>IF($A5="","",SUM(B5:D5))</f>
      </c>
    </row>
    <row r="6" spans="1:5" x14ac:dyDescent="0.25">
      <c r="A6" s="12">
        <f>IF(Protocolo!A6="","",Protocolo!A6)</f>
      </c>
      <c r="B6" s="15">
        <f>IF($A6="","",COUNTIFS(Registro!$B$5:$B$504,$A6,Registro!$J$5:$J$504,"Vigente"))</f>
      </c>
      <c r="C6" s="15">
        <f>IF($A6="","",COUNTIFS(Registro!$B$5:$B$504,$A6,Registro!$J$5:$J$504,"Por vencer"))</f>
      </c>
      <c r="D6" s="15">
        <f>IF($A6="","",COUNTIFS(Registro!$B$5:$B$504,$A6,Registro!$J$5:$J$504,"Vencida"))</f>
      </c>
      <c r="E6" s="15">
        <f>IF($A6="","",SUM(B6:D6))</f>
      </c>
    </row>
    <row r="7" spans="1:5" x14ac:dyDescent="0.25">
      <c r="A7" s="12">
        <f>IF(Protocolo!A7="","",Protocolo!A7)</f>
      </c>
      <c r="B7" s="15">
        <f>IF($A7="","",COUNTIFS(Registro!$B$5:$B$504,$A7,Registro!$J$5:$J$504,"Vigente"))</f>
      </c>
      <c r="C7" s="15">
        <f>IF($A7="","",COUNTIFS(Registro!$B$5:$B$504,$A7,Registro!$J$5:$J$504,"Por vencer"))</f>
      </c>
      <c r="D7" s="15">
        <f>IF($A7="","",COUNTIFS(Registro!$B$5:$B$504,$A7,Registro!$J$5:$J$504,"Vencida"))</f>
      </c>
      <c r="E7" s="15">
        <f>IF($A7="","",SUM(B7:D7))</f>
      </c>
    </row>
    <row r="8" spans="1:5" x14ac:dyDescent="0.25">
      <c r="A8" s="12">
        <f>IF(Protocolo!A8="","",Protocolo!A8)</f>
      </c>
      <c r="B8" s="15">
        <f>IF($A8="","",COUNTIFS(Registro!$B$5:$B$504,$A8,Registro!$J$5:$J$504,"Vigente"))</f>
      </c>
      <c r="C8" s="15">
        <f>IF($A8="","",COUNTIFS(Registro!$B$5:$B$504,$A8,Registro!$J$5:$J$504,"Por vencer"))</f>
      </c>
      <c r="D8" s="15">
        <f>IF($A8="","",COUNTIFS(Registro!$B$5:$B$504,$A8,Registro!$J$5:$J$504,"Vencida"))</f>
      </c>
      <c r="E8" s="15">
        <f>IF($A8="","",SUM(B8:D8))</f>
      </c>
    </row>
    <row r="9" spans="1:5" x14ac:dyDescent="0.25">
      <c r="A9" s="12">
        <f>IF(Protocolo!A9="","",Protocolo!A9)</f>
      </c>
      <c r="B9" s="15">
        <f>IF($A9="","",COUNTIFS(Registro!$B$5:$B$504,$A9,Registro!$J$5:$J$504,"Vigente"))</f>
      </c>
      <c r="C9" s="15">
        <f>IF($A9="","",COUNTIFS(Registro!$B$5:$B$504,$A9,Registro!$J$5:$J$504,"Por vencer"))</f>
      </c>
      <c r="D9" s="15">
        <f>IF($A9="","",COUNTIFS(Registro!$B$5:$B$504,$A9,Registro!$J$5:$J$504,"Vencida"))</f>
      </c>
      <c r="E9" s="15">
        <f>IF($A9="","",SUM(B9:D9))</f>
      </c>
    </row>
    <row r="10" spans="1:5" x14ac:dyDescent="0.25">
      <c r="A10" s="12">
        <f>IF(Protocolo!A10="","",Protocolo!A10)</f>
      </c>
      <c r="B10" s="15">
        <f>IF($A10="","",COUNTIFS(Registro!$B$5:$B$504,$A10,Registro!$J$5:$J$504,"Vigente"))</f>
      </c>
      <c r="C10" s="15">
        <f>IF($A10="","",COUNTIFS(Registro!$B$5:$B$504,$A10,Registro!$J$5:$J$504,"Por vencer"))</f>
      </c>
      <c r="D10" s="15">
        <f>IF($A10="","",COUNTIFS(Registro!$B$5:$B$504,$A10,Registro!$J$5:$J$504,"Vencida"))</f>
      </c>
      <c r="E10" s="15">
        <f>IF($A10="","",SUM(B10:D10))</f>
      </c>
    </row>
    <row r="11" spans="1:5" x14ac:dyDescent="0.25">
      <c r="A11" s="12">
        <f>IF(Protocolo!A11="","",Protocolo!A11)</f>
      </c>
      <c r="B11" s="15">
        <f>IF($A11="","",COUNTIFS(Registro!$B$5:$B$504,$A11,Registro!$J$5:$J$504,"Vigente"))</f>
      </c>
      <c r="C11" s="15">
        <f>IF($A11="","",COUNTIFS(Registro!$B$5:$B$504,$A11,Registro!$J$5:$J$504,"Por vencer"))</f>
      </c>
      <c r="D11" s="15">
        <f>IF($A11="","",COUNTIFS(Registro!$B$5:$B$504,$A11,Registro!$J$5:$J$504,"Vencida"))</f>
      </c>
      <c r="E11" s="15">
        <f>IF($A11="","",SUM(B11:D11))</f>
      </c>
    </row>
    <row r="12" spans="1:5" x14ac:dyDescent="0.25">
      <c r="A12" s="12">
        <f>IF(Protocolo!A12="","",Protocolo!A12)</f>
      </c>
      <c r="B12" s="15">
        <f>IF($A12="","",COUNTIFS(Registro!$B$5:$B$504,$A12,Registro!$J$5:$J$504,"Vigente"))</f>
      </c>
      <c r="C12" s="15">
        <f>IF($A12="","",COUNTIFS(Registro!$B$5:$B$504,$A12,Registro!$J$5:$J$504,"Por vencer"))</f>
      </c>
      <c r="D12" s="15">
        <f>IF($A12="","",COUNTIFS(Registro!$B$5:$B$504,$A12,Registro!$J$5:$J$504,"Vencida"))</f>
      </c>
      <c r="E12" s="15">
        <f>IF($A12="","",SUM(B12:D12))</f>
      </c>
    </row>
    <row r="13" spans="1:5" x14ac:dyDescent="0.25">
      <c r="A13" s="12">
        <f>IF(Protocolo!A13="","",Protocolo!A13)</f>
      </c>
      <c r="B13" s="15">
        <f>IF($A13="","",COUNTIFS(Registro!$B$5:$B$504,$A13,Registro!$J$5:$J$504,"Vigente"))</f>
      </c>
      <c r="C13" s="15">
        <f>IF($A13="","",COUNTIFS(Registro!$B$5:$B$504,$A13,Registro!$J$5:$J$504,"Por vencer"))</f>
      </c>
      <c r="D13" s="15">
        <f>IF($A13="","",COUNTIFS(Registro!$B$5:$B$504,$A13,Registro!$J$5:$J$504,"Vencida"))</f>
      </c>
      <c r="E13" s="15">
        <f>IF($A13="","",SUM(B13:D13))</f>
      </c>
    </row>
    <row r="14" spans="1:5" x14ac:dyDescent="0.25">
      <c r="A14" s="12">
        <f>IF(Protocolo!A14="","",Protocolo!A14)</f>
      </c>
      <c r="B14" s="15">
        <f>IF($A14="","",COUNTIFS(Registro!$B$5:$B$504,$A14,Registro!$J$5:$J$504,"Vigente"))</f>
      </c>
      <c r="C14" s="15">
        <f>IF($A14="","",COUNTIFS(Registro!$B$5:$B$504,$A14,Registro!$J$5:$J$504,"Por vencer"))</f>
      </c>
      <c r="D14" s="15">
        <f>IF($A14="","",COUNTIFS(Registro!$B$5:$B$504,$A14,Registro!$J$5:$J$504,"Vencida"))</f>
      </c>
      <c r="E14" s="15">
        <f>IF($A14="","",SUM(B14:D14))</f>
      </c>
    </row>
    <row r="15" spans="1:5" x14ac:dyDescent="0.25">
      <c r="A15" s="12">
        <f>IF(Protocolo!A15="","",Protocolo!A15)</f>
      </c>
      <c r="B15" s="15">
        <f>IF($A15="","",COUNTIFS(Registro!$B$5:$B$504,$A15,Registro!$J$5:$J$504,"Vigente"))</f>
      </c>
      <c r="C15" s="15">
        <f>IF($A15="","",COUNTIFS(Registro!$B$5:$B$504,$A15,Registro!$J$5:$J$504,"Por vencer"))</f>
      </c>
      <c r="D15" s="15">
        <f>IF($A15="","",COUNTIFS(Registro!$B$5:$B$504,$A15,Registro!$J$5:$J$504,"Vencida"))</f>
      </c>
      <c r="E15" s="15">
        <f>IF($A15="","",SUM(B15:D15))</f>
      </c>
    </row>
    <row r="16" spans="1:5" x14ac:dyDescent="0.25">
      <c r="A16" s="12">
        <f>IF(Protocolo!A16="","",Protocolo!A16)</f>
      </c>
      <c r="B16" s="15">
        <f>IF($A16="","",COUNTIFS(Registro!$B$5:$B$504,$A16,Registro!$J$5:$J$504,"Vigente"))</f>
      </c>
      <c r="C16" s="15">
        <f>IF($A16="","",COUNTIFS(Registro!$B$5:$B$504,$A16,Registro!$J$5:$J$504,"Por vencer"))</f>
      </c>
      <c r="D16" s="15">
        <f>IF($A16="","",COUNTIFS(Registro!$B$5:$B$504,$A16,Registro!$J$5:$J$504,"Vencida"))</f>
      </c>
      <c r="E16" s="15">
        <f>IF($A16="","",SUM(B16:D16))</f>
      </c>
    </row>
    <row r="17" spans="1:5" x14ac:dyDescent="0.25">
      <c r="A17" s="12">
        <f>IF(Protocolo!A17="","",Protocolo!A17)</f>
      </c>
      <c r="B17" s="15">
        <f>IF($A17="","",COUNTIFS(Registro!$B$5:$B$504,$A17,Registro!$J$5:$J$504,"Vigente"))</f>
      </c>
      <c r="C17" s="15">
        <f>IF($A17="","",COUNTIFS(Registro!$B$5:$B$504,$A17,Registro!$J$5:$J$504,"Por vencer"))</f>
      </c>
      <c r="D17" s="15">
        <f>IF($A17="","",COUNTIFS(Registro!$B$5:$B$504,$A17,Registro!$J$5:$J$504,"Vencida"))</f>
      </c>
      <c r="E17" s="15">
        <f>IF($A17="","",SUM(B17:D17))</f>
      </c>
    </row>
    <row r="18" spans="1:5" x14ac:dyDescent="0.25">
      <c r="A18" s="12">
        <f>IF(Protocolo!A18="","",Protocolo!A18)</f>
      </c>
      <c r="B18" s="15">
        <f>IF($A18="","",COUNTIFS(Registro!$B$5:$B$504,$A18,Registro!$J$5:$J$504,"Vigente"))</f>
      </c>
      <c r="C18" s="15">
        <f>IF($A18="","",COUNTIFS(Registro!$B$5:$B$504,$A18,Registro!$J$5:$J$504,"Por vencer"))</f>
      </c>
      <c r="D18" s="15">
        <f>IF($A18="","",COUNTIFS(Registro!$B$5:$B$504,$A18,Registro!$J$5:$J$504,"Vencida"))</f>
      </c>
      <c r="E18" s="15">
        <f>IF($A18="","",SUM(B18:D18))</f>
      </c>
    </row>
    <row r="19" spans="1:5" x14ac:dyDescent="0.25">
      <c r="A19" s="12">
        <f>IF(Protocolo!A19="","",Protocolo!A19)</f>
      </c>
      <c r="B19" s="15">
        <f>IF($A19="","",COUNTIFS(Registro!$B$5:$B$504,$A19,Registro!$J$5:$J$504,"Vigente"))</f>
      </c>
      <c r="C19" s="15">
        <f>IF($A19="","",COUNTIFS(Registro!$B$5:$B$504,$A19,Registro!$J$5:$J$504,"Por vencer"))</f>
      </c>
      <c r="D19" s="15">
        <f>IF($A19="","",COUNTIFS(Registro!$B$5:$B$504,$A19,Registro!$J$5:$J$504,"Vencida"))</f>
      </c>
      <c r="E19" s="15">
        <f>IF($A19="","",SUM(B19:D19))</f>
      </c>
    </row>
    <row r="20" spans="1:5" x14ac:dyDescent="0.25">
      <c r="A20" s="12">
        <f>IF(Protocolo!A20="","",Protocolo!A20)</f>
      </c>
      <c r="B20" s="15">
        <f>IF($A20="","",COUNTIFS(Registro!$B$5:$B$504,$A20,Registro!$J$5:$J$504,"Vigente"))</f>
      </c>
      <c r="C20" s="15">
        <f>IF($A20="","",COUNTIFS(Registro!$B$5:$B$504,$A20,Registro!$J$5:$J$504,"Por vencer"))</f>
      </c>
      <c r="D20" s="15">
        <f>IF($A20="","",COUNTIFS(Registro!$B$5:$B$504,$A20,Registro!$J$5:$J$504,"Vencida"))</f>
      </c>
      <c r="E20" s="15">
        <f>IF($A20="","",SUM(B20:D20))</f>
      </c>
    </row>
    <row r="21" spans="1:5" x14ac:dyDescent="0.25">
      <c r="A21" s="12">
        <f>IF(Protocolo!A21="","",Protocolo!A21)</f>
      </c>
      <c r="B21" s="15">
        <f>IF($A21="","",COUNTIFS(Registro!$B$5:$B$504,$A21,Registro!$J$5:$J$504,"Vigente"))</f>
      </c>
      <c r="C21" s="15">
        <f>IF($A21="","",COUNTIFS(Registro!$B$5:$B$504,$A21,Registro!$J$5:$J$504,"Por vencer"))</f>
      </c>
      <c r="D21" s="15">
        <f>IF($A21="","",COUNTIFS(Registro!$B$5:$B$504,$A21,Registro!$J$5:$J$504,"Vencida"))</f>
      </c>
      <c r="E21" s="15">
        <f>IF($A21="","",SUM(B21:D21))</f>
      </c>
    </row>
    <row r="22" spans="1:5" x14ac:dyDescent="0.25">
      <c r="A22" s="12">
        <f>IF(Protocolo!A22="","",Protocolo!A22)</f>
      </c>
      <c r="B22" s="15">
        <f>IF($A22="","",COUNTIFS(Registro!$B$5:$B$504,$A22,Registro!$J$5:$J$504,"Vigente"))</f>
      </c>
      <c r="C22" s="15">
        <f>IF($A22="","",COUNTIFS(Registro!$B$5:$B$504,$A22,Registro!$J$5:$J$504,"Por vencer"))</f>
      </c>
      <c r="D22" s="15">
        <f>IF($A22="","",COUNTIFS(Registro!$B$5:$B$504,$A22,Registro!$J$5:$J$504,"Vencida"))</f>
      </c>
      <c r="E22" s="15">
        <f>IF($A22="","",SUM(B22:D22))</f>
      </c>
    </row>
    <row r="23" spans="1:5" x14ac:dyDescent="0.25">
      <c r="A23" s="12">
        <f>IF(Protocolo!A23="","",Protocolo!A23)</f>
      </c>
      <c r="B23" s="15">
        <f>IF($A23="","",COUNTIFS(Registro!$B$5:$B$504,$A23,Registro!$J$5:$J$504,"Vigente"))</f>
      </c>
      <c r="C23" s="15">
        <f>IF($A23="","",COUNTIFS(Registro!$B$5:$B$504,$A23,Registro!$J$5:$J$504,"Por vencer"))</f>
      </c>
      <c r="D23" s="15">
        <f>IF($A23="","",COUNTIFS(Registro!$B$5:$B$504,$A23,Registro!$J$5:$J$504,"Vencida"))</f>
      </c>
      <c r="E23" s="15">
        <f>IF($A23="","",SUM(B23:D23))</f>
      </c>
    </row>
    <row r="24" spans="1:5" x14ac:dyDescent="0.25">
      <c r="A24" s="12">
        <f>IF(Protocolo!A24="","",Protocolo!A24)</f>
      </c>
      <c r="B24" s="15">
        <f>IF($A24="","",COUNTIFS(Registro!$B$5:$B$504,$A24,Registro!$J$5:$J$504,"Vigente"))</f>
      </c>
      <c r="C24" s="15">
        <f>IF($A24="","",COUNTIFS(Registro!$B$5:$B$504,$A24,Registro!$J$5:$J$504,"Por vencer"))</f>
      </c>
      <c r="D24" s="15">
        <f>IF($A24="","",COUNTIFS(Registro!$B$5:$B$504,$A24,Registro!$J$5:$J$504,"Vencida"))</f>
      </c>
      <c r="E24" s="15">
        <f>IF($A24="","",SUM(B24:D24))</f>
      </c>
    </row>
  </sheetData>
  <sheetProtection sheet="1"/>
  <mergeCells count="2">
    <mergeCell ref="A1:F1"/>
    <mergeCell ref="A2:F2"/>
  </mergeCells>
  <conditionalFormatting sqref="D5:D24">
    <cfRule type="expression" dxfId="4" priority="20">
      <formula>AND(ISNUMBER($D5),$D5&gt;0)</formula>
    </cfRule>
  </conditionalFormatting>
  <conditionalFormatting sqref="C5:C24">
    <cfRule type="expression" dxfId="5" priority="21">
      <formula>AND(ISNUMBER($C5),$C5&gt;0)</formula>
    </cfRule>
  </conditionalFormatting>
  <pageSetup paperSize="1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Protocolo</vt:lpstr>
      <vt:lpstr>Registro</vt:lpstr>
      <vt:lpstr>Resumen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Calendario de vacunación y desparasitación con tu protocolo</dc:title>
  <dc:subject>Calendario que calcula próximas fechas y vencimientos a partir del protocolo que defines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