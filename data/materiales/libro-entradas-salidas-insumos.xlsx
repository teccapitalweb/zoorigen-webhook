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ductos" state="visible" r:id="rId5"/>
    <sheet sheetId="3" name="Movimientos" state="visible" r:id="rId6"/>
  </sheets>
  <calcPr calcId="171027" fullCalcOnLoad="1"/>
</workbook>
</file>

<file path=xl/sharedStrings.xml><?xml version="1.0" encoding="utf-8"?>
<sst xmlns="http://schemas.openxmlformats.org/spreadsheetml/2006/main" count="110" uniqueCount="78">
  <si>
    <t>Libro de entradas y salidas de insumos</t>
  </si>
  <si>
    <t>Zoorigen · Club VIP · Versión 1.0 · 22 de octubre de 2026 · Material original de Zoorigen</t>
  </si>
  <si>
    <t>Para qué sirve</t>
  </si>
  <si>
    <t/>
  </si>
  <si>
    <t>Registra cada entrada y cada salida de tus insumos (material de curación, limpieza, alimentos de prueba, medicamentos y lo que necesites controlar) y el libro calcula solo el saldo de cada producto. Es un formato de registro interno: NO es un formato oficial ni indica qué usar o en qué cantidad.</t>
  </si>
  <si>
    <t>Qué hay en cada hoja</t>
  </si>
  <si>
    <t>Productos</t>
  </si>
  <si>
    <t>Tu catálogo: un código por producto, su unidad y el mínimo que quieres tener. Aquí ves entradas, salidas y saldo de cada uno.</t>
  </si>
  <si>
    <t>Movimientos</t>
  </si>
  <si>
    <t>El libro: una fila por cada entrada o salida. El saldo después de cada movimiento se calcula solo.</t>
  </si>
  <si>
    <t>Cómo usarlo, paso a paso</t>
  </si>
  <si>
    <t>Paso 1</t>
  </si>
  <si>
    <t>En «Productos» borra los EJEMPLOS y da de alta tus productos con un código único (por ejemplo P-001), su nombre, la unidad y el stock mínimo.</t>
  </si>
  <si>
    <t>Paso 2</t>
  </si>
  <si>
    <t>En «Movimientos» escribe la fecha, elige el código de la lista, elige si es Entrada o Salida y escribe la cantidad. El nombre del producto aparece solo.</t>
  </si>
  <si>
    <t>Paso 3</t>
  </si>
  <si>
    <t>Escribe el lote, la fecha de caducidad (si aplica), quién hizo el movimiento y el motivo o destino. Escríbelos en el mismo orden en que ocurrieron.</t>
  </si>
  <si>
    <t>Paso 4</t>
  </si>
  <si>
    <t>La columna «Saldo después» muestra cuánto queda de ese producto tras el movimiento. Si sale en rojo, hay un saldo negativo: revisa si faltó registrar una entrada.</t>
  </si>
  <si>
    <t>Paso 5</t>
  </si>
  <si>
    <t>En «Productos» la columna «Estado» te avisa cuando un producto está en su mínimo o por debajo.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</si>
  <si>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</si>
  <si>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</si>
  <si>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</si>
  <si>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</si>
  <si>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</si>
  <si>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</si>
  <si>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</si>
  <si>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</si>
  <si>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Este libro no sustituye los formatos, libros de control o recetarios que la normatividad pida para ciertos productos (por ejemplo medicamentos controlados). Consulta la norma vigente y a tu médico veterinario responsable.</t>
  </si>
  <si>
    <t>No registres dosis ni indicaciones de uso: solo cantidades de entrada y salida.</t>
  </si>
  <si>
    <t>Aviso</t>
  </si>
  <si>
    <t>Material de apoyo de Zoorigen: no sustituye el criterio profesional ni la asesoría legal. Consulta siempre la normatividad vigente.</t>
  </si>
  <si>
    <t>Catálogo de productos y saldos</t>
  </si>
  <si>
    <t>Zoorigen · Material de apoyo (formato de registro interno, no oficial)</t>
  </si>
  <si>
    <t>Código</t>
  </si>
  <si>
    <t>Producto</t>
  </si>
  <si>
    <t>Unidad</t>
  </si>
  <si>
    <t>Stock mínimo</t>
  </si>
  <si>
    <t>Entradas</t>
  </si>
  <si>
    <t>Salidas</t>
  </si>
  <si>
    <t>Saldo</t>
  </si>
  <si>
    <t>Estado</t>
  </si>
  <si>
    <t>Nota</t>
  </si>
  <si>
    <t>P-001</t>
  </si>
  <si>
    <t>Gasas estériles</t>
  </si>
  <si>
    <t>paquete</t>
  </si>
  <si>
    <t>EJEMPLO</t>
  </si>
  <si>
    <t>P-002</t>
  </si>
  <si>
    <t>Guantes de exploración</t>
  </si>
  <si>
    <t>caja</t>
  </si>
  <si>
    <t>P-003</t>
  </si>
  <si>
    <t>Solución para limpieza</t>
  </si>
  <si>
    <t>frasco</t>
  </si>
  <si>
    <t>P-004</t>
  </si>
  <si>
    <t>Bolsas para residuos</t>
  </si>
  <si>
    <t>bolsa</t>
  </si>
  <si>
    <t>Libro de entradas y salidas</t>
  </si>
  <si>
    <t>Zoorigen · Material de apoyo (formato de registro interno, no oficial). Escribe los movimientos en el orden en que ocurrieron.</t>
  </si>
  <si>
    <t>Fecha</t>
  </si>
  <si>
    <t>Tipo</t>
  </si>
  <si>
    <t>Cantidad</t>
  </si>
  <si>
    <t>Lote</t>
  </si>
  <si>
    <t>Caducidad</t>
  </si>
  <si>
    <t>Responsable</t>
  </si>
  <si>
    <t>Motivo o destino</t>
  </si>
  <si>
    <t>Saldo después</t>
  </si>
  <si>
    <t>Alerta</t>
  </si>
  <si>
    <t>Entrada</t>
  </si>
  <si>
    <t>L-01</t>
  </si>
  <si>
    <t>Nombre</t>
  </si>
  <si>
    <t>Compra inicial</t>
  </si>
  <si>
    <t>Salida</t>
  </si>
  <si>
    <t>Uso en curaciones</t>
  </si>
  <si>
    <t>L-02</t>
  </si>
  <si>
    <t>Compra</t>
  </si>
  <si>
    <t>Uso en revisiones</t>
  </si>
  <si>
    <t>L-03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</si>
</sst>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164" fontId="9" fillId="5" borderId="2" xfId="0" applyNumberFormat="1" applyFont="1" applyFill="1" applyBorder="1" applyAlignment="1" applyProtection="1">
      <alignment vertical="center"/>
    </xf>
    <xf numFmtId="0" fontId="9" fillId="5" borderId="2" xfId="0" applyFont="1" applyFill="1" applyBorder="1" applyAlignment="1" applyProtection="1">
      <alignment vertical="center"/>
    </xf>
    <xf numFmtId="0" fontId="5" fillId="0" borderId="2" xfId="0" applyFont="1" applyBorder="1" applyAlignment="1" applyProtection="1">
      <alignment vertical="center"/>
      <protection locked="0"/>
    </xf>
    <xf numFmtId="165" fontId="8" fillId="3" borderId="2" xfId="0" applyNumberFormat="1" applyFont="1" applyFill="1" applyBorder="1" applyAlignment="1" applyProtection="1">
      <alignment vertical="center"/>
      <protection locked="0"/>
    </xf>
    <xf numFmtId="164" fontId="8" fillId="3" borderId="2" xfId="0" applyNumberFormat="1" applyFont="1" applyFill="1" applyBorder="1" applyAlignment="1" applyProtection="1">
      <alignment vertical="center"/>
      <protection locked="0"/>
    </xf>
    <xf numFmtId="165" fontId="5" fillId="0" borderId="2" xfId="0" applyNumberFormat="1" applyFont="1" applyBorder="1" applyAlignment="1" applyProtection="1">
      <alignment vertical="center"/>
      <protection locked="0"/>
    </xf>
    <xf numFmtId="164" fontId="5" fillId="0" borderId="2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6"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  <dxf>
      <font>
        <b/>
        <color rgb="FFB42318"/>
      </font>
      <fill>
        <patternFill patternType="solid">
          <fgColor rgb="FFFDE7E4"/>
          <bgColor rgb="FFFDE7E4"/>
        </patternFill>
      </fill>
    </dxf>
    <dxf>
      <font>
        <b/>
        <color rgb="FF7A5200"/>
      </font>
      <fill>
        <patternFill patternType="solid">
          <fgColor rgb="FFFDEFD0"/>
          <bgColor rgb="FFFDEFD0"/>
        </patternFill>
      </fill>
    </dxf>
    <dxf>
      <font>
        <b/>
        <color rgb="FF1F5F3A"/>
      </font>
    </dxf>
    <dxf>
      <font>
        <b/>
        <color rgb="FFC7540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68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36" customHeight="1" spans="2:3" x14ac:dyDescent="0.25">
      <c r="B8" s="4" t="s">
        <v>6</v>
      </c>
      <c r="C8" s="5" t="s">
        <v>7</v>
      </c>
    </row>
    <row r="9" ht="36" customHeight="1" spans="2:3" x14ac:dyDescent="0.25">
      <c r="B9" s="4" t="s">
        <v>8</v>
      </c>
      <c r="C9" s="5" t="s">
        <v>9</v>
      </c>
    </row>
    <row r="11" spans="2:3" x14ac:dyDescent="0.25">
      <c r="B11" s="3" t="s">
        <v>10</v>
      </c>
      <c r="C11" s="3"/>
    </row>
    <row r="12" ht="36" customHeight="1" spans="2:3" x14ac:dyDescent="0.25">
      <c r="B12" s="4" t="s">
        <v>11</v>
      </c>
      <c r="C12" s="5" t="s">
        <v>12</v>
      </c>
    </row>
    <row r="13" ht="36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20" customHeight="1" spans="2:3" x14ac:dyDescent="0.25">
      <c r="B16" s="4" t="s">
        <v>19</v>
      </c>
      <c r="C16" s="5" t="s">
        <v>20</v>
      </c>
    </row>
    <row r="18" spans="2:3" x14ac:dyDescent="0.25">
      <c r="B18" s="3" t="s">
        <v>21</v>
      </c>
      <c r="C18" s="3"/>
    </row>
    <row r="19" ht="20" customHeight="1" spans="2:3" x14ac:dyDescent="0.25">
      <c r="B19" s="4" t="s">
        <v>22</v>
      </c>
      <c r="C19" s="5" t="s">
        <v>23</v>
      </c>
    </row>
    <row r="20" ht="20" customHeight="1" spans="2:3" x14ac:dyDescent="0.25">
      <c r="B20" s="4" t="s">
        <v>24</v>
      </c>
      <c r="C20" s="5" t="s">
        <v>25</v>
      </c>
    </row>
    <row r="21" ht="52" customHeight="1" spans="2:3" x14ac:dyDescent="0.25">
      <c r="B21" s="4" t="s">
        <v>26</v>
      </c>
      <c r="C21" s="5" t="s">
        <v>27</v>
      </c>
    </row>
    <row r="23" spans="2:3" x14ac:dyDescent="0.25">
      <c r="B23" s="3" t="s">
        <v>28</v>
      </c>
      <c r="C23" s="3"/>
    </row>
    <row r="24" ht="52" customHeight="1" spans="2:3" x14ac:dyDescent="0.25">
      <c r="B24" s="4" t="s">
        <v>3</v>
      </c>
      <c r="C24" s="5" t="s">
        <v>29</v>
      </c>
    </row>
    <row r="25" ht="20" customHeight="1" spans="2:3" x14ac:dyDescent="0.25">
      <c r="B25" s="4" t="s">
        <v>3</v>
      </c>
      <c r="C25" s="5" t="s">
        <v>30</v>
      </c>
    </row>
    <row r="27" spans="2:3" x14ac:dyDescent="0.25">
      <c r="B27" s="3" t="s">
        <v>31</v>
      </c>
      <c r="C27" s="3"/>
    </row>
    <row r="28" ht="36" customHeight="1" spans="2:3" x14ac:dyDescent="0.25">
      <c r="B28" s="4" t="s">
        <v>3</v>
      </c>
      <c r="C28" s="5" t="s">
        <v>32</v>
      </c>
    </row>
  </sheetData>
  <sheetProtection sheet="1"/>
  <mergeCells count="8">
    <mergeCell ref="A1:C1"/>
    <mergeCell ref="A2:C2"/>
    <mergeCell ref="B4:C4"/>
    <mergeCell ref="B7:C7"/>
    <mergeCell ref="B11:C11"/>
    <mergeCell ref="B18:C18"/>
    <mergeCell ref="B23:C23"/>
    <mergeCell ref="B27:C27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I10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7" width="12" customWidth="1"/>
    <col min="8" max="8" width="22" customWidth="1"/>
    <col min="9" max="9" width="11" customWidth="1"/>
  </cols>
  <sheetData>
    <row r="1" ht="30" customHeight="1" spans="1:9" x14ac:dyDescent="0.25">
      <c r="A1" s="6" t="s">
        <v>33</v>
      </c>
      <c r="B1" s="6"/>
      <c r="C1" s="6"/>
      <c r="D1" s="6"/>
      <c r="E1" s="6"/>
      <c r="F1" s="6"/>
      <c r="G1" s="6"/>
      <c r="H1" s="6"/>
      <c r="I1" s="6"/>
    </row>
    <row r="2" ht="22" customHeight="1" spans="1:9" x14ac:dyDescent="0.25">
      <c r="A2" s="7" t="s">
        <v>34</v>
      </c>
      <c r="B2" s="7"/>
      <c r="C2" s="7"/>
      <c r="D2" s="7"/>
      <c r="E2" s="7"/>
      <c r="F2" s="7"/>
      <c r="G2" s="7"/>
      <c r="H2" s="7"/>
      <c r="I2" s="7"/>
    </row>
    <row r="4" ht="34" customHeight="1" spans="1:9" x14ac:dyDescent="0.25">
      <c r="A4" s="8" t="s">
        <v>35</v>
      </c>
      <c r="B4" s="8" t="s">
        <v>36</v>
      </c>
      <c r="C4" s="8" t="s">
        <v>37</v>
      </c>
      <c r="D4" s="8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8" t="s">
        <v>43</v>
      </c>
    </row>
    <row r="5" spans="1:9" x14ac:dyDescent="0.25">
      <c r="A5" s="10" t="s">
        <v>44</v>
      </c>
      <c r="B5" s="10" t="s">
        <v>45</v>
      </c>
      <c r="C5" s="10" t="s">
        <v>46</v>
      </c>
      <c r="D5" s="10">
        <v>5</v>
      </c>
      <c r="E5" s="11">
        <f>IF(A5="","",SUMIFS(Movimientos!$E$5:$E$504,Movimientos!$B$5:$B$504,A5,Movimientos!$D$5:$D$504,"Entrada"))</f>
      </c>
      <c r="F5" s="11">
        <f>IF(A5="","",SUMIFS(Movimientos!$E$5:$E$504,Movimientos!$B$5:$B$504,A5,Movimientos!$D$5:$D$504,"Salida"))</f>
      </c>
      <c r="G5" s="11">
        <f>IF(A5="","",E5-F5)</f>
      </c>
      <c r="H5" s="12">
        <f>IF(A5="","",IF(G5&lt;0,"Saldo negativo: revisa",IF(AND(D5&lt;&gt;"",G5&lt;=D5),"En el mínimo o por debajo","Suficiente")))</f>
      </c>
      <c r="I5" s="10" t="s">
        <v>47</v>
      </c>
    </row>
    <row r="6" spans="1:9" x14ac:dyDescent="0.25">
      <c r="A6" s="10" t="s">
        <v>48</v>
      </c>
      <c r="B6" s="10" t="s">
        <v>49</v>
      </c>
      <c r="C6" s="10" t="s">
        <v>50</v>
      </c>
      <c r="D6" s="10">
        <v>2</v>
      </c>
      <c r="E6" s="11">
        <f>IF(A6="","",SUMIFS(Movimientos!$E$5:$E$504,Movimientos!$B$5:$B$504,A6,Movimientos!$D$5:$D$504,"Entrada"))</f>
      </c>
      <c r="F6" s="11">
        <f>IF(A6="","",SUMIFS(Movimientos!$E$5:$E$504,Movimientos!$B$5:$B$504,A6,Movimientos!$D$5:$D$504,"Salida"))</f>
      </c>
      <c r="G6" s="11">
        <f>IF(A6="","",E6-F6)</f>
      </c>
      <c r="H6" s="12">
        <f>IF(A6="","",IF(G6&lt;0,"Saldo negativo: revisa",IF(AND(D6&lt;&gt;"",G6&lt;=D6),"En el mínimo o por debajo","Suficiente")))</f>
      </c>
      <c r="I6" s="10" t="s">
        <v>47</v>
      </c>
    </row>
    <row r="7" spans="1:9" x14ac:dyDescent="0.25">
      <c r="A7" s="10" t="s">
        <v>51</v>
      </c>
      <c r="B7" s="10" t="s">
        <v>52</v>
      </c>
      <c r="C7" s="10" t="s">
        <v>53</v>
      </c>
      <c r="D7" s="10">
        <v>2</v>
      </c>
      <c r="E7" s="11">
        <f>IF(A7="","",SUMIFS(Movimientos!$E$5:$E$504,Movimientos!$B$5:$B$504,A7,Movimientos!$D$5:$D$504,"Entrada"))</f>
      </c>
      <c r="F7" s="11">
        <f>IF(A7="","",SUMIFS(Movimientos!$E$5:$E$504,Movimientos!$B$5:$B$504,A7,Movimientos!$D$5:$D$504,"Salida"))</f>
      </c>
      <c r="G7" s="11">
        <f>IF(A7="","",E7-F7)</f>
      </c>
      <c r="H7" s="12">
        <f>IF(A7="","",IF(G7&lt;0,"Saldo negativo: revisa",IF(AND(D7&lt;&gt;"",G7&lt;=D7),"En el mínimo o por debajo","Suficiente")))</f>
      </c>
      <c r="I7" s="10" t="s">
        <v>47</v>
      </c>
    </row>
    <row r="8" spans="1:9" x14ac:dyDescent="0.25">
      <c r="A8" s="10" t="s">
        <v>54</v>
      </c>
      <c r="B8" s="10" t="s">
        <v>55</v>
      </c>
      <c r="C8" s="10" t="s">
        <v>56</v>
      </c>
      <c r="D8" s="10">
        <v>20</v>
      </c>
      <c r="E8" s="11">
        <f>IF(A8="","",SUMIFS(Movimientos!$E$5:$E$504,Movimientos!$B$5:$B$504,A8,Movimientos!$D$5:$D$504,"Entrada"))</f>
      </c>
      <c r="F8" s="11">
        <f>IF(A8="","",SUMIFS(Movimientos!$E$5:$E$504,Movimientos!$B$5:$B$504,A8,Movimientos!$D$5:$D$504,"Salida"))</f>
      </c>
      <c r="G8" s="11">
        <f>IF(A8="","",E8-F8)</f>
      </c>
      <c r="H8" s="12">
        <f>IF(A8="","",IF(G8&lt;0,"Saldo negativo: revisa",IF(AND(D8&lt;&gt;"",G8&lt;=D8),"En el mínimo o por debajo","Suficiente")))</f>
      </c>
      <c r="I8" s="10" t="s">
        <v>47</v>
      </c>
    </row>
    <row r="9" spans="1:9" x14ac:dyDescent="0.25">
      <c r="A9" s="13"/>
      <c r="B9" s="13"/>
      <c r="C9" s="13"/>
      <c r="D9" s="13"/>
      <c r="E9" s="11">
        <f>IF(A9="","",SUMIFS(Movimientos!$E$5:$E$504,Movimientos!$B$5:$B$504,A9,Movimientos!$D$5:$D$504,"Entrada"))</f>
      </c>
      <c r="F9" s="11">
        <f>IF(A9="","",SUMIFS(Movimientos!$E$5:$E$504,Movimientos!$B$5:$B$504,A9,Movimientos!$D$5:$D$504,"Salida"))</f>
      </c>
      <c r="G9" s="11">
        <f>IF(A9="","",E9-F9)</f>
      </c>
      <c r="H9" s="12">
        <f>IF(A9="","",IF(G9&lt;0,"Saldo negativo: revisa",IF(AND(D9&lt;&gt;"",G9&lt;=D9),"En el mínimo o por debajo","Suficiente")))</f>
      </c>
      <c r="I9" s="13"/>
    </row>
    <row r="10" spans="1:9" x14ac:dyDescent="0.25">
      <c r="A10" s="13"/>
      <c r="B10" s="13"/>
      <c r="C10" s="13"/>
      <c r="D10" s="13"/>
      <c r="E10" s="11">
        <f>IF(A10="","",SUMIFS(Movimientos!$E$5:$E$504,Movimientos!$B$5:$B$504,A10,Movimientos!$D$5:$D$504,"Entrada"))</f>
      </c>
      <c r="F10" s="11">
        <f>IF(A10="","",SUMIFS(Movimientos!$E$5:$E$504,Movimientos!$B$5:$B$504,A10,Movimientos!$D$5:$D$504,"Salida"))</f>
      </c>
      <c r="G10" s="11">
        <f>IF(A10="","",E10-F10)</f>
      </c>
      <c r="H10" s="12">
        <f>IF(A10="","",IF(G10&lt;0,"Saldo negativo: revisa",IF(AND(D10&lt;&gt;"",G10&lt;=D10),"En el mínimo o por debajo","Suficiente")))</f>
      </c>
      <c r="I10" s="13"/>
    </row>
    <row r="11" spans="1:9" x14ac:dyDescent="0.25">
      <c r="A11" s="13"/>
      <c r="B11" s="13"/>
      <c r="C11" s="13"/>
      <c r="D11" s="13"/>
      <c r="E11" s="11">
        <f>IF(A11="","",SUMIFS(Movimientos!$E$5:$E$504,Movimientos!$B$5:$B$504,A11,Movimientos!$D$5:$D$504,"Entrada"))</f>
      </c>
      <c r="F11" s="11">
        <f>IF(A11="","",SUMIFS(Movimientos!$E$5:$E$504,Movimientos!$B$5:$B$504,A11,Movimientos!$D$5:$D$504,"Salida"))</f>
      </c>
      <c r="G11" s="11">
        <f>IF(A11="","",E11-F11)</f>
      </c>
      <c r="H11" s="12">
        <f>IF(A11="","",IF(G11&lt;0,"Saldo negativo: revisa",IF(AND(D11&lt;&gt;"",G11&lt;=D11),"En el mínimo o por debajo","Suficiente")))</f>
      </c>
      <c r="I11" s="13"/>
    </row>
    <row r="12" spans="1:9" x14ac:dyDescent="0.25">
      <c r="A12" s="13"/>
      <c r="B12" s="13"/>
      <c r="C12" s="13"/>
      <c r="D12" s="13"/>
      <c r="E12" s="11">
        <f>IF(A12="","",SUMIFS(Movimientos!$E$5:$E$504,Movimientos!$B$5:$B$504,A12,Movimientos!$D$5:$D$504,"Entrada"))</f>
      </c>
      <c r="F12" s="11">
        <f>IF(A12="","",SUMIFS(Movimientos!$E$5:$E$504,Movimientos!$B$5:$B$504,A12,Movimientos!$D$5:$D$504,"Salida"))</f>
      </c>
      <c r="G12" s="11">
        <f>IF(A12="","",E12-F12)</f>
      </c>
      <c r="H12" s="12">
        <f>IF(A12="","",IF(G12&lt;0,"Saldo negativo: revisa",IF(AND(D12&lt;&gt;"",G12&lt;=D12),"En el mínimo o por debajo","Suficiente")))</f>
      </c>
      <c r="I12" s="13"/>
    </row>
    <row r="13" spans="1:9" x14ac:dyDescent="0.25">
      <c r="A13" s="13"/>
      <c r="B13" s="13"/>
      <c r="C13" s="13"/>
      <c r="D13" s="13"/>
      <c r="E13" s="11">
        <f>IF(A13="","",SUMIFS(Movimientos!$E$5:$E$504,Movimientos!$B$5:$B$504,A13,Movimientos!$D$5:$D$504,"Entrada"))</f>
      </c>
      <c r="F13" s="11">
        <f>IF(A13="","",SUMIFS(Movimientos!$E$5:$E$504,Movimientos!$B$5:$B$504,A13,Movimientos!$D$5:$D$504,"Salida"))</f>
      </c>
      <c r="G13" s="11">
        <f>IF(A13="","",E13-F13)</f>
      </c>
      <c r="H13" s="12">
        <f>IF(A13="","",IF(G13&lt;0,"Saldo negativo: revisa",IF(AND(D13&lt;&gt;"",G13&lt;=D13),"En el mínimo o por debajo","Suficiente")))</f>
      </c>
      <c r="I13" s="13"/>
    </row>
    <row r="14" spans="1:9" x14ac:dyDescent="0.25">
      <c r="A14" s="13"/>
      <c r="B14" s="13"/>
      <c r="C14" s="13"/>
      <c r="D14" s="13"/>
      <c r="E14" s="11">
        <f>IF(A14="","",SUMIFS(Movimientos!$E$5:$E$504,Movimientos!$B$5:$B$504,A14,Movimientos!$D$5:$D$504,"Entrada"))</f>
      </c>
      <c r="F14" s="11">
        <f>IF(A14="","",SUMIFS(Movimientos!$E$5:$E$504,Movimientos!$B$5:$B$504,A14,Movimientos!$D$5:$D$504,"Salida"))</f>
      </c>
      <c r="G14" s="11">
        <f>IF(A14="","",E14-F14)</f>
      </c>
      <c r="H14" s="12">
        <f>IF(A14="","",IF(G14&lt;0,"Saldo negativo: revisa",IF(AND(D14&lt;&gt;"",G14&lt;=D14),"En el mínimo o por debajo","Suficiente")))</f>
      </c>
      <c r="I14" s="13"/>
    </row>
    <row r="15" spans="1:9" x14ac:dyDescent="0.25">
      <c r="A15" s="13"/>
      <c r="B15" s="13"/>
      <c r="C15" s="13"/>
      <c r="D15" s="13"/>
      <c r="E15" s="11">
        <f>IF(A15="","",SUMIFS(Movimientos!$E$5:$E$504,Movimientos!$B$5:$B$504,A15,Movimientos!$D$5:$D$504,"Entrada"))</f>
      </c>
      <c r="F15" s="11">
        <f>IF(A15="","",SUMIFS(Movimientos!$E$5:$E$504,Movimientos!$B$5:$B$504,A15,Movimientos!$D$5:$D$504,"Salida"))</f>
      </c>
      <c r="G15" s="11">
        <f>IF(A15="","",E15-F15)</f>
      </c>
      <c r="H15" s="12">
        <f>IF(A15="","",IF(G15&lt;0,"Saldo negativo: revisa",IF(AND(D15&lt;&gt;"",G15&lt;=D15),"En el mínimo o por debajo","Suficiente")))</f>
      </c>
      <c r="I15" s="13"/>
    </row>
    <row r="16" spans="1:9" x14ac:dyDescent="0.25">
      <c r="A16" s="13"/>
      <c r="B16" s="13"/>
      <c r="C16" s="13"/>
      <c r="D16" s="13"/>
      <c r="E16" s="11">
        <f>IF(A16="","",SUMIFS(Movimientos!$E$5:$E$504,Movimientos!$B$5:$B$504,A16,Movimientos!$D$5:$D$504,"Entrada"))</f>
      </c>
      <c r="F16" s="11">
        <f>IF(A16="","",SUMIFS(Movimientos!$E$5:$E$504,Movimientos!$B$5:$B$504,A16,Movimientos!$D$5:$D$504,"Salida"))</f>
      </c>
      <c r="G16" s="11">
        <f>IF(A16="","",E16-F16)</f>
      </c>
      <c r="H16" s="12">
        <f>IF(A16="","",IF(G16&lt;0,"Saldo negativo: revisa",IF(AND(D16&lt;&gt;"",G16&lt;=D16),"En el mínimo o por debajo","Suficiente")))</f>
      </c>
      <c r="I16" s="13"/>
    </row>
    <row r="17" spans="1:9" x14ac:dyDescent="0.25">
      <c r="A17" s="13"/>
      <c r="B17" s="13"/>
      <c r="C17" s="13"/>
      <c r="D17" s="13"/>
      <c r="E17" s="11">
        <f>IF(A17="","",SUMIFS(Movimientos!$E$5:$E$504,Movimientos!$B$5:$B$504,A17,Movimientos!$D$5:$D$504,"Entrada"))</f>
      </c>
      <c r="F17" s="11">
        <f>IF(A17="","",SUMIFS(Movimientos!$E$5:$E$504,Movimientos!$B$5:$B$504,A17,Movimientos!$D$5:$D$504,"Salida"))</f>
      </c>
      <c r="G17" s="11">
        <f>IF(A17="","",E17-F17)</f>
      </c>
      <c r="H17" s="12">
        <f>IF(A17="","",IF(G17&lt;0,"Saldo negativo: revisa",IF(AND(D17&lt;&gt;"",G17&lt;=D17),"En el mínimo o por debajo","Suficiente")))</f>
      </c>
      <c r="I17" s="13"/>
    </row>
    <row r="18" spans="1:9" x14ac:dyDescent="0.25">
      <c r="A18" s="13"/>
      <c r="B18" s="13"/>
      <c r="C18" s="13"/>
      <c r="D18" s="13"/>
      <c r="E18" s="11">
        <f>IF(A18="","",SUMIFS(Movimientos!$E$5:$E$504,Movimientos!$B$5:$B$504,A18,Movimientos!$D$5:$D$504,"Entrada"))</f>
      </c>
      <c r="F18" s="11">
        <f>IF(A18="","",SUMIFS(Movimientos!$E$5:$E$504,Movimientos!$B$5:$B$504,A18,Movimientos!$D$5:$D$504,"Salida"))</f>
      </c>
      <c r="G18" s="11">
        <f>IF(A18="","",E18-F18)</f>
      </c>
      <c r="H18" s="12">
        <f>IF(A18="","",IF(G18&lt;0,"Saldo negativo: revisa",IF(AND(D18&lt;&gt;"",G18&lt;=D18),"En el mínimo o por debajo","Suficiente")))</f>
      </c>
      <c r="I18" s="13"/>
    </row>
    <row r="19" spans="1:9" x14ac:dyDescent="0.25">
      <c r="A19" s="13"/>
      <c r="B19" s="13"/>
      <c r="C19" s="13"/>
      <c r="D19" s="13"/>
      <c r="E19" s="11">
        <f>IF(A19="","",SUMIFS(Movimientos!$E$5:$E$504,Movimientos!$B$5:$B$504,A19,Movimientos!$D$5:$D$504,"Entrada"))</f>
      </c>
      <c r="F19" s="11">
        <f>IF(A19="","",SUMIFS(Movimientos!$E$5:$E$504,Movimientos!$B$5:$B$504,A19,Movimientos!$D$5:$D$504,"Salida"))</f>
      </c>
      <c r="G19" s="11">
        <f>IF(A19="","",E19-F19)</f>
      </c>
      <c r="H19" s="12">
        <f>IF(A19="","",IF(G19&lt;0,"Saldo negativo: revisa",IF(AND(D19&lt;&gt;"",G19&lt;=D19),"En el mínimo o por debajo","Suficiente")))</f>
      </c>
      <c r="I19" s="13"/>
    </row>
    <row r="20" spans="1:9" x14ac:dyDescent="0.25">
      <c r="A20" s="13"/>
      <c r="B20" s="13"/>
      <c r="C20" s="13"/>
      <c r="D20" s="13"/>
      <c r="E20" s="11">
        <f>IF(A20="","",SUMIFS(Movimientos!$E$5:$E$504,Movimientos!$B$5:$B$504,A20,Movimientos!$D$5:$D$504,"Entrada"))</f>
      </c>
      <c r="F20" s="11">
        <f>IF(A20="","",SUMIFS(Movimientos!$E$5:$E$504,Movimientos!$B$5:$B$504,A20,Movimientos!$D$5:$D$504,"Salida"))</f>
      </c>
      <c r="G20" s="11">
        <f>IF(A20="","",E20-F20)</f>
      </c>
      <c r="H20" s="12">
        <f>IF(A20="","",IF(G20&lt;0,"Saldo negativo: revisa",IF(AND(D20&lt;&gt;"",G20&lt;=D20),"En el mínimo o por debajo","Suficiente")))</f>
      </c>
      <c r="I20" s="13"/>
    </row>
    <row r="21" spans="1:9" x14ac:dyDescent="0.25">
      <c r="A21" s="13"/>
      <c r="B21" s="13"/>
      <c r="C21" s="13"/>
      <c r="D21" s="13"/>
      <c r="E21" s="11">
        <f>IF(A21="","",SUMIFS(Movimientos!$E$5:$E$504,Movimientos!$B$5:$B$504,A21,Movimientos!$D$5:$D$504,"Entrada"))</f>
      </c>
      <c r="F21" s="11">
        <f>IF(A21="","",SUMIFS(Movimientos!$E$5:$E$504,Movimientos!$B$5:$B$504,A21,Movimientos!$D$5:$D$504,"Salida"))</f>
      </c>
      <c r="G21" s="11">
        <f>IF(A21="","",E21-F21)</f>
      </c>
      <c r="H21" s="12">
        <f>IF(A21="","",IF(G21&lt;0,"Saldo negativo: revisa",IF(AND(D21&lt;&gt;"",G21&lt;=D21),"En el mínimo o por debajo","Suficiente")))</f>
      </c>
      <c r="I21" s="13"/>
    </row>
    <row r="22" spans="1:9" x14ac:dyDescent="0.25">
      <c r="A22" s="13"/>
      <c r="B22" s="13"/>
      <c r="C22" s="13"/>
      <c r="D22" s="13"/>
      <c r="E22" s="11">
        <f>IF(A22="","",SUMIFS(Movimientos!$E$5:$E$504,Movimientos!$B$5:$B$504,A22,Movimientos!$D$5:$D$504,"Entrada"))</f>
      </c>
      <c r="F22" s="11">
        <f>IF(A22="","",SUMIFS(Movimientos!$E$5:$E$504,Movimientos!$B$5:$B$504,A22,Movimientos!$D$5:$D$504,"Salida"))</f>
      </c>
      <c r="G22" s="11">
        <f>IF(A22="","",E22-F22)</f>
      </c>
      <c r="H22" s="12">
        <f>IF(A22="","",IF(G22&lt;0,"Saldo negativo: revisa",IF(AND(D22&lt;&gt;"",G22&lt;=D22),"En el mínimo o por debajo","Suficiente")))</f>
      </c>
      <c r="I22" s="13"/>
    </row>
    <row r="23" spans="1:9" x14ac:dyDescent="0.25">
      <c r="A23" s="13"/>
      <c r="B23" s="13"/>
      <c r="C23" s="13"/>
      <c r="D23" s="13"/>
      <c r="E23" s="11">
        <f>IF(A23="","",SUMIFS(Movimientos!$E$5:$E$504,Movimientos!$B$5:$B$504,A23,Movimientos!$D$5:$D$504,"Entrada"))</f>
      </c>
      <c r="F23" s="11">
        <f>IF(A23="","",SUMIFS(Movimientos!$E$5:$E$504,Movimientos!$B$5:$B$504,A23,Movimientos!$D$5:$D$504,"Salida"))</f>
      </c>
      <c r="G23" s="11">
        <f>IF(A23="","",E23-F23)</f>
      </c>
      <c r="H23" s="12">
        <f>IF(A23="","",IF(G23&lt;0,"Saldo negativo: revisa",IF(AND(D23&lt;&gt;"",G23&lt;=D23),"En el mínimo o por debajo","Suficiente")))</f>
      </c>
      <c r="I23" s="13"/>
    </row>
    <row r="24" spans="1:9" x14ac:dyDescent="0.25">
      <c r="A24" s="13"/>
      <c r="B24" s="13"/>
      <c r="C24" s="13"/>
      <c r="D24" s="13"/>
      <c r="E24" s="11">
        <f>IF(A24="","",SUMIFS(Movimientos!$E$5:$E$504,Movimientos!$B$5:$B$504,A24,Movimientos!$D$5:$D$504,"Entrada"))</f>
      </c>
      <c r="F24" s="11">
        <f>IF(A24="","",SUMIFS(Movimientos!$E$5:$E$504,Movimientos!$B$5:$B$504,A24,Movimientos!$D$5:$D$504,"Salida"))</f>
      </c>
      <c r="G24" s="11">
        <f>IF(A24="","",E24-F24)</f>
      </c>
      <c r="H24" s="12">
        <f>IF(A24="","",IF(G24&lt;0,"Saldo negativo: revisa",IF(AND(D24&lt;&gt;"",G24&lt;=D24),"En el mínimo o por debajo","Suficiente")))</f>
      </c>
      <c r="I24" s="13"/>
    </row>
    <row r="25" spans="1:9" x14ac:dyDescent="0.25">
      <c r="A25" s="13"/>
      <c r="B25" s="13"/>
      <c r="C25" s="13"/>
      <c r="D25" s="13"/>
      <c r="E25" s="11">
        <f>IF(A25="","",SUMIFS(Movimientos!$E$5:$E$504,Movimientos!$B$5:$B$504,A25,Movimientos!$D$5:$D$504,"Entrada"))</f>
      </c>
      <c r="F25" s="11">
        <f>IF(A25="","",SUMIFS(Movimientos!$E$5:$E$504,Movimientos!$B$5:$B$504,A25,Movimientos!$D$5:$D$504,"Salida"))</f>
      </c>
      <c r="G25" s="11">
        <f>IF(A25="","",E25-F25)</f>
      </c>
      <c r="H25" s="12">
        <f>IF(A25="","",IF(G25&lt;0,"Saldo negativo: revisa",IF(AND(D25&lt;&gt;"",G25&lt;=D25),"En el mínimo o por debajo","Suficiente")))</f>
      </c>
      <c r="I25" s="13"/>
    </row>
    <row r="26" spans="1:9" x14ac:dyDescent="0.25">
      <c r="A26" s="13"/>
      <c r="B26" s="13"/>
      <c r="C26" s="13"/>
      <c r="D26" s="13"/>
      <c r="E26" s="11">
        <f>IF(A26="","",SUMIFS(Movimientos!$E$5:$E$504,Movimientos!$B$5:$B$504,A26,Movimientos!$D$5:$D$504,"Entrada"))</f>
      </c>
      <c r="F26" s="11">
        <f>IF(A26="","",SUMIFS(Movimientos!$E$5:$E$504,Movimientos!$B$5:$B$504,A26,Movimientos!$D$5:$D$504,"Salida"))</f>
      </c>
      <c r="G26" s="11">
        <f>IF(A26="","",E26-F26)</f>
      </c>
      <c r="H26" s="12">
        <f>IF(A26="","",IF(G26&lt;0,"Saldo negativo: revisa",IF(AND(D26&lt;&gt;"",G26&lt;=D26),"En el mínimo o por debajo","Suficiente")))</f>
      </c>
      <c r="I26" s="13"/>
    </row>
    <row r="27" spans="1:9" x14ac:dyDescent="0.25">
      <c r="A27" s="13"/>
      <c r="B27" s="13"/>
      <c r="C27" s="13"/>
      <c r="D27" s="13"/>
      <c r="E27" s="11">
        <f>IF(A27="","",SUMIFS(Movimientos!$E$5:$E$504,Movimientos!$B$5:$B$504,A27,Movimientos!$D$5:$D$504,"Entrada"))</f>
      </c>
      <c r="F27" s="11">
        <f>IF(A27="","",SUMIFS(Movimientos!$E$5:$E$504,Movimientos!$B$5:$B$504,A27,Movimientos!$D$5:$D$504,"Salida"))</f>
      </c>
      <c r="G27" s="11">
        <f>IF(A27="","",E27-F27)</f>
      </c>
      <c r="H27" s="12">
        <f>IF(A27="","",IF(G27&lt;0,"Saldo negativo: revisa",IF(AND(D27&lt;&gt;"",G27&lt;=D27),"En el mínimo o por debajo","Suficiente")))</f>
      </c>
      <c r="I27" s="13"/>
    </row>
    <row r="28" spans="1:9" x14ac:dyDescent="0.25">
      <c r="A28" s="13"/>
      <c r="B28" s="13"/>
      <c r="C28" s="13"/>
      <c r="D28" s="13"/>
      <c r="E28" s="11">
        <f>IF(A28="","",SUMIFS(Movimientos!$E$5:$E$504,Movimientos!$B$5:$B$504,A28,Movimientos!$D$5:$D$504,"Entrada"))</f>
      </c>
      <c r="F28" s="11">
        <f>IF(A28="","",SUMIFS(Movimientos!$E$5:$E$504,Movimientos!$B$5:$B$504,A28,Movimientos!$D$5:$D$504,"Salida"))</f>
      </c>
      <c r="G28" s="11">
        <f>IF(A28="","",E28-F28)</f>
      </c>
      <c r="H28" s="12">
        <f>IF(A28="","",IF(G28&lt;0,"Saldo negativo: revisa",IF(AND(D28&lt;&gt;"",G28&lt;=D28),"En el mínimo o por debajo","Suficiente")))</f>
      </c>
      <c r="I28" s="13"/>
    </row>
    <row r="29" spans="1:9" x14ac:dyDescent="0.25">
      <c r="A29" s="13"/>
      <c r="B29" s="13"/>
      <c r="C29" s="13"/>
      <c r="D29" s="13"/>
      <c r="E29" s="11">
        <f>IF(A29="","",SUMIFS(Movimientos!$E$5:$E$504,Movimientos!$B$5:$B$504,A29,Movimientos!$D$5:$D$504,"Entrada"))</f>
      </c>
      <c r="F29" s="11">
        <f>IF(A29="","",SUMIFS(Movimientos!$E$5:$E$504,Movimientos!$B$5:$B$504,A29,Movimientos!$D$5:$D$504,"Salida"))</f>
      </c>
      <c r="G29" s="11">
        <f>IF(A29="","",E29-F29)</f>
      </c>
      <c r="H29" s="12">
        <f>IF(A29="","",IF(G29&lt;0,"Saldo negativo: revisa",IF(AND(D29&lt;&gt;"",G29&lt;=D29),"En el mínimo o por debajo","Suficiente")))</f>
      </c>
      <c r="I29" s="13"/>
    </row>
    <row r="30" spans="1:9" x14ac:dyDescent="0.25">
      <c r="A30" s="13"/>
      <c r="B30" s="13"/>
      <c r="C30" s="13"/>
      <c r="D30" s="13"/>
      <c r="E30" s="11">
        <f>IF(A30="","",SUMIFS(Movimientos!$E$5:$E$504,Movimientos!$B$5:$B$504,A30,Movimientos!$D$5:$D$504,"Entrada"))</f>
      </c>
      <c r="F30" s="11">
        <f>IF(A30="","",SUMIFS(Movimientos!$E$5:$E$504,Movimientos!$B$5:$B$504,A30,Movimientos!$D$5:$D$504,"Salida"))</f>
      </c>
      <c r="G30" s="11">
        <f>IF(A30="","",E30-F30)</f>
      </c>
      <c r="H30" s="12">
        <f>IF(A30="","",IF(G30&lt;0,"Saldo negativo: revisa",IF(AND(D30&lt;&gt;"",G30&lt;=D30),"En el mínimo o por debajo","Suficiente")))</f>
      </c>
      <c r="I30" s="13"/>
    </row>
    <row r="31" spans="1:9" x14ac:dyDescent="0.25">
      <c r="A31" s="13"/>
      <c r="B31" s="13"/>
      <c r="C31" s="13"/>
      <c r="D31" s="13"/>
      <c r="E31" s="11">
        <f>IF(A31="","",SUMIFS(Movimientos!$E$5:$E$504,Movimientos!$B$5:$B$504,A31,Movimientos!$D$5:$D$504,"Entrada"))</f>
      </c>
      <c r="F31" s="11">
        <f>IF(A31="","",SUMIFS(Movimientos!$E$5:$E$504,Movimientos!$B$5:$B$504,A31,Movimientos!$D$5:$D$504,"Salida"))</f>
      </c>
      <c r="G31" s="11">
        <f>IF(A31="","",E31-F31)</f>
      </c>
      <c r="H31" s="12">
        <f>IF(A31="","",IF(G31&lt;0,"Saldo negativo: revisa",IF(AND(D31&lt;&gt;"",G31&lt;=D31),"En el mínimo o por debajo","Suficiente")))</f>
      </c>
      <c r="I31" s="13"/>
    </row>
    <row r="32" spans="1:9" x14ac:dyDescent="0.25">
      <c r="A32" s="13"/>
      <c r="B32" s="13"/>
      <c r="C32" s="13"/>
      <c r="D32" s="13"/>
      <c r="E32" s="11">
        <f>IF(A32="","",SUMIFS(Movimientos!$E$5:$E$504,Movimientos!$B$5:$B$504,A32,Movimientos!$D$5:$D$504,"Entrada"))</f>
      </c>
      <c r="F32" s="11">
        <f>IF(A32="","",SUMIFS(Movimientos!$E$5:$E$504,Movimientos!$B$5:$B$504,A32,Movimientos!$D$5:$D$504,"Salida"))</f>
      </c>
      <c r="G32" s="11">
        <f>IF(A32="","",E32-F32)</f>
      </c>
      <c r="H32" s="12">
        <f>IF(A32="","",IF(G32&lt;0,"Saldo negativo: revisa",IF(AND(D32&lt;&gt;"",G32&lt;=D32),"En el mínimo o por debajo","Suficiente")))</f>
      </c>
      <c r="I32" s="13"/>
    </row>
    <row r="33" spans="1:9" x14ac:dyDescent="0.25">
      <c r="A33" s="13"/>
      <c r="B33" s="13"/>
      <c r="C33" s="13"/>
      <c r="D33" s="13"/>
      <c r="E33" s="11">
        <f>IF(A33="","",SUMIFS(Movimientos!$E$5:$E$504,Movimientos!$B$5:$B$504,A33,Movimientos!$D$5:$D$504,"Entrada"))</f>
      </c>
      <c r="F33" s="11">
        <f>IF(A33="","",SUMIFS(Movimientos!$E$5:$E$504,Movimientos!$B$5:$B$504,A33,Movimientos!$D$5:$D$504,"Salida"))</f>
      </c>
      <c r="G33" s="11">
        <f>IF(A33="","",E33-F33)</f>
      </c>
      <c r="H33" s="12">
        <f>IF(A33="","",IF(G33&lt;0,"Saldo negativo: revisa",IF(AND(D33&lt;&gt;"",G33&lt;=D33),"En el mínimo o por debajo","Suficiente")))</f>
      </c>
      <c r="I33" s="13"/>
    </row>
    <row r="34" spans="1:9" x14ac:dyDescent="0.25">
      <c r="A34" s="13"/>
      <c r="B34" s="13"/>
      <c r="C34" s="13"/>
      <c r="D34" s="13"/>
      <c r="E34" s="11">
        <f>IF(A34="","",SUMIFS(Movimientos!$E$5:$E$504,Movimientos!$B$5:$B$504,A34,Movimientos!$D$5:$D$504,"Entrada"))</f>
      </c>
      <c r="F34" s="11">
        <f>IF(A34="","",SUMIFS(Movimientos!$E$5:$E$504,Movimientos!$B$5:$B$504,A34,Movimientos!$D$5:$D$504,"Salida"))</f>
      </c>
      <c r="G34" s="11">
        <f>IF(A34="","",E34-F34)</f>
      </c>
      <c r="H34" s="12">
        <f>IF(A34="","",IF(G34&lt;0,"Saldo negativo: revisa",IF(AND(D34&lt;&gt;"",G34&lt;=D34),"En el mínimo o por debajo","Suficiente")))</f>
      </c>
      <c r="I34" s="13"/>
    </row>
    <row r="35" spans="1:9" x14ac:dyDescent="0.25">
      <c r="A35" s="13"/>
      <c r="B35" s="13"/>
      <c r="C35" s="13"/>
      <c r="D35" s="13"/>
      <c r="E35" s="11">
        <f>IF(A35="","",SUMIFS(Movimientos!$E$5:$E$504,Movimientos!$B$5:$B$504,A35,Movimientos!$D$5:$D$504,"Entrada"))</f>
      </c>
      <c r="F35" s="11">
        <f>IF(A35="","",SUMIFS(Movimientos!$E$5:$E$504,Movimientos!$B$5:$B$504,A35,Movimientos!$D$5:$D$504,"Salida"))</f>
      </c>
      <c r="G35" s="11">
        <f>IF(A35="","",E35-F35)</f>
      </c>
      <c r="H35" s="12">
        <f>IF(A35="","",IF(G35&lt;0,"Saldo negativo: revisa",IF(AND(D35&lt;&gt;"",G35&lt;=D35),"En el mínimo o por debajo","Suficiente")))</f>
      </c>
      <c r="I35" s="13"/>
    </row>
    <row r="36" spans="1:9" x14ac:dyDescent="0.25">
      <c r="A36" s="13"/>
      <c r="B36" s="13"/>
      <c r="C36" s="13"/>
      <c r="D36" s="13"/>
      <c r="E36" s="11">
        <f>IF(A36="","",SUMIFS(Movimientos!$E$5:$E$504,Movimientos!$B$5:$B$504,A36,Movimientos!$D$5:$D$504,"Entrada"))</f>
      </c>
      <c r="F36" s="11">
        <f>IF(A36="","",SUMIFS(Movimientos!$E$5:$E$504,Movimientos!$B$5:$B$504,A36,Movimientos!$D$5:$D$504,"Salida"))</f>
      </c>
      <c r="G36" s="11">
        <f>IF(A36="","",E36-F36)</f>
      </c>
      <c r="H36" s="12">
        <f>IF(A36="","",IF(G36&lt;0,"Saldo negativo: revisa",IF(AND(D36&lt;&gt;"",G36&lt;=D36),"En el mínimo o por debajo","Suficiente")))</f>
      </c>
      <c r="I36" s="13"/>
    </row>
    <row r="37" spans="1:9" x14ac:dyDescent="0.25">
      <c r="A37" s="13"/>
      <c r="B37" s="13"/>
      <c r="C37" s="13"/>
      <c r="D37" s="13"/>
      <c r="E37" s="11">
        <f>IF(A37="","",SUMIFS(Movimientos!$E$5:$E$504,Movimientos!$B$5:$B$504,A37,Movimientos!$D$5:$D$504,"Entrada"))</f>
      </c>
      <c r="F37" s="11">
        <f>IF(A37="","",SUMIFS(Movimientos!$E$5:$E$504,Movimientos!$B$5:$B$504,A37,Movimientos!$D$5:$D$504,"Salida"))</f>
      </c>
      <c r="G37" s="11">
        <f>IF(A37="","",E37-F37)</f>
      </c>
      <c r="H37" s="12">
        <f>IF(A37="","",IF(G37&lt;0,"Saldo negativo: revisa",IF(AND(D37&lt;&gt;"",G37&lt;=D37),"En el mínimo o por debajo","Suficiente")))</f>
      </c>
      <c r="I37" s="13"/>
    </row>
    <row r="38" spans="1:9" x14ac:dyDescent="0.25">
      <c r="A38" s="13"/>
      <c r="B38" s="13"/>
      <c r="C38" s="13"/>
      <c r="D38" s="13"/>
      <c r="E38" s="11">
        <f>IF(A38="","",SUMIFS(Movimientos!$E$5:$E$504,Movimientos!$B$5:$B$504,A38,Movimientos!$D$5:$D$504,"Entrada"))</f>
      </c>
      <c r="F38" s="11">
        <f>IF(A38="","",SUMIFS(Movimientos!$E$5:$E$504,Movimientos!$B$5:$B$504,A38,Movimientos!$D$5:$D$504,"Salida"))</f>
      </c>
      <c r="G38" s="11">
        <f>IF(A38="","",E38-F38)</f>
      </c>
      <c r="H38" s="12">
        <f>IF(A38="","",IF(G38&lt;0,"Saldo negativo: revisa",IF(AND(D38&lt;&gt;"",G38&lt;=D38),"En el mínimo o por debajo","Suficiente")))</f>
      </c>
      <c r="I38" s="13"/>
    </row>
    <row r="39" spans="1:9" x14ac:dyDescent="0.25">
      <c r="A39" s="13"/>
      <c r="B39" s="13"/>
      <c r="C39" s="13"/>
      <c r="D39" s="13"/>
      <c r="E39" s="11">
        <f>IF(A39="","",SUMIFS(Movimientos!$E$5:$E$504,Movimientos!$B$5:$B$504,A39,Movimientos!$D$5:$D$504,"Entrada"))</f>
      </c>
      <c r="F39" s="11">
        <f>IF(A39="","",SUMIFS(Movimientos!$E$5:$E$504,Movimientos!$B$5:$B$504,A39,Movimientos!$D$5:$D$504,"Salida"))</f>
      </c>
      <c r="G39" s="11">
        <f>IF(A39="","",E39-F39)</f>
      </c>
      <c r="H39" s="12">
        <f>IF(A39="","",IF(G39&lt;0,"Saldo negativo: revisa",IF(AND(D39&lt;&gt;"",G39&lt;=D39),"En el mínimo o por debajo","Suficiente")))</f>
      </c>
      <c r="I39" s="13"/>
    </row>
    <row r="40" spans="1:9" x14ac:dyDescent="0.25">
      <c r="A40" s="13"/>
      <c r="B40" s="13"/>
      <c r="C40" s="13"/>
      <c r="D40" s="13"/>
      <c r="E40" s="11">
        <f>IF(A40="","",SUMIFS(Movimientos!$E$5:$E$504,Movimientos!$B$5:$B$504,A40,Movimientos!$D$5:$D$504,"Entrada"))</f>
      </c>
      <c r="F40" s="11">
        <f>IF(A40="","",SUMIFS(Movimientos!$E$5:$E$504,Movimientos!$B$5:$B$504,A40,Movimientos!$D$5:$D$504,"Salida"))</f>
      </c>
      <c r="G40" s="11">
        <f>IF(A40="","",E40-F40)</f>
      </c>
      <c r="H40" s="12">
        <f>IF(A40="","",IF(G40&lt;0,"Saldo negativo: revisa",IF(AND(D40&lt;&gt;"",G40&lt;=D40),"En el mínimo o por debajo","Suficiente")))</f>
      </c>
      <c r="I40" s="13"/>
    </row>
    <row r="41" spans="1:9" x14ac:dyDescent="0.25">
      <c r="A41" s="13"/>
      <c r="B41" s="13"/>
      <c r="C41" s="13"/>
      <c r="D41" s="13"/>
      <c r="E41" s="11">
        <f>IF(A41="","",SUMIFS(Movimientos!$E$5:$E$504,Movimientos!$B$5:$B$504,A41,Movimientos!$D$5:$D$504,"Entrada"))</f>
      </c>
      <c r="F41" s="11">
        <f>IF(A41="","",SUMIFS(Movimientos!$E$5:$E$504,Movimientos!$B$5:$B$504,A41,Movimientos!$D$5:$D$504,"Salida"))</f>
      </c>
      <c r="G41" s="11">
        <f>IF(A41="","",E41-F41)</f>
      </c>
      <c r="H41" s="12">
        <f>IF(A41="","",IF(G41&lt;0,"Saldo negativo: revisa",IF(AND(D41&lt;&gt;"",G41&lt;=D41),"En el mínimo o por debajo","Suficiente")))</f>
      </c>
      <c r="I41" s="13"/>
    </row>
    <row r="42" spans="1:9" x14ac:dyDescent="0.25">
      <c r="A42" s="13"/>
      <c r="B42" s="13"/>
      <c r="C42" s="13"/>
      <c r="D42" s="13"/>
      <c r="E42" s="11">
        <f>IF(A42="","",SUMIFS(Movimientos!$E$5:$E$504,Movimientos!$B$5:$B$504,A42,Movimientos!$D$5:$D$504,"Entrada"))</f>
      </c>
      <c r="F42" s="11">
        <f>IF(A42="","",SUMIFS(Movimientos!$E$5:$E$504,Movimientos!$B$5:$B$504,A42,Movimientos!$D$5:$D$504,"Salida"))</f>
      </c>
      <c r="G42" s="11">
        <f>IF(A42="","",E42-F42)</f>
      </c>
      <c r="H42" s="12">
        <f>IF(A42="","",IF(G42&lt;0,"Saldo negativo: revisa",IF(AND(D42&lt;&gt;"",G42&lt;=D42),"En el mínimo o por debajo","Suficiente")))</f>
      </c>
      <c r="I42" s="13"/>
    </row>
    <row r="43" spans="1:9" x14ac:dyDescent="0.25">
      <c r="A43" s="13"/>
      <c r="B43" s="13"/>
      <c r="C43" s="13"/>
      <c r="D43" s="13"/>
      <c r="E43" s="11">
        <f>IF(A43="","",SUMIFS(Movimientos!$E$5:$E$504,Movimientos!$B$5:$B$504,A43,Movimientos!$D$5:$D$504,"Entrada"))</f>
      </c>
      <c r="F43" s="11">
        <f>IF(A43="","",SUMIFS(Movimientos!$E$5:$E$504,Movimientos!$B$5:$B$504,A43,Movimientos!$D$5:$D$504,"Salida"))</f>
      </c>
      <c r="G43" s="11">
        <f>IF(A43="","",E43-F43)</f>
      </c>
      <c r="H43" s="12">
        <f>IF(A43="","",IF(G43&lt;0,"Saldo negativo: revisa",IF(AND(D43&lt;&gt;"",G43&lt;=D43),"En el mínimo o por debajo","Suficiente")))</f>
      </c>
      <c r="I43" s="13"/>
    </row>
    <row r="44" spans="1:9" x14ac:dyDescent="0.25">
      <c r="A44" s="13"/>
      <c r="B44" s="13"/>
      <c r="C44" s="13"/>
      <c r="D44" s="13"/>
      <c r="E44" s="11">
        <f>IF(A44="","",SUMIFS(Movimientos!$E$5:$E$504,Movimientos!$B$5:$B$504,A44,Movimientos!$D$5:$D$504,"Entrada"))</f>
      </c>
      <c r="F44" s="11">
        <f>IF(A44="","",SUMIFS(Movimientos!$E$5:$E$504,Movimientos!$B$5:$B$504,A44,Movimientos!$D$5:$D$504,"Salida"))</f>
      </c>
      <c r="G44" s="11">
        <f>IF(A44="","",E44-F44)</f>
      </c>
      <c r="H44" s="12">
        <f>IF(A44="","",IF(G44&lt;0,"Saldo negativo: revisa",IF(AND(D44&lt;&gt;"",G44&lt;=D44),"En el mínimo o por debajo","Suficiente")))</f>
      </c>
      <c r="I44" s="13"/>
    </row>
    <row r="45" spans="1:9" x14ac:dyDescent="0.25">
      <c r="A45" s="13"/>
      <c r="B45" s="13"/>
      <c r="C45" s="13"/>
      <c r="D45" s="13"/>
      <c r="E45" s="11">
        <f>IF(A45="","",SUMIFS(Movimientos!$E$5:$E$504,Movimientos!$B$5:$B$504,A45,Movimientos!$D$5:$D$504,"Entrada"))</f>
      </c>
      <c r="F45" s="11">
        <f>IF(A45="","",SUMIFS(Movimientos!$E$5:$E$504,Movimientos!$B$5:$B$504,A45,Movimientos!$D$5:$D$504,"Salida"))</f>
      </c>
      <c r="G45" s="11">
        <f>IF(A45="","",E45-F45)</f>
      </c>
      <c r="H45" s="12">
        <f>IF(A45="","",IF(G45&lt;0,"Saldo negativo: revisa",IF(AND(D45&lt;&gt;"",G45&lt;=D45),"En el mínimo o por debajo","Suficiente")))</f>
      </c>
      <c r="I45" s="13"/>
    </row>
    <row r="46" spans="1:9" x14ac:dyDescent="0.25">
      <c r="A46" s="13"/>
      <c r="B46" s="13"/>
      <c r="C46" s="13"/>
      <c r="D46" s="13"/>
      <c r="E46" s="11">
        <f>IF(A46="","",SUMIFS(Movimientos!$E$5:$E$504,Movimientos!$B$5:$B$504,A46,Movimientos!$D$5:$D$504,"Entrada"))</f>
      </c>
      <c r="F46" s="11">
        <f>IF(A46="","",SUMIFS(Movimientos!$E$5:$E$504,Movimientos!$B$5:$B$504,A46,Movimientos!$D$5:$D$504,"Salida"))</f>
      </c>
      <c r="G46" s="11">
        <f>IF(A46="","",E46-F46)</f>
      </c>
      <c r="H46" s="12">
        <f>IF(A46="","",IF(G46&lt;0,"Saldo negativo: revisa",IF(AND(D46&lt;&gt;"",G46&lt;=D46),"En el mínimo o por debajo","Suficiente")))</f>
      </c>
      <c r="I46" s="13"/>
    </row>
    <row r="47" spans="1:9" x14ac:dyDescent="0.25">
      <c r="A47" s="13"/>
      <c r="B47" s="13"/>
      <c r="C47" s="13"/>
      <c r="D47" s="13"/>
      <c r="E47" s="11">
        <f>IF(A47="","",SUMIFS(Movimientos!$E$5:$E$504,Movimientos!$B$5:$B$504,A47,Movimientos!$D$5:$D$504,"Entrada"))</f>
      </c>
      <c r="F47" s="11">
        <f>IF(A47="","",SUMIFS(Movimientos!$E$5:$E$504,Movimientos!$B$5:$B$504,A47,Movimientos!$D$5:$D$504,"Salida"))</f>
      </c>
      <c r="G47" s="11">
        <f>IF(A47="","",E47-F47)</f>
      </c>
      <c r="H47" s="12">
        <f>IF(A47="","",IF(G47&lt;0,"Saldo negativo: revisa",IF(AND(D47&lt;&gt;"",G47&lt;=D47),"En el mínimo o por debajo","Suficiente")))</f>
      </c>
      <c r="I47" s="13"/>
    </row>
    <row r="48" spans="1:9" x14ac:dyDescent="0.25">
      <c r="A48" s="13"/>
      <c r="B48" s="13"/>
      <c r="C48" s="13"/>
      <c r="D48" s="13"/>
      <c r="E48" s="11">
        <f>IF(A48="","",SUMIFS(Movimientos!$E$5:$E$504,Movimientos!$B$5:$B$504,A48,Movimientos!$D$5:$D$504,"Entrada"))</f>
      </c>
      <c r="F48" s="11">
        <f>IF(A48="","",SUMIFS(Movimientos!$E$5:$E$504,Movimientos!$B$5:$B$504,A48,Movimientos!$D$5:$D$504,"Salida"))</f>
      </c>
      <c r="G48" s="11">
        <f>IF(A48="","",E48-F48)</f>
      </c>
      <c r="H48" s="12">
        <f>IF(A48="","",IF(G48&lt;0,"Saldo negativo: revisa",IF(AND(D48&lt;&gt;"",G48&lt;=D48),"En el mínimo o por debajo","Suficiente")))</f>
      </c>
      <c r="I48" s="13"/>
    </row>
    <row r="49" spans="1:9" x14ac:dyDescent="0.25">
      <c r="A49" s="13"/>
      <c r="B49" s="13"/>
      <c r="C49" s="13"/>
      <c r="D49" s="13"/>
      <c r="E49" s="11">
        <f>IF(A49="","",SUMIFS(Movimientos!$E$5:$E$504,Movimientos!$B$5:$B$504,A49,Movimientos!$D$5:$D$504,"Entrada"))</f>
      </c>
      <c r="F49" s="11">
        <f>IF(A49="","",SUMIFS(Movimientos!$E$5:$E$504,Movimientos!$B$5:$B$504,A49,Movimientos!$D$5:$D$504,"Salida"))</f>
      </c>
      <c r="G49" s="11">
        <f>IF(A49="","",E49-F49)</f>
      </c>
      <c r="H49" s="12">
        <f>IF(A49="","",IF(G49&lt;0,"Saldo negativo: revisa",IF(AND(D49&lt;&gt;"",G49&lt;=D49),"En el mínimo o por debajo","Suficiente")))</f>
      </c>
      <c r="I49" s="13"/>
    </row>
    <row r="50" spans="1:9" x14ac:dyDescent="0.25">
      <c r="A50" s="13"/>
      <c r="B50" s="13"/>
      <c r="C50" s="13"/>
      <c r="D50" s="13"/>
      <c r="E50" s="11">
        <f>IF(A50="","",SUMIFS(Movimientos!$E$5:$E$504,Movimientos!$B$5:$B$504,A50,Movimientos!$D$5:$D$504,"Entrada"))</f>
      </c>
      <c r="F50" s="11">
        <f>IF(A50="","",SUMIFS(Movimientos!$E$5:$E$504,Movimientos!$B$5:$B$504,A50,Movimientos!$D$5:$D$504,"Salida"))</f>
      </c>
      <c r="G50" s="11">
        <f>IF(A50="","",E50-F50)</f>
      </c>
      <c r="H50" s="12">
        <f>IF(A50="","",IF(G50&lt;0,"Saldo negativo: revisa",IF(AND(D50&lt;&gt;"",G50&lt;=D50),"En el mínimo o por debajo","Suficiente")))</f>
      </c>
      <c r="I50" s="13"/>
    </row>
    <row r="51" spans="1:9" x14ac:dyDescent="0.25">
      <c r="A51" s="13"/>
      <c r="B51" s="13"/>
      <c r="C51" s="13"/>
      <c r="D51" s="13"/>
      <c r="E51" s="11">
        <f>IF(A51="","",SUMIFS(Movimientos!$E$5:$E$504,Movimientos!$B$5:$B$504,A51,Movimientos!$D$5:$D$504,"Entrada"))</f>
      </c>
      <c r="F51" s="11">
        <f>IF(A51="","",SUMIFS(Movimientos!$E$5:$E$504,Movimientos!$B$5:$B$504,A51,Movimientos!$D$5:$D$504,"Salida"))</f>
      </c>
      <c r="G51" s="11">
        <f>IF(A51="","",E51-F51)</f>
      </c>
      <c r="H51" s="12">
        <f>IF(A51="","",IF(G51&lt;0,"Saldo negativo: revisa",IF(AND(D51&lt;&gt;"",G51&lt;=D51),"En el mínimo o por debajo","Suficiente")))</f>
      </c>
      <c r="I51" s="13"/>
    </row>
    <row r="52" spans="1:9" x14ac:dyDescent="0.25">
      <c r="A52" s="13"/>
      <c r="B52" s="13"/>
      <c r="C52" s="13"/>
      <c r="D52" s="13"/>
      <c r="E52" s="11">
        <f>IF(A52="","",SUMIFS(Movimientos!$E$5:$E$504,Movimientos!$B$5:$B$504,A52,Movimientos!$D$5:$D$504,"Entrada"))</f>
      </c>
      <c r="F52" s="11">
        <f>IF(A52="","",SUMIFS(Movimientos!$E$5:$E$504,Movimientos!$B$5:$B$504,A52,Movimientos!$D$5:$D$504,"Salida"))</f>
      </c>
      <c r="G52" s="11">
        <f>IF(A52="","",E52-F52)</f>
      </c>
      <c r="H52" s="12">
        <f>IF(A52="","",IF(G52&lt;0,"Saldo negativo: revisa",IF(AND(D52&lt;&gt;"",G52&lt;=D52),"En el mínimo o por debajo","Suficiente")))</f>
      </c>
      <c r="I52" s="13"/>
    </row>
    <row r="53" spans="1:9" x14ac:dyDescent="0.25">
      <c r="A53" s="13"/>
      <c r="B53" s="13"/>
      <c r="C53" s="13"/>
      <c r="D53" s="13"/>
      <c r="E53" s="11">
        <f>IF(A53="","",SUMIFS(Movimientos!$E$5:$E$504,Movimientos!$B$5:$B$504,A53,Movimientos!$D$5:$D$504,"Entrada"))</f>
      </c>
      <c r="F53" s="11">
        <f>IF(A53="","",SUMIFS(Movimientos!$E$5:$E$504,Movimientos!$B$5:$B$504,A53,Movimientos!$D$5:$D$504,"Salida"))</f>
      </c>
      <c r="G53" s="11">
        <f>IF(A53="","",E53-F53)</f>
      </c>
      <c r="H53" s="12">
        <f>IF(A53="","",IF(G53&lt;0,"Saldo negativo: revisa",IF(AND(D53&lt;&gt;"",G53&lt;=D53),"En el mínimo o por debajo","Suficiente")))</f>
      </c>
      <c r="I53" s="13"/>
    </row>
    <row r="54" spans="1:9" x14ac:dyDescent="0.25">
      <c r="A54" s="13"/>
      <c r="B54" s="13"/>
      <c r="C54" s="13"/>
      <c r="D54" s="13"/>
      <c r="E54" s="11">
        <f>IF(A54="","",SUMIFS(Movimientos!$E$5:$E$504,Movimientos!$B$5:$B$504,A54,Movimientos!$D$5:$D$504,"Entrada"))</f>
      </c>
      <c r="F54" s="11">
        <f>IF(A54="","",SUMIFS(Movimientos!$E$5:$E$504,Movimientos!$B$5:$B$504,A54,Movimientos!$D$5:$D$504,"Salida"))</f>
      </c>
      <c r="G54" s="11">
        <f>IF(A54="","",E54-F54)</f>
      </c>
      <c r="H54" s="12">
        <f>IF(A54="","",IF(G54&lt;0,"Saldo negativo: revisa",IF(AND(D54&lt;&gt;"",G54&lt;=D54),"En el mínimo o por debajo","Suficiente")))</f>
      </c>
      <c r="I54" s="13"/>
    </row>
    <row r="55" spans="1:9" x14ac:dyDescent="0.25">
      <c r="A55" s="13"/>
      <c r="B55" s="13"/>
      <c r="C55" s="13"/>
      <c r="D55" s="13"/>
      <c r="E55" s="11">
        <f>IF(A55="","",SUMIFS(Movimientos!$E$5:$E$504,Movimientos!$B$5:$B$504,A55,Movimientos!$D$5:$D$504,"Entrada"))</f>
      </c>
      <c r="F55" s="11">
        <f>IF(A55="","",SUMIFS(Movimientos!$E$5:$E$504,Movimientos!$B$5:$B$504,A55,Movimientos!$D$5:$D$504,"Salida"))</f>
      </c>
      <c r="G55" s="11">
        <f>IF(A55="","",E55-F55)</f>
      </c>
      <c r="H55" s="12">
        <f>IF(A55="","",IF(G55&lt;0,"Saldo negativo: revisa",IF(AND(D55&lt;&gt;"",G55&lt;=D55),"En el mínimo o por debajo","Suficiente")))</f>
      </c>
      <c r="I55" s="13"/>
    </row>
    <row r="56" spans="1:9" x14ac:dyDescent="0.25">
      <c r="A56" s="13"/>
      <c r="B56" s="13"/>
      <c r="C56" s="13"/>
      <c r="D56" s="13"/>
      <c r="E56" s="11">
        <f>IF(A56="","",SUMIFS(Movimientos!$E$5:$E$504,Movimientos!$B$5:$B$504,A56,Movimientos!$D$5:$D$504,"Entrada"))</f>
      </c>
      <c r="F56" s="11">
        <f>IF(A56="","",SUMIFS(Movimientos!$E$5:$E$504,Movimientos!$B$5:$B$504,A56,Movimientos!$D$5:$D$504,"Salida"))</f>
      </c>
      <c r="G56" s="11">
        <f>IF(A56="","",E56-F56)</f>
      </c>
      <c r="H56" s="12">
        <f>IF(A56="","",IF(G56&lt;0,"Saldo negativo: revisa",IF(AND(D56&lt;&gt;"",G56&lt;=D56),"En el mínimo o por debajo","Suficiente")))</f>
      </c>
      <c r="I56" s="13"/>
    </row>
    <row r="57" spans="1:9" x14ac:dyDescent="0.25">
      <c r="A57" s="13"/>
      <c r="B57" s="13"/>
      <c r="C57" s="13"/>
      <c r="D57" s="13"/>
      <c r="E57" s="11">
        <f>IF(A57="","",SUMIFS(Movimientos!$E$5:$E$504,Movimientos!$B$5:$B$504,A57,Movimientos!$D$5:$D$504,"Entrada"))</f>
      </c>
      <c r="F57" s="11">
        <f>IF(A57="","",SUMIFS(Movimientos!$E$5:$E$504,Movimientos!$B$5:$B$504,A57,Movimientos!$D$5:$D$504,"Salida"))</f>
      </c>
      <c r="G57" s="11">
        <f>IF(A57="","",E57-F57)</f>
      </c>
      <c r="H57" s="12">
        <f>IF(A57="","",IF(G57&lt;0,"Saldo negativo: revisa",IF(AND(D57&lt;&gt;"",G57&lt;=D57),"En el mínimo o por debajo","Suficiente")))</f>
      </c>
      <c r="I57" s="13"/>
    </row>
    <row r="58" spans="1:9" x14ac:dyDescent="0.25">
      <c r="A58" s="13"/>
      <c r="B58" s="13"/>
      <c r="C58" s="13"/>
      <c r="D58" s="13"/>
      <c r="E58" s="11">
        <f>IF(A58="","",SUMIFS(Movimientos!$E$5:$E$504,Movimientos!$B$5:$B$504,A58,Movimientos!$D$5:$D$504,"Entrada"))</f>
      </c>
      <c r="F58" s="11">
        <f>IF(A58="","",SUMIFS(Movimientos!$E$5:$E$504,Movimientos!$B$5:$B$504,A58,Movimientos!$D$5:$D$504,"Salida"))</f>
      </c>
      <c r="G58" s="11">
        <f>IF(A58="","",E58-F58)</f>
      </c>
      <c r="H58" s="12">
        <f>IF(A58="","",IF(G58&lt;0,"Saldo negativo: revisa",IF(AND(D58&lt;&gt;"",G58&lt;=D58),"En el mínimo o por debajo","Suficiente")))</f>
      </c>
      <c r="I58" s="13"/>
    </row>
    <row r="59" spans="1:9" x14ac:dyDescent="0.25">
      <c r="A59" s="13"/>
      <c r="B59" s="13"/>
      <c r="C59" s="13"/>
      <c r="D59" s="13"/>
      <c r="E59" s="11">
        <f>IF(A59="","",SUMIFS(Movimientos!$E$5:$E$504,Movimientos!$B$5:$B$504,A59,Movimientos!$D$5:$D$504,"Entrada"))</f>
      </c>
      <c r="F59" s="11">
        <f>IF(A59="","",SUMIFS(Movimientos!$E$5:$E$504,Movimientos!$B$5:$B$504,A59,Movimientos!$D$5:$D$504,"Salida"))</f>
      </c>
      <c r="G59" s="11">
        <f>IF(A59="","",E59-F59)</f>
      </c>
      <c r="H59" s="12">
        <f>IF(A59="","",IF(G59&lt;0,"Saldo negativo: revisa",IF(AND(D59&lt;&gt;"",G59&lt;=D59),"En el mínimo o por debajo","Suficiente")))</f>
      </c>
      <c r="I59" s="13"/>
    </row>
    <row r="60" spans="1:9" x14ac:dyDescent="0.25">
      <c r="A60" s="13"/>
      <c r="B60" s="13"/>
      <c r="C60" s="13"/>
      <c r="D60" s="13"/>
      <c r="E60" s="11">
        <f>IF(A60="","",SUMIFS(Movimientos!$E$5:$E$504,Movimientos!$B$5:$B$504,A60,Movimientos!$D$5:$D$504,"Entrada"))</f>
      </c>
      <c r="F60" s="11">
        <f>IF(A60="","",SUMIFS(Movimientos!$E$5:$E$504,Movimientos!$B$5:$B$504,A60,Movimientos!$D$5:$D$504,"Salida"))</f>
      </c>
      <c r="G60" s="11">
        <f>IF(A60="","",E60-F60)</f>
      </c>
      <c r="H60" s="12">
        <f>IF(A60="","",IF(G60&lt;0,"Saldo negativo: revisa",IF(AND(D60&lt;&gt;"",G60&lt;=D60),"En el mínimo o por debajo","Suficiente")))</f>
      </c>
      <c r="I60" s="13"/>
    </row>
    <row r="61" spans="1:9" x14ac:dyDescent="0.25">
      <c r="A61" s="13"/>
      <c r="B61" s="13"/>
      <c r="C61" s="13"/>
      <c r="D61" s="13"/>
      <c r="E61" s="11">
        <f>IF(A61="","",SUMIFS(Movimientos!$E$5:$E$504,Movimientos!$B$5:$B$504,A61,Movimientos!$D$5:$D$504,"Entrada"))</f>
      </c>
      <c r="F61" s="11">
        <f>IF(A61="","",SUMIFS(Movimientos!$E$5:$E$504,Movimientos!$B$5:$B$504,A61,Movimientos!$D$5:$D$504,"Salida"))</f>
      </c>
      <c r="G61" s="11">
        <f>IF(A61="","",E61-F61)</f>
      </c>
      <c r="H61" s="12">
        <f>IF(A61="","",IF(G61&lt;0,"Saldo negativo: revisa",IF(AND(D61&lt;&gt;"",G61&lt;=D61),"En el mínimo o por debajo","Suficiente")))</f>
      </c>
      <c r="I61" s="13"/>
    </row>
    <row r="62" spans="1:9" x14ac:dyDescent="0.25">
      <c r="A62" s="13"/>
      <c r="B62" s="13"/>
      <c r="C62" s="13"/>
      <c r="D62" s="13"/>
      <c r="E62" s="11">
        <f>IF(A62="","",SUMIFS(Movimientos!$E$5:$E$504,Movimientos!$B$5:$B$504,A62,Movimientos!$D$5:$D$504,"Entrada"))</f>
      </c>
      <c r="F62" s="11">
        <f>IF(A62="","",SUMIFS(Movimientos!$E$5:$E$504,Movimientos!$B$5:$B$504,A62,Movimientos!$D$5:$D$504,"Salida"))</f>
      </c>
      <c r="G62" s="11">
        <f>IF(A62="","",E62-F62)</f>
      </c>
      <c r="H62" s="12">
        <f>IF(A62="","",IF(G62&lt;0,"Saldo negativo: revisa",IF(AND(D62&lt;&gt;"",G62&lt;=D62),"En el mínimo o por debajo","Suficiente")))</f>
      </c>
      <c r="I62" s="13"/>
    </row>
    <row r="63" spans="1:9" x14ac:dyDescent="0.25">
      <c r="A63" s="13"/>
      <c r="B63" s="13"/>
      <c r="C63" s="13"/>
      <c r="D63" s="13"/>
      <c r="E63" s="11">
        <f>IF(A63="","",SUMIFS(Movimientos!$E$5:$E$504,Movimientos!$B$5:$B$504,A63,Movimientos!$D$5:$D$504,"Entrada"))</f>
      </c>
      <c r="F63" s="11">
        <f>IF(A63="","",SUMIFS(Movimientos!$E$5:$E$504,Movimientos!$B$5:$B$504,A63,Movimientos!$D$5:$D$504,"Salida"))</f>
      </c>
      <c r="G63" s="11">
        <f>IF(A63="","",E63-F63)</f>
      </c>
      <c r="H63" s="12">
        <f>IF(A63="","",IF(G63&lt;0,"Saldo negativo: revisa",IF(AND(D63&lt;&gt;"",G63&lt;=D63),"En el mínimo o por debajo","Suficiente")))</f>
      </c>
      <c r="I63" s="13"/>
    </row>
    <row r="64" spans="1:9" x14ac:dyDescent="0.25">
      <c r="A64" s="13"/>
      <c r="B64" s="13"/>
      <c r="C64" s="13"/>
      <c r="D64" s="13"/>
      <c r="E64" s="11">
        <f>IF(A64="","",SUMIFS(Movimientos!$E$5:$E$504,Movimientos!$B$5:$B$504,A64,Movimientos!$D$5:$D$504,"Entrada"))</f>
      </c>
      <c r="F64" s="11">
        <f>IF(A64="","",SUMIFS(Movimientos!$E$5:$E$504,Movimientos!$B$5:$B$504,A64,Movimientos!$D$5:$D$504,"Salida"))</f>
      </c>
      <c r="G64" s="11">
        <f>IF(A64="","",E64-F64)</f>
      </c>
      <c r="H64" s="12">
        <f>IF(A64="","",IF(G64&lt;0,"Saldo negativo: revisa",IF(AND(D64&lt;&gt;"",G64&lt;=D64),"En el mínimo o por debajo","Suficiente")))</f>
      </c>
      <c r="I64" s="13"/>
    </row>
    <row r="65" spans="1:9" x14ac:dyDescent="0.25">
      <c r="A65" s="13"/>
      <c r="B65" s="13"/>
      <c r="C65" s="13"/>
      <c r="D65" s="13"/>
      <c r="E65" s="11">
        <f>IF(A65="","",SUMIFS(Movimientos!$E$5:$E$504,Movimientos!$B$5:$B$504,A65,Movimientos!$D$5:$D$504,"Entrada"))</f>
      </c>
      <c r="F65" s="11">
        <f>IF(A65="","",SUMIFS(Movimientos!$E$5:$E$504,Movimientos!$B$5:$B$504,A65,Movimientos!$D$5:$D$504,"Salida"))</f>
      </c>
      <c r="G65" s="11">
        <f>IF(A65="","",E65-F65)</f>
      </c>
      <c r="H65" s="12">
        <f>IF(A65="","",IF(G65&lt;0,"Saldo negativo: revisa",IF(AND(D65&lt;&gt;"",G65&lt;=D65),"En el mínimo o por debajo","Suficiente")))</f>
      </c>
      <c r="I65" s="13"/>
    </row>
    <row r="66" spans="1:9" x14ac:dyDescent="0.25">
      <c r="A66" s="13"/>
      <c r="B66" s="13"/>
      <c r="C66" s="13"/>
      <c r="D66" s="13"/>
      <c r="E66" s="11">
        <f>IF(A66="","",SUMIFS(Movimientos!$E$5:$E$504,Movimientos!$B$5:$B$504,A66,Movimientos!$D$5:$D$504,"Entrada"))</f>
      </c>
      <c r="F66" s="11">
        <f>IF(A66="","",SUMIFS(Movimientos!$E$5:$E$504,Movimientos!$B$5:$B$504,A66,Movimientos!$D$5:$D$504,"Salida"))</f>
      </c>
      <c r="G66" s="11">
        <f>IF(A66="","",E66-F66)</f>
      </c>
      <c r="H66" s="12">
        <f>IF(A66="","",IF(G66&lt;0,"Saldo negativo: revisa",IF(AND(D66&lt;&gt;"",G66&lt;=D66),"En el mínimo o por debajo","Suficiente")))</f>
      </c>
      <c r="I66" s="13"/>
    </row>
    <row r="67" spans="1:9" x14ac:dyDescent="0.25">
      <c r="A67" s="13"/>
      <c r="B67" s="13"/>
      <c r="C67" s="13"/>
      <c r="D67" s="13"/>
      <c r="E67" s="11">
        <f>IF(A67="","",SUMIFS(Movimientos!$E$5:$E$504,Movimientos!$B$5:$B$504,A67,Movimientos!$D$5:$D$504,"Entrada"))</f>
      </c>
      <c r="F67" s="11">
        <f>IF(A67="","",SUMIFS(Movimientos!$E$5:$E$504,Movimientos!$B$5:$B$504,A67,Movimientos!$D$5:$D$504,"Salida"))</f>
      </c>
      <c r="G67" s="11">
        <f>IF(A67="","",E67-F67)</f>
      </c>
      <c r="H67" s="12">
        <f>IF(A67="","",IF(G67&lt;0,"Saldo negativo: revisa",IF(AND(D67&lt;&gt;"",G67&lt;=D67),"En el mínimo o por debajo","Suficiente")))</f>
      </c>
      <c r="I67" s="13"/>
    </row>
    <row r="68" spans="1:9" x14ac:dyDescent="0.25">
      <c r="A68" s="13"/>
      <c r="B68" s="13"/>
      <c r="C68" s="13"/>
      <c r="D68" s="13"/>
      <c r="E68" s="11">
        <f>IF(A68="","",SUMIFS(Movimientos!$E$5:$E$504,Movimientos!$B$5:$B$504,A68,Movimientos!$D$5:$D$504,"Entrada"))</f>
      </c>
      <c r="F68" s="11">
        <f>IF(A68="","",SUMIFS(Movimientos!$E$5:$E$504,Movimientos!$B$5:$B$504,A68,Movimientos!$D$5:$D$504,"Salida"))</f>
      </c>
      <c r="G68" s="11">
        <f>IF(A68="","",E68-F68)</f>
      </c>
      <c r="H68" s="12">
        <f>IF(A68="","",IF(G68&lt;0,"Saldo negativo: revisa",IF(AND(D68&lt;&gt;"",G68&lt;=D68),"En el mínimo o por debajo","Suficiente")))</f>
      </c>
      <c r="I68" s="13"/>
    </row>
    <row r="69" spans="1:9" x14ac:dyDescent="0.25">
      <c r="A69" s="13"/>
      <c r="B69" s="13"/>
      <c r="C69" s="13"/>
      <c r="D69" s="13"/>
      <c r="E69" s="11">
        <f>IF(A69="","",SUMIFS(Movimientos!$E$5:$E$504,Movimientos!$B$5:$B$504,A69,Movimientos!$D$5:$D$504,"Entrada"))</f>
      </c>
      <c r="F69" s="11">
        <f>IF(A69="","",SUMIFS(Movimientos!$E$5:$E$504,Movimientos!$B$5:$B$504,A69,Movimientos!$D$5:$D$504,"Salida"))</f>
      </c>
      <c r="G69" s="11">
        <f>IF(A69="","",E69-F69)</f>
      </c>
      <c r="H69" s="12">
        <f>IF(A69="","",IF(G69&lt;0,"Saldo negativo: revisa",IF(AND(D69&lt;&gt;"",G69&lt;=D69),"En el mínimo o por debajo","Suficiente")))</f>
      </c>
      <c r="I69" s="13"/>
    </row>
    <row r="70" spans="1:9" x14ac:dyDescent="0.25">
      <c r="A70" s="13"/>
      <c r="B70" s="13"/>
      <c r="C70" s="13"/>
      <c r="D70" s="13"/>
      <c r="E70" s="11">
        <f>IF(A70="","",SUMIFS(Movimientos!$E$5:$E$504,Movimientos!$B$5:$B$504,A70,Movimientos!$D$5:$D$504,"Entrada"))</f>
      </c>
      <c r="F70" s="11">
        <f>IF(A70="","",SUMIFS(Movimientos!$E$5:$E$504,Movimientos!$B$5:$B$504,A70,Movimientos!$D$5:$D$504,"Salida"))</f>
      </c>
      <c r="G70" s="11">
        <f>IF(A70="","",E70-F70)</f>
      </c>
      <c r="H70" s="12">
        <f>IF(A70="","",IF(G70&lt;0,"Saldo negativo: revisa",IF(AND(D70&lt;&gt;"",G70&lt;=D70),"En el mínimo o por debajo","Suficiente")))</f>
      </c>
      <c r="I70" s="13"/>
    </row>
    <row r="71" spans="1:9" x14ac:dyDescent="0.25">
      <c r="A71" s="13"/>
      <c r="B71" s="13"/>
      <c r="C71" s="13"/>
      <c r="D71" s="13"/>
      <c r="E71" s="11">
        <f>IF(A71="","",SUMIFS(Movimientos!$E$5:$E$504,Movimientos!$B$5:$B$504,A71,Movimientos!$D$5:$D$504,"Entrada"))</f>
      </c>
      <c r="F71" s="11">
        <f>IF(A71="","",SUMIFS(Movimientos!$E$5:$E$504,Movimientos!$B$5:$B$504,A71,Movimientos!$D$5:$D$504,"Salida"))</f>
      </c>
      <c r="G71" s="11">
        <f>IF(A71="","",E71-F71)</f>
      </c>
      <c r="H71" s="12">
        <f>IF(A71="","",IF(G71&lt;0,"Saldo negativo: revisa",IF(AND(D71&lt;&gt;"",G71&lt;=D71),"En el mínimo o por debajo","Suficiente")))</f>
      </c>
      <c r="I71" s="13"/>
    </row>
    <row r="72" spans="1:9" x14ac:dyDescent="0.25">
      <c r="A72" s="13"/>
      <c r="B72" s="13"/>
      <c r="C72" s="13"/>
      <c r="D72" s="13"/>
      <c r="E72" s="11">
        <f>IF(A72="","",SUMIFS(Movimientos!$E$5:$E$504,Movimientos!$B$5:$B$504,A72,Movimientos!$D$5:$D$504,"Entrada"))</f>
      </c>
      <c r="F72" s="11">
        <f>IF(A72="","",SUMIFS(Movimientos!$E$5:$E$504,Movimientos!$B$5:$B$504,A72,Movimientos!$D$5:$D$504,"Salida"))</f>
      </c>
      <c r="G72" s="11">
        <f>IF(A72="","",E72-F72)</f>
      </c>
      <c r="H72" s="12">
        <f>IF(A72="","",IF(G72&lt;0,"Saldo negativo: revisa",IF(AND(D72&lt;&gt;"",G72&lt;=D72),"En el mínimo o por debajo","Suficiente")))</f>
      </c>
      <c r="I72" s="13"/>
    </row>
    <row r="73" spans="1:9" x14ac:dyDescent="0.25">
      <c r="A73" s="13"/>
      <c r="B73" s="13"/>
      <c r="C73" s="13"/>
      <c r="D73" s="13"/>
      <c r="E73" s="11">
        <f>IF(A73="","",SUMIFS(Movimientos!$E$5:$E$504,Movimientos!$B$5:$B$504,A73,Movimientos!$D$5:$D$504,"Entrada"))</f>
      </c>
      <c r="F73" s="11">
        <f>IF(A73="","",SUMIFS(Movimientos!$E$5:$E$504,Movimientos!$B$5:$B$504,A73,Movimientos!$D$5:$D$504,"Salida"))</f>
      </c>
      <c r="G73" s="11">
        <f>IF(A73="","",E73-F73)</f>
      </c>
      <c r="H73" s="12">
        <f>IF(A73="","",IF(G73&lt;0,"Saldo negativo: revisa",IF(AND(D73&lt;&gt;"",G73&lt;=D73),"En el mínimo o por debajo","Suficiente")))</f>
      </c>
      <c r="I73" s="13"/>
    </row>
    <row r="74" spans="1:9" x14ac:dyDescent="0.25">
      <c r="A74" s="13"/>
      <c r="B74" s="13"/>
      <c r="C74" s="13"/>
      <c r="D74" s="13"/>
      <c r="E74" s="11">
        <f>IF(A74="","",SUMIFS(Movimientos!$E$5:$E$504,Movimientos!$B$5:$B$504,A74,Movimientos!$D$5:$D$504,"Entrada"))</f>
      </c>
      <c r="F74" s="11">
        <f>IF(A74="","",SUMIFS(Movimientos!$E$5:$E$504,Movimientos!$B$5:$B$504,A74,Movimientos!$D$5:$D$504,"Salida"))</f>
      </c>
      <c r="G74" s="11">
        <f>IF(A74="","",E74-F74)</f>
      </c>
      <c r="H74" s="12">
        <f>IF(A74="","",IF(G74&lt;0,"Saldo negativo: revisa",IF(AND(D74&lt;&gt;"",G74&lt;=D74),"En el mínimo o por debajo","Suficiente")))</f>
      </c>
      <c r="I74" s="13"/>
    </row>
    <row r="75" spans="1:9" x14ac:dyDescent="0.25">
      <c r="A75" s="13"/>
      <c r="B75" s="13"/>
      <c r="C75" s="13"/>
      <c r="D75" s="13"/>
      <c r="E75" s="11">
        <f>IF(A75="","",SUMIFS(Movimientos!$E$5:$E$504,Movimientos!$B$5:$B$504,A75,Movimientos!$D$5:$D$504,"Entrada"))</f>
      </c>
      <c r="F75" s="11">
        <f>IF(A75="","",SUMIFS(Movimientos!$E$5:$E$504,Movimientos!$B$5:$B$504,A75,Movimientos!$D$5:$D$504,"Salida"))</f>
      </c>
      <c r="G75" s="11">
        <f>IF(A75="","",E75-F75)</f>
      </c>
      <c r="H75" s="12">
        <f>IF(A75="","",IF(G75&lt;0,"Saldo negativo: revisa",IF(AND(D75&lt;&gt;"",G75&lt;=D75),"En el mínimo o por debajo","Suficiente")))</f>
      </c>
      <c r="I75" s="13"/>
    </row>
    <row r="76" spans="1:9" x14ac:dyDescent="0.25">
      <c r="A76" s="13"/>
      <c r="B76" s="13"/>
      <c r="C76" s="13"/>
      <c r="D76" s="13"/>
      <c r="E76" s="11">
        <f>IF(A76="","",SUMIFS(Movimientos!$E$5:$E$504,Movimientos!$B$5:$B$504,A76,Movimientos!$D$5:$D$504,"Entrada"))</f>
      </c>
      <c r="F76" s="11">
        <f>IF(A76="","",SUMIFS(Movimientos!$E$5:$E$504,Movimientos!$B$5:$B$504,A76,Movimientos!$D$5:$D$504,"Salida"))</f>
      </c>
      <c r="G76" s="11">
        <f>IF(A76="","",E76-F76)</f>
      </c>
      <c r="H76" s="12">
        <f>IF(A76="","",IF(G76&lt;0,"Saldo negativo: revisa",IF(AND(D76&lt;&gt;"",G76&lt;=D76),"En el mínimo o por debajo","Suficiente")))</f>
      </c>
      <c r="I76" s="13"/>
    </row>
    <row r="77" spans="1:9" x14ac:dyDescent="0.25">
      <c r="A77" s="13"/>
      <c r="B77" s="13"/>
      <c r="C77" s="13"/>
      <c r="D77" s="13"/>
      <c r="E77" s="11">
        <f>IF(A77="","",SUMIFS(Movimientos!$E$5:$E$504,Movimientos!$B$5:$B$504,A77,Movimientos!$D$5:$D$504,"Entrada"))</f>
      </c>
      <c r="F77" s="11">
        <f>IF(A77="","",SUMIFS(Movimientos!$E$5:$E$504,Movimientos!$B$5:$B$504,A77,Movimientos!$D$5:$D$504,"Salida"))</f>
      </c>
      <c r="G77" s="11">
        <f>IF(A77="","",E77-F77)</f>
      </c>
      <c r="H77" s="12">
        <f>IF(A77="","",IF(G77&lt;0,"Saldo negativo: revisa",IF(AND(D77&lt;&gt;"",G77&lt;=D77),"En el mínimo o por debajo","Suficiente")))</f>
      </c>
      <c r="I77" s="13"/>
    </row>
    <row r="78" spans="1:9" x14ac:dyDescent="0.25">
      <c r="A78" s="13"/>
      <c r="B78" s="13"/>
      <c r="C78" s="13"/>
      <c r="D78" s="13"/>
      <c r="E78" s="11">
        <f>IF(A78="","",SUMIFS(Movimientos!$E$5:$E$504,Movimientos!$B$5:$B$504,A78,Movimientos!$D$5:$D$504,"Entrada"))</f>
      </c>
      <c r="F78" s="11">
        <f>IF(A78="","",SUMIFS(Movimientos!$E$5:$E$504,Movimientos!$B$5:$B$504,A78,Movimientos!$D$5:$D$504,"Salida"))</f>
      </c>
      <c r="G78" s="11">
        <f>IF(A78="","",E78-F78)</f>
      </c>
      <c r="H78" s="12">
        <f>IF(A78="","",IF(G78&lt;0,"Saldo negativo: revisa",IF(AND(D78&lt;&gt;"",G78&lt;=D78),"En el mínimo o por debajo","Suficiente")))</f>
      </c>
      <c r="I78" s="13"/>
    </row>
    <row r="79" spans="1:9" x14ac:dyDescent="0.25">
      <c r="A79" s="13"/>
      <c r="B79" s="13"/>
      <c r="C79" s="13"/>
      <c r="D79" s="13"/>
      <c r="E79" s="11">
        <f>IF(A79="","",SUMIFS(Movimientos!$E$5:$E$504,Movimientos!$B$5:$B$504,A79,Movimientos!$D$5:$D$504,"Entrada"))</f>
      </c>
      <c r="F79" s="11">
        <f>IF(A79="","",SUMIFS(Movimientos!$E$5:$E$504,Movimientos!$B$5:$B$504,A79,Movimientos!$D$5:$D$504,"Salida"))</f>
      </c>
      <c r="G79" s="11">
        <f>IF(A79="","",E79-F79)</f>
      </c>
      <c r="H79" s="12">
        <f>IF(A79="","",IF(G79&lt;0,"Saldo negativo: revisa",IF(AND(D79&lt;&gt;"",G79&lt;=D79),"En el mínimo o por debajo","Suficiente")))</f>
      </c>
      <c r="I79" s="13"/>
    </row>
    <row r="80" spans="1:9" x14ac:dyDescent="0.25">
      <c r="A80" s="13"/>
      <c r="B80" s="13"/>
      <c r="C80" s="13"/>
      <c r="D80" s="13"/>
      <c r="E80" s="11">
        <f>IF(A80="","",SUMIFS(Movimientos!$E$5:$E$504,Movimientos!$B$5:$B$504,A80,Movimientos!$D$5:$D$504,"Entrada"))</f>
      </c>
      <c r="F80" s="11">
        <f>IF(A80="","",SUMIFS(Movimientos!$E$5:$E$504,Movimientos!$B$5:$B$504,A80,Movimientos!$D$5:$D$504,"Salida"))</f>
      </c>
      <c r="G80" s="11">
        <f>IF(A80="","",E80-F80)</f>
      </c>
      <c r="H80" s="12">
        <f>IF(A80="","",IF(G80&lt;0,"Saldo negativo: revisa",IF(AND(D80&lt;&gt;"",G80&lt;=D80),"En el mínimo o por debajo","Suficiente")))</f>
      </c>
      <c r="I80" s="13"/>
    </row>
    <row r="81" spans="1:9" x14ac:dyDescent="0.25">
      <c r="A81" s="13"/>
      <c r="B81" s="13"/>
      <c r="C81" s="13"/>
      <c r="D81" s="13"/>
      <c r="E81" s="11">
        <f>IF(A81="","",SUMIFS(Movimientos!$E$5:$E$504,Movimientos!$B$5:$B$504,A81,Movimientos!$D$5:$D$504,"Entrada"))</f>
      </c>
      <c r="F81" s="11">
        <f>IF(A81="","",SUMIFS(Movimientos!$E$5:$E$504,Movimientos!$B$5:$B$504,A81,Movimientos!$D$5:$D$504,"Salida"))</f>
      </c>
      <c r="G81" s="11">
        <f>IF(A81="","",E81-F81)</f>
      </c>
      <c r="H81" s="12">
        <f>IF(A81="","",IF(G81&lt;0,"Saldo negativo: revisa",IF(AND(D81&lt;&gt;"",G81&lt;=D81),"En el mínimo o por debajo","Suficiente")))</f>
      </c>
      <c r="I81" s="13"/>
    </row>
    <row r="82" spans="1:9" x14ac:dyDescent="0.25">
      <c r="A82" s="13"/>
      <c r="B82" s="13"/>
      <c r="C82" s="13"/>
      <c r="D82" s="13"/>
      <c r="E82" s="11">
        <f>IF(A82="","",SUMIFS(Movimientos!$E$5:$E$504,Movimientos!$B$5:$B$504,A82,Movimientos!$D$5:$D$504,"Entrada"))</f>
      </c>
      <c r="F82" s="11">
        <f>IF(A82="","",SUMIFS(Movimientos!$E$5:$E$504,Movimientos!$B$5:$B$504,A82,Movimientos!$D$5:$D$504,"Salida"))</f>
      </c>
      <c r="G82" s="11">
        <f>IF(A82="","",E82-F82)</f>
      </c>
      <c r="H82" s="12">
        <f>IF(A82="","",IF(G82&lt;0,"Saldo negativo: revisa",IF(AND(D82&lt;&gt;"",G82&lt;=D82),"En el mínimo o por debajo","Suficiente")))</f>
      </c>
      <c r="I82" s="13"/>
    </row>
    <row r="83" spans="1:9" x14ac:dyDescent="0.25">
      <c r="A83" s="13"/>
      <c r="B83" s="13"/>
      <c r="C83" s="13"/>
      <c r="D83" s="13"/>
      <c r="E83" s="11">
        <f>IF(A83="","",SUMIFS(Movimientos!$E$5:$E$504,Movimientos!$B$5:$B$504,A83,Movimientos!$D$5:$D$504,"Entrada"))</f>
      </c>
      <c r="F83" s="11">
        <f>IF(A83="","",SUMIFS(Movimientos!$E$5:$E$504,Movimientos!$B$5:$B$504,A83,Movimientos!$D$5:$D$504,"Salida"))</f>
      </c>
      <c r="G83" s="11">
        <f>IF(A83="","",E83-F83)</f>
      </c>
      <c r="H83" s="12">
        <f>IF(A83="","",IF(G83&lt;0,"Saldo negativo: revisa",IF(AND(D83&lt;&gt;"",G83&lt;=D83),"En el mínimo o por debajo","Suficiente")))</f>
      </c>
      <c r="I83" s="13"/>
    </row>
    <row r="84" spans="1:9" x14ac:dyDescent="0.25">
      <c r="A84" s="13"/>
      <c r="B84" s="13"/>
      <c r="C84" s="13"/>
      <c r="D84" s="13"/>
      <c r="E84" s="11">
        <f>IF(A84="","",SUMIFS(Movimientos!$E$5:$E$504,Movimientos!$B$5:$B$504,A84,Movimientos!$D$5:$D$504,"Entrada"))</f>
      </c>
      <c r="F84" s="11">
        <f>IF(A84="","",SUMIFS(Movimientos!$E$5:$E$504,Movimientos!$B$5:$B$504,A84,Movimientos!$D$5:$D$504,"Salida"))</f>
      </c>
      <c r="G84" s="11">
        <f>IF(A84="","",E84-F84)</f>
      </c>
      <c r="H84" s="12">
        <f>IF(A84="","",IF(G84&lt;0,"Saldo negativo: revisa",IF(AND(D84&lt;&gt;"",G84&lt;=D84),"En el mínimo o por debajo","Suficiente")))</f>
      </c>
      <c r="I84" s="13"/>
    </row>
    <row r="85" spans="1:9" x14ac:dyDescent="0.25">
      <c r="A85" s="13"/>
      <c r="B85" s="13"/>
      <c r="C85" s="13"/>
      <c r="D85" s="13"/>
      <c r="E85" s="11">
        <f>IF(A85="","",SUMIFS(Movimientos!$E$5:$E$504,Movimientos!$B$5:$B$504,A85,Movimientos!$D$5:$D$504,"Entrada"))</f>
      </c>
      <c r="F85" s="11">
        <f>IF(A85="","",SUMIFS(Movimientos!$E$5:$E$504,Movimientos!$B$5:$B$504,A85,Movimientos!$D$5:$D$504,"Salida"))</f>
      </c>
      <c r="G85" s="11">
        <f>IF(A85="","",E85-F85)</f>
      </c>
      <c r="H85" s="12">
        <f>IF(A85="","",IF(G85&lt;0,"Saldo negativo: revisa",IF(AND(D85&lt;&gt;"",G85&lt;=D85),"En el mínimo o por debajo","Suficiente")))</f>
      </c>
      <c r="I85" s="13"/>
    </row>
    <row r="86" spans="1:9" x14ac:dyDescent="0.25">
      <c r="A86" s="13"/>
      <c r="B86" s="13"/>
      <c r="C86" s="13"/>
      <c r="D86" s="13"/>
      <c r="E86" s="11">
        <f>IF(A86="","",SUMIFS(Movimientos!$E$5:$E$504,Movimientos!$B$5:$B$504,A86,Movimientos!$D$5:$D$504,"Entrada"))</f>
      </c>
      <c r="F86" s="11">
        <f>IF(A86="","",SUMIFS(Movimientos!$E$5:$E$504,Movimientos!$B$5:$B$504,A86,Movimientos!$D$5:$D$504,"Salida"))</f>
      </c>
      <c r="G86" s="11">
        <f>IF(A86="","",E86-F86)</f>
      </c>
      <c r="H86" s="12">
        <f>IF(A86="","",IF(G86&lt;0,"Saldo negativo: revisa",IF(AND(D86&lt;&gt;"",G86&lt;=D86),"En el mínimo o por debajo","Suficiente")))</f>
      </c>
      <c r="I86" s="13"/>
    </row>
    <row r="87" spans="1:9" x14ac:dyDescent="0.25">
      <c r="A87" s="13"/>
      <c r="B87" s="13"/>
      <c r="C87" s="13"/>
      <c r="D87" s="13"/>
      <c r="E87" s="11">
        <f>IF(A87="","",SUMIFS(Movimientos!$E$5:$E$504,Movimientos!$B$5:$B$504,A87,Movimientos!$D$5:$D$504,"Entrada"))</f>
      </c>
      <c r="F87" s="11">
        <f>IF(A87="","",SUMIFS(Movimientos!$E$5:$E$504,Movimientos!$B$5:$B$504,A87,Movimientos!$D$5:$D$504,"Salida"))</f>
      </c>
      <c r="G87" s="11">
        <f>IF(A87="","",E87-F87)</f>
      </c>
      <c r="H87" s="12">
        <f>IF(A87="","",IF(G87&lt;0,"Saldo negativo: revisa",IF(AND(D87&lt;&gt;"",G87&lt;=D87),"En el mínimo o por debajo","Suficiente")))</f>
      </c>
      <c r="I87" s="13"/>
    </row>
    <row r="88" spans="1:9" x14ac:dyDescent="0.25">
      <c r="A88" s="13"/>
      <c r="B88" s="13"/>
      <c r="C88" s="13"/>
      <c r="D88" s="13"/>
      <c r="E88" s="11">
        <f>IF(A88="","",SUMIFS(Movimientos!$E$5:$E$504,Movimientos!$B$5:$B$504,A88,Movimientos!$D$5:$D$504,"Entrada"))</f>
      </c>
      <c r="F88" s="11">
        <f>IF(A88="","",SUMIFS(Movimientos!$E$5:$E$504,Movimientos!$B$5:$B$504,A88,Movimientos!$D$5:$D$504,"Salida"))</f>
      </c>
      <c r="G88" s="11">
        <f>IF(A88="","",E88-F88)</f>
      </c>
      <c r="H88" s="12">
        <f>IF(A88="","",IF(G88&lt;0,"Saldo negativo: revisa",IF(AND(D88&lt;&gt;"",G88&lt;=D88),"En el mínimo o por debajo","Suficiente")))</f>
      </c>
      <c r="I88" s="13"/>
    </row>
    <row r="89" spans="1:9" x14ac:dyDescent="0.25">
      <c r="A89" s="13"/>
      <c r="B89" s="13"/>
      <c r="C89" s="13"/>
      <c r="D89" s="13"/>
      <c r="E89" s="11">
        <f>IF(A89="","",SUMIFS(Movimientos!$E$5:$E$504,Movimientos!$B$5:$B$504,A89,Movimientos!$D$5:$D$504,"Entrada"))</f>
      </c>
      <c r="F89" s="11">
        <f>IF(A89="","",SUMIFS(Movimientos!$E$5:$E$504,Movimientos!$B$5:$B$504,A89,Movimientos!$D$5:$D$504,"Salida"))</f>
      </c>
      <c r="G89" s="11">
        <f>IF(A89="","",E89-F89)</f>
      </c>
      <c r="H89" s="12">
        <f>IF(A89="","",IF(G89&lt;0,"Saldo negativo: revisa",IF(AND(D89&lt;&gt;"",G89&lt;=D89),"En el mínimo o por debajo","Suficiente")))</f>
      </c>
      <c r="I89" s="13"/>
    </row>
    <row r="90" spans="1:9" x14ac:dyDescent="0.25">
      <c r="A90" s="13"/>
      <c r="B90" s="13"/>
      <c r="C90" s="13"/>
      <c r="D90" s="13"/>
      <c r="E90" s="11">
        <f>IF(A90="","",SUMIFS(Movimientos!$E$5:$E$504,Movimientos!$B$5:$B$504,A90,Movimientos!$D$5:$D$504,"Entrada"))</f>
      </c>
      <c r="F90" s="11">
        <f>IF(A90="","",SUMIFS(Movimientos!$E$5:$E$504,Movimientos!$B$5:$B$504,A90,Movimientos!$D$5:$D$504,"Salida"))</f>
      </c>
      <c r="G90" s="11">
        <f>IF(A90="","",E90-F90)</f>
      </c>
      <c r="H90" s="12">
        <f>IF(A90="","",IF(G90&lt;0,"Saldo negativo: revisa",IF(AND(D90&lt;&gt;"",G90&lt;=D90),"En el mínimo o por debajo","Suficiente")))</f>
      </c>
      <c r="I90" s="13"/>
    </row>
    <row r="91" spans="1:9" x14ac:dyDescent="0.25">
      <c r="A91" s="13"/>
      <c r="B91" s="13"/>
      <c r="C91" s="13"/>
      <c r="D91" s="13"/>
      <c r="E91" s="11">
        <f>IF(A91="","",SUMIFS(Movimientos!$E$5:$E$504,Movimientos!$B$5:$B$504,A91,Movimientos!$D$5:$D$504,"Entrada"))</f>
      </c>
      <c r="F91" s="11">
        <f>IF(A91="","",SUMIFS(Movimientos!$E$5:$E$504,Movimientos!$B$5:$B$504,A91,Movimientos!$D$5:$D$504,"Salida"))</f>
      </c>
      <c r="G91" s="11">
        <f>IF(A91="","",E91-F91)</f>
      </c>
      <c r="H91" s="12">
        <f>IF(A91="","",IF(G91&lt;0,"Saldo negativo: revisa",IF(AND(D91&lt;&gt;"",G91&lt;=D91),"En el mínimo o por debajo","Suficiente")))</f>
      </c>
      <c r="I91" s="13"/>
    </row>
    <row r="92" spans="1:9" x14ac:dyDescent="0.25">
      <c r="A92" s="13"/>
      <c r="B92" s="13"/>
      <c r="C92" s="13"/>
      <c r="D92" s="13"/>
      <c r="E92" s="11">
        <f>IF(A92="","",SUMIFS(Movimientos!$E$5:$E$504,Movimientos!$B$5:$B$504,A92,Movimientos!$D$5:$D$504,"Entrada"))</f>
      </c>
      <c r="F92" s="11">
        <f>IF(A92="","",SUMIFS(Movimientos!$E$5:$E$504,Movimientos!$B$5:$B$504,A92,Movimientos!$D$5:$D$504,"Salida"))</f>
      </c>
      <c r="G92" s="11">
        <f>IF(A92="","",E92-F92)</f>
      </c>
      <c r="H92" s="12">
        <f>IF(A92="","",IF(G92&lt;0,"Saldo negativo: revisa",IF(AND(D92&lt;&gt;"",G92&lt;=D92),"En el mínimo o por debajo","Suficiente")))</f>
      </c>
      <c r="I92" s="13"/>
    </row>
    <row r="93" spans="1:9" x14ac:dyDescent="0.25">
      <c r="A93" s="13"/>
      <c r="B93" s="13"/>
      <c r="C93" s="13"/>
      <c r="D93" s="13"/>
      <c r="E93" s="11">
        <f>IF(A93="","",SUMIFS(Movimientos!$E$5:$E$504,Movimientos!$B$5:$B$504,A93,Movimientos!$D$5:$D$504,"Entrada"))</f>
      </c>
      <c r="F93" s="11">
        <f>IF(A93="","",SUMIFS(Movimientos!$E$5:$E$504,Movimientos!$B$5:$B$504,A93,Movimientos!$D$5:$D$504,"Salida"))</f>
      </c>
      <c r="G93" s="11">
        <f>IF(A93="","",E93-F93)</f>
      </c>
      <c r="H93" s="12">
        <f>IF(A93="","",IF(G93&lt;0,"Saldo negativo: revisa",IF(AND(D93&lt;&gt;"",G93&lt;=D93),"En el mínimo o por debajo","Suficiente")))</f>
      </c>
      <c r="I93" s="13"/>
    </row>
    <row r="94" spans="1:9" x14ac:dyDescent="0.25">
      <c r="A94" s="13"/>
      <c r="B94" s="13"/>
      <c r="C94" s="13"/>
      <c r="D94" s="13"/>
      <c r="E94" s="11">
        <f>IF(A94="","",SUMIFS(Movimientos!$E$5:$E$504,Movimientos!$B$5:$B$504,A94,Movimientos!$D$5:$D$504,"Entrada"))</f>
      </c>
      <c r="F94" s="11">
        <f>IF(A94="","",SUMIFS(Movimientos!$E$5:$E$504,Movimientos!$B$5:$B$504,A94,Movimientos!$D$5:$D$504,"Salida"))</f>
      </c>
      <c r="G94" s="11">
        <f>IF(A94="","",E94-F94)</f>
      </c>
      <c r="H94" s="12">
        <f>IF(A94="","",IF(G94&lt;0,"Saldo negativo: revisa",IF(AND(D94&lt;&gt;"",G94&lt;=D94),"En el mínimo o por debajo","Suficiente")))</f>
      </c>
      <c r="I94" s="13"/>
    </row>
    <row r="95" spans="1:9" x14ac:dyDescent="0.25">
      <c r="A95" s="13"/>
      <c r="B95" s="13"/>
      <c r="C95" s="13"/>
      <c r="D95" s="13"/>
      <c r="E95" s="11">
        <f>IF(A95="","",SUMIFS(Movimientos!$E$5:$E$504,Movimientos!$B$5:$B$504,A95,Movimientos!$D$5:$D$504,"Entrada"))</f>
      </c>
      <c r="F95" s="11">
        <f>IF(A95="","",SUMIFS(Movimientos!$E$5:$E$504,Movimientos!$B$5:$B$504,A95,Movimientos!$D$5:$D$504,"Salida"))</f>
      </c>
      <c r="G95" s="11">
        <f>IF(A95="","",E95-F95)</f>
      </c>
      <c r="H95" s="12">
        <f>IF(A95="","",IF(G95&lt;0,"Saldo negativo: revisa",IF(AND(D95&lt;&gt;"",G95&lt;=D95),"En el mínimo o por debajo","Suficiente")))</f>
      </c>
      <c r="I95" s="13"/>
    </row>
    <row r="96" spans="1:9" x14ac:dyDescent="0.25">
      <c r="A96" s="13"/>
      <c r="B96" s="13"/>
      <c r="C96" s="13"/>
      <c r="D96" s="13"/>
      <c r="E96" s="11">
        <f>IF(A96="","",SUMIFS(Movimientos!$E$5:$E$504,Movimientos!$B$5:$B$504,A96,Movimientos!$D$5:$D$504,"Entrada"))</f>
      </c>
      <c r="F96" s="11">
        <f>IF(A96="","",SUMIFS(Movimientos!$E$5:$E$504,Movimientos!$B$5:$B$504,A96,Movimientos!$D$5:$D$504,"Salida"))</f>
      </c>
      <c r="G96" s="11">
        <f>IF(A96="","",E96-F96)</f>
      </c>
      <c r="H96" s="12">
        <f>IF(A96="","",IF(G96&lt;0,"Saldo negativo: revisa",IF(AND(D96&lt;&gt;"",G96&lt;=D96),"En el mínimo o por debajo","Suficiente")))</f>
      </c>
      <c r="I96" s="13"/>
    </row>
    <row r="97" spans="1:9" x14ac:dyDescent="0.25">
      <c r="A97" s="13"/>
      <c r="B97" s="13"/>
      <c r="C97" s="13"/>
      <c r="D97" s="13"/>
      <c r="E97" s="11">
        <f>IF(A97="","",SUMIFS(Movimientos!$E$5:$E$504,Movimientos!$B$5:$B$504,A97,Movimientos!$D$5:$D$504,"Entrada"))</f>
      </c>
      <c r="F97" s="11">
        <f>IF(A97="","",SUMIFS(Movimientos!$E$5:$E$504,Movimientos!$B$5:$B$504,A97,Movimientos!$D$5:$D$504,"Salida"))</f>
      </c>
      <c r="G97" s="11">
        <f>IF(A97="","",E97-F97)</f>
      </c>
      <c r="H97" s="12">
        <f>IF(A97="","",IF(G97&lt;0,"Saldo negativo: revisa",IF(AND(D97&lt;&gt;"",G97&lt;=D97),"En el mínimo o por debajo","Suficiente")))</f>
      </c>
      <c r="I97" s="13"/>
    </row>
    <row r="98" spans="1:9" x14ac:dyDescent="0.25">
      <c r="A98" s="13"/>
      <c r="B98" s="13"/>
      <c r="C98" s="13"/>
      <c r="D98" s="13"/>
      <c r="E98" s="11">
        <f>IF(A98="","",SUMIFS(Movimientos!$E$5:$E$504,Movimientos!$B$5:$B$504,A98,Movimientos!$D$5:$D$504,"Entrada"))</f>
      </c>
      <c r="F98" s="11">
        <f>IF(A98="","",SUMIFS(Movimientos!$E$5:$E$504,Movimientos!$B$5:$B$504,A98,Movimientos!$D$5:$D$504,"Salida"))</f>
      </c>
      <c r="G98" s="11">
        <f>IF(A98="","",E98-F98)</f>
      </c>
      <c r="H98" s="12">
        <f>IF(A98="","",IF(G98&lt;0,"Saldo negativo: revisa",IF(AND(D98&lt;&gt;"",G98&lt;=D98),"En el mínimo o por debajo","Suficiente")))</f>
      </c>
      <c r="I98" s="13"/>
    </row>
    <row r="99" spans="1:9" x14ac:dyDescent="0.25">
      <c r="A99" s="13"/>
      <c r="B99" s="13"/>
      <c r="C99" s="13"/>
      <c r="D99" s="13"/>
      <c r="E99" s="11">
        <f>IF(A99="","",SUMIFS(Movimientos!$E$5:$E$504,Movimientos!$B$5:$B$504,A99,Movimientos!$D$5:$D$504,"Entrada"))</f>
      </c>
      <c r="F99" s="11">
        <f>IF(A99="","",SUMIFS(Movimientos!$E$5:$E$504,Movimientos!$B$5:$B$504,A99,Movimientos!$D$5:$D$504,"Salida"))</f>
      </c>
      <c r="G99" s="11">
        <f>IF(A99="","",E99-F99)</f>
      </c>
      <c r="H99" s="12">
        <f>IF(A99="","",IF(G99&lt;0,"Saldo negativo: revisa",IF(AND(D99&lt;&gt;"",G99&lt;=D99),"En el mínimo o por debajo","Suficiente")))</f>
      </c>
      <c r="I99" s="13"/>
    </row>
    <row r="100" spans="1:9" x14ac:dyDescent="0.25">
      <c r="A100" s="13"/>
      <c r="B100" s="13"/>
      <c r="C100" s="13"/>
      <c r="D100" s="13"/>
      <c r="E100" s="11">
        <f>IF(A100="","",SUMIFS(Movimientos!$E$5:$E$504,Movimientos!$B$5:$B$504,A100,Movimientos!$D$5:$D$504,"Entrada"))</f>
      </c>
      <c r="F100" s="11">
        <f>IF(A100="","",SUMIFS(Movimientos!$E$5:$E$504,Movimientos!$B$5:$B$504,A100,Movimientos!$D$5:$D$504,"Salida"))</f>
      </c>
      <c r="G100" s="11">
        <f>IF(A100="","",E100-F100)</f>
      </c>
      <c r="H100" s="12">
        <f>IF(A100="","",IF(G100&lt;0,"Saldo negativo: revisa",IF(AND(D100&lt;&gt;"",G100&lt;=D100),"En el mínimo o por debajo","Suficiente")))</f>
      </c>
      <c r="I100" s="13"/>
    </row>
    <row r="101" spans="1:9" x14ac:dyDescent="0.25">
      <c r="A101" s="13"/>
      <c r="B101" s="13"/>
      <c r="C101" s="13"/>
      <c r="D101" s="13"/>
      <c r="E101" s="11">
        <f>IF(A101="","",SUMIFS(Movimientos!$E$5:$E$504,Movimientos!$B$5:$B$504,A101,Movimientos!$D$5:$D$504,"Entrada"))</f>
      </c>
      <c r="F101" s="11">
        <f>IF(A101="","",SUMIFS(Movimientos!$E$5:$E$504,Movimientos!$B$5:$B$504,A101,Movimientos!$D$5:$D$504,"Salida"))</f>
      </c>
      <c r="G101" s="11">
        <f>IF(A101="","",E101-F101)</f>
      </c>
      <c r="H101" s="12">
        <f>IF(A101="","",IF(G101&lt;0,"Saldo negativo: revisa",IF(AND(D101&lt;&gt;"",G101&lt;=D101),"En el mínimo o por debajo","Suficiente")))</f>
      </c>
      <c r="I101" s="13"/>
    </row>
    <row r="102" spans="1:9" x14ac:dyDescent="0.25">
      <c r="A102" s="13"/>
      <c r="B102" s="13"/>
      <c r="C102" s="13"/>
      <c r="D102" s="13"/>
      <c r="E102" s="11">
        <f>IF(A102="","",SUMIFS(Movimientos!$E$5:$E$504,Movimientos!$B$5:$B$504,A102,Movimientos!$D$5:$D$504,"Entrada"))</f>
      </c>
      <c r="F102" s="11">
        <f>IF(A102="","",SUMIFS(Movimientos!$E$5:$E$504,Movimientos!$B$5:$B$504,A102,Movimientos!$D$5:$D$504,"Salida"))</f>
      </c>
      <c r="G102" s="11">
        <f>IF(A102="","",E102-F102)</f>
      </c>
      <c r="H102" s="12">
        <f>IF(A102="","",IF(G102&lt;0,"Saldo negativo: revisa",IF(AND(D102&lt;&gt;"",G102&lt;=D102),"En el mínimo o por debajo","Suficiente")))</f>
      </c>
      <c r="I102" s="13"/>
    </row>
    <row r="103" spans="1:9" x14ac:dyDescent="0.25">
      <c r="A103" s="13"/>
      <c r="B103" s="13"/>
      <c r="C103" s="13"/>
      <c r="D103" s="13"/>
      <c r="E103" s="11">
        <f>IF(A103="","",SUMIFS(Movimientos!$E$5:$E$504,Movimientos!$B$5:$B$504,A103,Movimientos!$D$5:$D$504,"Entrada"))</f>
      </c>
      <c r="F103" s="11">
        <f>IF(A103="","",SUMIFS(Movimientos!$E$5:$E$504,Movimientos!$B$5:$B$504,A103,Movimientos!$D$5:$D$504,"Salida"))</f>
      </c>
      <c r="G103" s="11">
        <f>IF(A103="","",E103-F103)</f>
      </c>
      <c r="H103" s="12">
        <f>IF(A103="","",IF(G103&lt;0,"Saldo negativo: revisa",IF(AND(D103&lt;&gt;"",G103&lt;=D103),"En el mínimo o por debajo","Suficiente")))</f>
      </c>
      <c r="I103" s="13"/>
    </row>
    <row r="104" spans="1:9" x14ac:dyDescent="0.25">
      <c r="A104" s="13"/>
      <c r="B104" s="13"/>
      <c r="C104" s="13"/>
      <c r="D104" s="13"/>
      <c r="E104" s="11">
        <f>IF(A104="","",SUMIFS(Movimientos!$E$5:$E$504,Movimientos!$B$5:$B$504,A104,Movimientos!$D$5:$D$504,"Entrada"))</f>
      </c>
      <c r="F104" s="11">
        <f>IF(A104="","",SUMIFS(Movimientos!$E$5:$E$504,Movimientos!$B$5:$B$504,A104,Movimientos!$D$5:$D$504,"Salida"))</f>
      </c>
      <c r="G104" s="11">
        <f>IF(A104="","",E104-F104)</f>
      </c>
      <c r="H104" s="12">
        <f>IF(A104="","",IF(G104&lt;0,"Saldo negativo: revisa",IF(AND(D104&lt;&gt;"",G104&lt;=D104),"En el mínimo o por debajo","Suficiente")))</f>
      </c>
      <c r="I104" s="13"/>
    </row>
  </sheetData>
  <mergeCells count="2">
    <mergeCell ref="A1:I1"/>
    <mergeCell ref="A2:I2"/>
  </mergeCells>
  <conditionalFormatting sqref="A5:I104">
    <cfRule type="expression" dxfId="0" priority="8">
      <formula>LEFT($H5,5)="Saldo"</formula>
    </cfRule>
  </conditionalFormatting>
  <conditionalFormatting sqref="A5:I104">
    <cfRule type="expression" dxfId="1" priority="9">
      <formula>LEFT($H5,2)="En"</formula>
    </cfRule>
  </conditionalFormatting>
  <dataValidations count="2">
    <dataValidation type="list" allowBlank="1" promptTitle="Unidad" showErrorMessage="1" errorStyle="warning" errorTitle="Elige de la lista" error="Elige una opción de la lista desplegable." sqref="C5:C104">
      <formula1>"pieza,caja,frasco,bolsa,kg,litro,otro"</formula1>
    </dataValidation>
    <dataValidation type="decimal" allowBlank="1" promptTitle="Stock mínimo" showErrorMessage="1" errorStyle="warning" errorTitle="Número" error="Escribe un número entre 0 y 1000000." sqref="D5:D104">
      <formula1>0</formula1>
      <formula2>1000000</formula2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L504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32" customWidth="1"/>
    <col min="4" max="5" width="11" customWidth="1"/>
    <col min="6" max="7" width="13" customWidth="1"/>
    <col min="8" max="8" width="16" customWidth="1"/>
    <col min="9" max="9" width="26" customWidth="1"/>
    <col min="10" max="10" width="13" customWidth="1"/>
    <col min="11" max="11" width="22" customWidth="1"/>
    <col min="12" max="12" width="11" customWidth="1"/>
  </cols>
  <sheetData>
    <row r="1" ht="30" customHeight="1" spans="1:12" x14ac:dyDescent="0.25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2" customHeight="1" spans="1:12" x14ac:dyDescent="0.25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ht="34" customHeight="1" spans="1:12" x14ac:dyDescent="0.25">
      <c r="A4" s="8" t="s">
        <v>59</v>
      </c>
      <c r="B4" s="8" t="s">
        <v>35</v>
      </c>
      <c r="C4" s="9" t="s">
        <v>36</v>
      </c>
      <c r="D4" s="8" t="s">
        <v>60</v>
      </c>
      <c r="E4" s="8" t="s">
        <v>61</v>
      </c>
      <c r="F4" s="8" t="s">
        <v>62</v>
      </c>
      <c r="G4" s="8" t="s">
        <v>63</v>
      </c>
      <c r="H4" s="8" t="s">
        <v>64</v>
      </c>
      <c r="I4" s="8" t="s">
        <v>65</v>
      </c>
      <c r="J4" s="9" t="s">
        <v>66</v>
      </c>
      <c r="K4" s="9" t="s">
        <v>67</v>
      </c>
      <c r="L4" s="8" t="s">
        <v>43</v>
      </c>
    </row>
    <row r="5" spans="1:12" x14ac:dyDescent="0.25">
      <c r="A5" s="14">
        <v>46277</v>
      </c>
      <c r="B5" s="10" t="s">
        <v>44</v>
      </c>
      <c r="C5" s="12">
        <f>IF(B5="","",IFERROR(INDEX(Productos!$B$5:$B$104,MATCH(B5,Productos!$A$5:$A$104,0)),"Código no encontrado"))</f>
      </c>
      <c r="D5" s="10" t="s">
        <v>68</v>
      </c>
      <c r="E5" s="15">
        <v>20</v>
      </c>
      <c r="F5" s="10" t="s">
        <v>69</v>
      </c>
      <c r="G5" s="14"/>
      <c r="H5" s="10" t="s">
        <v>70</v>
      </c>
      <c r="I5" s="10" t="s">
        <v>71</v>
      </c>
      <c r="J5" s="11">
        <f>IF(OR(B5="",E5=""),"",SUMIFS($E$5:$E5,$B$5:$B5,B5,$D$5:$D5,"Entrada")-SUMIFS($E$5:$E5,$B$5:$B5,B5,$D$5:$D5,"Salida"))</f>
      </c>
      <c r="K5" s="12">
        <f>IF(J5="","",IF(J5&lt;0,"Saldo negativo: revisa",IFERROR(IF(J5&lt;=INDEX(Productos!$D$5:$D$104,MATCH(B5,Productos!$A$5:$A$104,0)),"En el mínimo o por debajo",""),"")))</f>
      </c>
      <c r="L5" s="10" t="s">
        <v>47</v>
      </c>
    </row>
    <row r="6" spans="1:12" x14ac:dyDescent="0.25">
      <c r="A6" s="14">
        <v>46284</v>
      </c>
      <c r="B6" s="10" t="s">
        <v>44</v>
      </c>
      <c r="C6" s="12">
        <f>IF(B6="","",IFERROR(INDEX(Productos!$B$5:$B$104,MATCH(B6,Productos!$A$5:$A$104,0)),"Código no encontrado"))</f>
      </c>
      <c r="D6" s="10" t="s">
        <v>72</v>
      </c>
      <c r="E6" s="15">
        <v>6</v>
      </c>
      <c r="F6" s="10"/>
      <c r="G6" s="14"/>
      <c r="H6" s="10" t="s">
        <v>70</v>
      </c>
      <c r="I6" s="10" t="s">
        <v>73</v>
      </c>
      <c r="J6" s="11">
        <f>IF(OR(B6="",E6=""),"",SUMIFS($E$5:$E6,$B$5:$B6,B6,$D$5:$D6,"Entrada")-SUMIFS($E$5:$E6,$B$5:$B6,B6,$D$5:$D6,"Salida"))</f>
      </c>
      <c r="K6" s="12">
        <f>IF(J6="","",IF(J6&lt;0,"Saldo negativo: revisa",IFERROR(IF(J6&lt;=INDEX(Productos!$D$5:$D$104,MATCH(B6,Productos!$A$5:$A$104,0)),"En el mínimo o por debajo",""),"")))</f>
      </c>
      <c r="L6" s="10" t="s">
        <v>47</v>
      </c>
    </row>
    <row r="7" spans="1:12" x14ac:dyDescent="0.25">
      <c r="A7" s="14">
        <v>46287</v>
      </c>
      <c r="B7" s="10" t="s">
        <v>48</v>
      </c>
      <c r="C7" s="12">
        <f>IF(B7="","",IFERROR(INDEX(Productos!$B$5:$B$104,MATCH(B7,Productos!$A$5:$A$104,0)),"Código no encontrado"))</f>
      </c>
      <c r="D7" s="10" t="s">
        <v>68</v>
      </c>
      <c r="E7" s="15">
        <v>4</v>
      </c>
      <c r="F7" s="10" t="s">
        <v>74</v>
      </c>
      <c r="G7" s="14">
        <v>46817</v>
      </c>
      <c r="H7" s="10" t="s">
        <v>70</v>
      </c>
      <c r="I7" s="10" t="s">
        <v>75</v>
      </c>
      <c r="J7" s="11">
        <f>IF(OR(B7="",E7=""),"",SUMIFS($E$5:$E7,$B$5:$B7,B7,$D$5:$D7,"Entrada")-SUMIFS($E$5:$E7,$B$5:$B7,B7,$D$5:$D7,"Salida"))</f>
      </c>
      <c r="K7" s="12">
        <f>IF(J7="","",IF(J7&lt;0,"Saldo negativo: revisa",IFERROR(IF(J7&lt;=INDEX(Productos!$D$5:$D$104,MATCH(B7,Productos!$A$5:$A$104,0)),"En el mínimo o por debajo",""),"")))</f>
      </c>
      <c r="L7" s="10" t="s">
        <v>47</v>
      </c>
    </row>
    <row r="8" spans="1:12" x14ac:dyDescent="0.25">
      <c r="A8" s="14">
        <v>46297</v>
      </c>
      <c r="B8" s="10" t="s">
        <v>44</v>
      </c>
      <c r="C8" s="12">
        <f>IF(B8="","",IFERROR(INDEX(Productos!$B$5:$B$104,MATCH(B8,Productos!$A$5:$A$104,0)),"Código no encontrado"))</f>
      </c>
      <c r="D8" s="10" t="s">
        <v>72</v>
      </c>
      <c r="E8" s="15">
        <v>11</v>
      </c>
      <c r="F8" s="10"/>
      <c r="G8" s="14"/>
      <c r="H8" s="10" t="s">
        <v>70</v>
      </c>
      <c r="I8" s="10" t="s">
        <v>73</v>
      </c>
      <c r="J8" s="11">
        <f>IF(OR(B8="",E8=""),"",SUMIFS($E$5:$E8,$B$5:$B8,B8,$D$5:$D8,"Entrada")-SUMIFS($E$5:$E8,$B$5:$B8,B8,$D$5:$D8,"Salida"))</f>
      </c>
      <c r="K8" s="12">
        <f>IF(J8="","",IF(J8&lt;0,"Saldo negativo: revisa",IFERROR(IF(J8&lt;=INDEX(Productos!$D$5:$D$104,MATCH(B8,Productos!$A$5:$A$104,0)),"En el mínimo o por debajo",""),"")))</f>
      </c>
      <c r="L8" s="10" t="s">
        <v>47</v>
      </c>
    </row>
    <row r="9" spans="1:12" x14ac:dyDescent="0.25">
      <c r="A9" s="14">
        <v>46305</v>
      </c>
      <c r="B9" s="10" t="s">
        <v>48</v>
      </c>
      <c r="C9" s="12">
        <f>IF(B9="","",IFERROR(INDEX(Productos!$B$5:$B$104,MATCH(B9,Productos!$A$5:$A$104,0)),"Código no encontrado"))</f>
      </c>
      <c r="D9" s="10" t="s">
        <v>72</v>
      </c>
      <c r="E9" s="15">
        <v>3</v>
      </c>
      <c r="F9" s="10"/>
      <c r="G9" s="14"/>
      <c r="H9" s="10" t="s">
        <v>70</v>
      </c>
      <c r="I9" s="10" t="s">
        <v>76</v>
      </c>
      <c r="J9" s="11">
        <f>IF(OR(B9="",E9=""),"",SUMIFS($E$5:$E9,$B$5:$B9,B9,$D$5:$D9,"Entrada")-SUMIFS($E$5:$E9,$B$5:$B9,B9,$D$5:$D9,"Salida"))</f>
      </c>
      <c r="K9" s="12">
        <f>IF(J9="","",IF(J9&lt;0,"Saldo negativo: revisa",IFERROR(IF(J9&lt;=INDEX(Productos!$D$5:$D$104,MATCH(B9,Productos!$A$5:$A$104,0)),"En el mínimo o por debajo",""),"")))</f>
      </c>
      <c r="L9" s="10" t="s">
        <v>47</v>
      </c>
    </row>
    <row r="10" spans="1:12" x14ac:dyDescent="0.25">
      <c r="A10" s="14">
        <v>46312</v>
      </c>
      <c r="B10" s="10" t="s">
        <v>51</v>
      </c>
      <c r="C10" s="12">
        <f>IF(B10="","",IFERROR(INDEX(Productos!$B$5:$B$104,MATCH(B10,Productos!$A$5:$A$104,0)),"Código no encontrado"))</f>
      </c>
      <c r="D10" s="10" t="s">
        <v>68</v>
      </c>
      <c r="E10" s="15">
        <v>3</v>
      </c>
      <c r="F10" s="10" t="s">
        <v>77</v>
      </c>
      <c r="G10" s="14">
        <v>46517</v>
      </c>
      <c r="H10" s="10" t="s">
        <v>70</v>
      </c>
      <c r="I10" s="10" t="s">
        <v>75</v>
      </c>
      <c r="J10" s="11">
        <f>IF(OR(B10="",E10=""),"",SUMIFS($E$5:$E10,$B$5:$B10,B10,$D$5:$D10,"Entrada")-SUMIFS($E$5:$E10,$B$5:$B10,B10,$D$5:$D10,"Salida"))</f>
      </c>
      <c r="K10" s="12">
        <f>IF(J10="","",IF(J10&lt;0,"Saldo negativo: revisa",IFERROR(IF(J10&lt;=INDEX(Productos!$D$5:$D$104,MATCH(B10,Productos!$A$5:$A$104,0)),"En el mínimo o por debajo",""),"")))</f>
      </c>
      <c r="L10" s="10" t="s">
        <v>47</v>
      </c>
    </row>
    <row r="11" spans="1:12" x14ac:dyDescent="0.25">
      <c r="A11" s="16"/>
      <c r="B11" s="13"/>
      <c r="C11" s="12">
        <f>IF(B11="","",IFERROR(INDEX(Productos!$B$5:$B$104,MATCH(B11,Productos!$A$5:$A$104,0)),"Código no encontrado"))</f>
      </c>
      <c r="D11" s="13"/>
      <c r="E11" s="17"/>
      <c r="F11" s="13"/>
      <c r="G11" s="16"/>
      <c r="H11" s="13"/>
      <c r="I11" s="13"/>
      <c r="J11" s="11">
        <f>IF(OR(B11="",E11=""),"",SUMIFS($E$5:$E11,$B$5:$B11,B11,$D$5:$D11,"Entrada")-SUMIFS($E$5:$E11,$B$5:$B11,B11,$D$5:$D11,"Salida"))</f>
      </c>
      <c r="K11" s="12">
        <f>IF(J11="","",IF(J11&lt;0,"Saldo negativo: revisa",IFERROR(IF(J11&lt;=INDEX(Productos!$D$5:$D$104,MATCH(B11,Productos!$A$5:$A$104,0)),"En el mínimo o por debajo",""),"")))</f>
      </c>
      <c r="L11" s="13"/>
    </row>
    <row r="12" spans="1:12" x14ac:dyDescent="0.25">
      <c r="A12" s="16"/>
      <c r="B12" s="13"/>
      <c r="C12" s="12">
        <f>IF(B12="","",IFERROR(INDEX(Productos!$B$5:$B$104,MATCH(B12,Productos!$A$5:$A$104,0)),"Código no encontrado"))</f>
      </c>
      <c r="D12" s="13"/>
      <c r="E12" s="17"/>
      <c r="F12" s="13"/>
      <c r="G12" s="16"/>
      <c r="H12" s="13"/>
      <c r="I12" s="13"/>
      <c r="J12" s="11">
        <f>IF(OR(B12="",E12=""),"",SUMIFS($E$5:$E12,$B$5:$B12,B12,$D$5:$D12,"Entrada")-SUMIFS($E$5:$E12,$B$5:$B12,B12,$D$5:$D12,"Salida"))</f>
      </c>
      <c r="K12" s="12">
        <f>IF(J12="","",IF(J12&lt;0,"Saldo negativo: revisa",IFERROR(IF(J12&lt;=INDEX(Productos!$D$5:$D$104,MATCH(B12,Productos!$A$5:$A$104,0)),"En el mínimo o por debajo",""),"")))</f>
      </c>
      <c r="L12" s="13"/>
    </row>
    <row r="13" spans="1:12" x14ac:dyDescent="0.25">
      <c r="A13" s="16"/>
      <c r="B13" s="13"/>
      <c r="C13" s="12">
        <f>IF(B13="","",IFERROR(INDEX(Productos!$B$5:$B$104,MATCH(B13,Productos!$A$5:$A$104,0)),"Código no encontrado"))</f>
      </c>
      <c r="D13" s="13"/>
      <c r="E13" s="17"/>
      <c r="F13" s="13"/>
      <c r="G13" s="16"/>
      <c r="H13" s="13"/>
      <c r="I13" s="13"/>
      <c r="J13" s="11">
        <f>IF(OR(B13="",E13=""),"",SUMIFS($E$5:$E13,$B$5:$B13,B13,$D$5:$D13,"Entrada")-SUMIFS($E$5:$E13,$B$5:$B13,B13,$D$5:$D13,"Salida"))</f>
      </c>
      <c r="K13" s="12">
        <f>IF(J13="","",IF(J13&lt;0,"Saldo negativo: revisa",IFERROR(IF(J13&lt;=INDEX(Productos!$D$5:$D$104,MATCH(B13,Productos!$A$5:$A$104,0)),"En el mínimo o por debajo",""),"")))</f>
      </c>
      <c r="L13" s="13"/>
    </row>
    <row r="14" spans="1:12" x14ac:dyDescent="0.25">
      <c r="A14" s="16"/>
      <c r="B14" s="13"/>
      <c r="C14" s="12">
        <f>IF(B14="","",IFERROR(INDEX(Productos!$B$5:$B$104,MATCH(B14,Productos!$A$5:$A$104,0)),"Código no encontrado"))</f>
      </c>
      <c r="D14" s="13"/>
      <c r="E14" s="17"/>
      <c r="F14" s="13"/>
      <c r="G14" s="16"/>
      <c r="H14" s="13"/>
      <c r="I14" s="13"/>
      <c r="J14" s="11">
        <f>IF(OR(B14="",E14=""),"",SUMIFS($E$5:$E14,$B$5:$B14,B14,$D$5:$D14,"Entrada")-SUMIFS($E$5:$E14,$B$5:$B14,B14,$D$5:$D14,"Salida"))</f>
      </c>
      <c r="K14" s="12">
        <f>IF(J14="","",IF(J14&lt;0,"Saldo negativo: revisa",IFERROR(IF(J14&lt;=INDEX(Productos!$D$5:$D$104,MATCH(B14,Productos!$A$5:$A$104,0)),"En el mínimo o por debajo",""),"")))</f>
      </c>
      <c r="L14" s="13"/>
    </row>
    <row r="15" spans="1:12" x14ac:dyDescent="0.25">
      <c r="A15" s="16"/>
      <c r="B15" s="13"/>
      <c r="C15" s="12">
        <f>IF(B15="","",IFERROR(INDEX(Productos!$B$5:$B$104,MATCH(B15,Productos!$A$5:$A$104,0)),"Código no encontrado"))</f>
      </c>
      <c r="D15" s="13"/>
      <c r="E15" s="17"/>
      <c r="F15" s="13"/>
      <c r="G15" s="16"/>
      <c r="H15" s="13"/>
      <c r="I15" s="13"/>
      <c r="J15" s="11">
        <f>IF(OR(B15="",E15=""),"",SUMIFS($E$5:$E15,$B$5:$B15,B15,$D$5:$D15,"Entrada")-SUMIFS($E$5:$E15,$B$5:$B15,B15,$D$5:$D15,"Salida"))</f>
      </c>
      <c r="K15" s="12">
        <f>IF(J15="","",IF(J15&lt;0,"Saldo negativo: revisa",IFERROR(IF(J15&lt;=INDEX(Productos!$D$5:$D$104,MATCH(B15,Productos!$A$5:$A$104,0)),"En el mínimo o por debajo",""),"")))</f>
      </c>
      <c r="L15" s="13"/>
    </row>
    <row r="16" spans="1:12" x14ac:dyDescent="0.25">
      <c r="A16" s="16"/>
      <c r="B16" s="13"/>
      <c r="C16" s="12">
        <f>IF(B16="","",IFERROR(INDEX(Productos!$B$5:$B$104,MATCH(B16,Productos!$A$5:$A$104,0)),"Código no encontrado"))</f>
      </c>
      <c r="D16" s="13"/>
      <c r="E16" s="17"/>
      <c r="F16" s="13"/>
      <c r="G16" s="16"/>
      <c r="H16" s="13"/>
      <c r="I16" s="13"/>
      <c r="J16" s="11">
        <f>IF(OR(B16="",E16=""),"",SUMIFS($E$5:$E16,$B$5:$B16,B16,$D$5:$D16,"Entrada")-SUMIFS($E$5:$E16,$B$5:$B16,B16,$D$5:$D16,"Salida"))</f>
      </c>
      <c r="K16" s="12">
        <f>IF(J16="","",IF(J16&lt;0,"Saldo negativo: revisa",IFERROR(IF(J16&lt;=INDEX(Productos!$D$5:$D$104,MATCH(B16,Productos!$A$5:$A$104,0)),"En el mínimo o por debajo",""),"")))</f>
      </c>
      <c r="L16" s="13"/>
    </row>
    <row r="17" spans="1:12" x14ac:dyDescent="0.25">
      <c r="A17" s="16"/>
      <c r="B17" s="13"/>
      <c r="C17" s="12">
        <f>IF(B17="","",IFERROR(INDEX(Productos!$B$5:$B$104,MATCH(B17,Productos!$A$5:$A$104,0)),"Código no encontrado"))</f>
      </c>
      <c r="D17" s="13"/>
      <c r="E17" s="17"/>
      <c r="F17" s="13"/>
      <c r="G17" s="16"/>
      <c r="H17" s="13"/>
      <c r="I17" s="13"/>
      <c r="J17" s="11">
        <f>IF(OR(B17="",E17=""),"",SUMIFS($E$5:$E17,$B$5:$B17,B17,$D$5:$D17,"Entrada")-SUMIFS($E$5:$E17,$B$5:$B17,B17,$D$5:$D17,"Salida"))</f>
      </c>
      <c r="K17" s="12">
        <f>IF(J17="","",IF(J17&lt;0,"Saldo negativo: revisa",IFERROR(IF(J17&lt;=INDEX(Productos!$D$5:$D$104,MATCH(B17,Productos!$A$5:$A$104,0)),"En el mínimo o por debajo",""),"")))</f>
      </c>
      <c r="L17" s="13"/>
    </row>
    <row r="18" spans="1:12" x14ac:dyDescent="0.25">
      <c r="A18" s="16"/>
      <c r="B18" s="13"/>
      <c r="C18" s="12">
        <f>IF(B18="","",IFERROR(INDEX(Productos!$B$5:$B$104,MATCH(B18,Productos!$A$5:$A$104,0)),"Código no encontrado"))</f>
      </c>
      <c r="D18" s="13"/>
      <c r="E18" s="17"/>
      <c r="F18" s="13"/>
      <c r="G18" s="16"/>
      <c r="H18" s="13"/>
      <c r="I18" s="13"/>
      <c r="J18" s="11">
        <f>IF(OR(B18="",E18=""),"",SUMIFS($E$5:$E18,$B$5:$B18,B18,$D$5:$D18,"Entrada")-SUMIFS($E$5:$E18,$B$5:$B18,B18,$D$5:$D18,"Salida"))</f>
      </c>
      <c r="K18" s="12">
        <f>IF(J18="","",IF(J18&lt;0,"Saldo negativo: revisa",IFERROR(IF(J18&lt;=INDEX(Productos!$D$5:$D$104,MATCH(B18,Productos!$A$5:$A$104,0)),"En el mínimo o por debajo",""),"")))</f>
      </c>
      <c r="L18" s="13"/>
    </row>
    <row r="19" spans="1:12" x14ac:dyDescent="0.25">
      <c r="A19" s="16"/>
      <c r="B19" s="13"/>
      <c r="C19" s="12">
        <f>IF(B19="","",IFERROR(INDEX(Productos!$B$5:$B$104,MATCH(B19,Productos!$A$5:$A$104,0)),"Código no encontrado"))</f>
      </c>
      <c r="D19" s="13"/>
      <c r="E19" s="17"/>
      <c r="F19" s="13"/>
      <c r="G19" s="16"/>
      <c r="H19" s="13"/>
      <c r="I19" s="13"/>
      <c r="J19" s="11">
        <f>IF(OR(B19="",E19=""),"",SUMIFS($E$5:$E19,$B$5:$B19,B19,$D$5:$D19,"Entrada")-SUMIFS($E$5:$E19,$B$5:$B19,B19,$D$5:$D19,"Salida"))</f>
      </c>
      <c r="K19" s="12">
        <f>IF(J19="","",IF(J19&lt;0,"Saldo negativo: revisa",IFERROR(IF(J19&lt;=INDEX(Productos!$D$5:$D$104,MATCH(B19,Productos!$A$5:$A$104,0)),"En el mínimo o por debajo",""),"")))</f>
      </c>
      <c r="L19" s="13"/>
    </row>
    <row r="20" spans="1:12" x14ac:dyDescent="0.25">
      <c r="A20" s="16"/>
      <c r="B20" s="13"/>
      <c r="C20" s="12">
        <f>IF(B20="","",IFERROR(INDEX(Productos!$B$5:$B$104,MATCH(B20,Productos!$A$5:$A$104,0)),"Código no encontrado"))</f>
      </c>
      <c r="D20" s="13"/>
      <c r="E20" s="17"/>
      <c r="F20" s="13"/>
      <c r="G20" s="16"/>
      <c r="H20" s="13"/>
      <c r="I20" s="13"/>
      <c r="J20" s="11">
        <f>IF(OR(B20="",E20=""),"",SUMIFS($E$5:$E20,$B$5:$B20,B20,$D$5:$D20,"Entrada")-SUMIFS($E$5:$E20,$B$5:$B20,B20,$D$5:$D20,"Salida"))</f>
      </c>
      <c r="K20" s="12">
        <f>IF(J20="","",IF(J20&lt;0,"Saldo negativo: revisa",IFERROR(IF(J20&lt;=INDEX(Productos!$D$5:$D$104,MATCH(B20,Productos!$A$5:$A$104,0)),"En el mínimo o por debajo",""),"")))</f>
      </c>
      <c r="L20" s="13"/>
    </row>
    <row r="21" spans="1:12" x14ac:dyDescent="0.25">
      <c r="A21" s="16"/>
      <c r="B21" s="13"/>
      <c r="C21" s="12">
        <f>IF(B21="","",IFERROR(INDEX(Productos!$B$5:$B$104,MATCH(B21,Productos!$A$5:$A$104,0)),"Código no encontrado"))</f>
      </c>
      <c r="D21" s="13"/>
      <c r="E21" s="17"/>
      <c r="F21" s="13"/>
      <c r="G21" s="16"/>
      <c r="H21" s="13"/>
      <c r="I21" s="13"/>
      <c r="J21" s="11">
        <f>IF(OR(B21="",E21=""),"",SUMIFS($E$5:$E21,$B$5:$B21,B21,$D$5:$D21,"Entrada")-SUMIFS($E$5:$E21,$B$5:$B21,B21,$D$5:$D21,"Salida"))</f>
      </c>
      <c r="K21" s="12">
        <f>IF(J21="","",IF(J21&lt;0,"Saldo negativo: revisa",IFERROR(IF(J21&lt;=INDEX(Productos!$D$5:$D$104,MATCH(B21,Productos!$A$5:$A$104,0)),"En el mínimo o por debajo",""),"")))</f>
      </c>
      <c r="L21" s="13"/>
    </row>
    <row r="22" spans="1:12" x14ac:dyDescent="0.25">
      <c r="A22" s="16"/>
      <c r="B22" s="13"/>
      <c r="C22" s="12">
        <f>IF(B22="","",IFERROR(INDEX(Productos!$B$5:$B$104,MATCH(B22,Productos!$A$5:$A$104,0)),"Código no encontrado"))</f>
      </c>
      <c r="D22" s="13"/>
      <c r="E22" s="17"/>
      <c r="F22" s="13"/>
      <c r="G22" s="16"/>
      <c r="H22" s="13"/>
      <c r="I22" s="13"/>
      <c r="J22" s="11">
        <f>IF(OR(B22="",E22=""),"",SUMIFS($E$5:$E22,$B$5:$B22,B22,$D$5:$D22,"Entrada")-SUMIFS($E$5:$E22,$B$5:$B22,B22,$D$5:$D22,"Salida"))</f>
      </c>
      <c r="K22" s="12">
        <f>IF(J22="","",IF(J22&lt;0,"Saldo negativo: revisa",IFERROR(IF(J22&lt;=INDEX(Productos!$D$5:$D$104,MATCH(B22,Productos!$A$5:$A$104,0)),"En el mínimo o por debajo",""),"")))</f>
      </c>
      <c r="L22" s="13"/>
    </row>
    <row r="23" spans="1:12" x14ac:dyDescent="0.25">
      <c r="A23" s="16"/>
      <c r="B23" s="13"/>
      <c r="C23" s="12">
        <f>IF(B23="","",IFERROR(INDEX(Productos!$B$5:$B$104,MATCH(B23,Productos!$A$5:$A$104,0)),"Código no encontrado"))</f>
      </c>
      <c r="D23" s="13"/>
      <c r="E23" s="17"/>
      <c r="F23" s="13"/>
      <c r="G23" s="16"/>
      <c r="H23" s="13"/>
      <c r="I23" s="13"/>
      <c r="J23" s="11">
        <f>IF(OR(B23="",E23=""),"",SUMIFS($E$5:$E23,$B$5:$B23,B23,$D$5:$D23,"Entrada")-SUMIFS($E$5:$E23,$B$5:$B23,B23,$D$5:$D23,"Salida"))</f>
      </c>
      <c r="K23" s="12">
        <f>IF(J23="","",IF(J23&lt;0,"Saldo negativo: revisa",IFERROR(IF(J23&lt;=INDEX(Productos!$D$5:$D$104,MATCH(B23,Productos!$A$5:$A$104,0)),"En el mínimo o por debajo",""),"")))</f>
      </c>
      <c r="L23" s="13"/>
    </row>
    <row r="24" spans="1:12" x14ac:dyDescent="0.25">
      <c r="A24" s="16"/>
      <c r="B24" s="13"/>
      <c r="C24" s="12">
        <f>IF(B24="","",IFERROR(INDEX(Productos!$B$5:$B$104,MATCH(B24,Productos!$A$5:$A$104,0)),"Código no encontrado"))</f>
      </c>
      <c r="D24" s="13"/>
      <c r="E24" s="17"/>
      <c r="F24" s="13"/>
      <c r="G24" s="16"/>
      <c r="H24" s="13"/>
      <c r="I24" s="13"/>
      <c r="J24" s="11">
        <f>IF(OR(B24="",E24=""),"",SUMIFS($E$5:$E24,$B$5:$B24,B24,$D$5:$D24,"Entrada")-SUMIFS($E$5:$E24,$B$5:$B24,B24,$D$5:$D24,"Salida"))</f>
      </c>
      <c r="K24" s="12">
        <f>IF(J24="","",IF(J24&lt;0,"Saldo negativo: revisa",IFERROR(IF(J24&lt;=INDEX(Productos!$D$5:$D$104,MATCH(B24,Productos!$A$5:$A$104,0)),"En el mínimo o por debajo",""),"")))</f>
      </c>
      <c r="L24" s="13"/>
    </row>
    <row r="25" spans="1:12" x14ac:dyDescent="0.25">
      <c r="A25" s="16"/>
      <c r="B25" s="13"/>
      <c r="C25" s="12">
        <f>IF(B25="","",IFERROR(INDEX(Productos!$B$5:$B$104,MATCH(B25,Productos!$A$5:$A$104,0)),"Código no encontrado"))</f>
      </c>
      <c r="D25" s="13"/>
      <c r="E25" s="17"/>
      <c r="F25" s="13"/>
      <c r="G25" s="16"/>
      <c r="H25" s="13"/>
      <c r="I25" s="13"/>
      <c r="J25" s="11">
        <f>IF(OR(B25="",E25=""),"",SUMIFS($E$5:$E25,$B$5:$B25,B25,$D$5:$D25,"Entrada")-SUMIFS($E$5:$E25,$B$5:$B25,B25,$D$5:$D25,"Salida"))</f>
      </c>
      <c r="K25" s="12">
        <f>IF(J25="","",IF(J25&lt;0,"Saldo negativo: revisa",IFERROR(IF(J25&lt;=INDEX(Productos!$D$5:$D$104,MATCH(B25,Productos!$A$5:$A$104,0)),"En el mínimo o por debajo",""),"")))</f>
      </c>
      <c r="L25" s="13"/>
    </row>
    <row r="26" spans="1:12" x14ac:dyDescent="0.25">
      <c r="A26" s="16"/>
      <c r="B26" s="13"/>
      <c r="C26" s="12">
        <f>IF(B26="","",IFERROR(INDEX(Productos!$B$5:$B$104,MATCH(B26,Productos!$A$5:$A$104,0)),"Código no encontrado"))</f>
      </c>
      <c r="D26" s="13"/>
      <c r="E26" s="17"/>
      <c r="F26" s="13"/>
      <c r="G26" s="16"/>
      <c r="H26" s="13"/>
      <c r="I26" s="13"/>
      <c r="J26" s="11">
        <f>IF(OR(B26="",E26=""),"",SUMIFS($E$5:$E26,$B$5:$B26,B26,$D$5:$D26,"Entrada")-SUMIFS($E$5:$E26,$B$5:$B26,B26,$D$5:$D26,"Salida"))</f>
      </c>
      <c r="K26" s="12">
        <f>IF(J26="","",IF(J26&lt;0,"Saldo negativo: revisa",IFERROR(IF(J26&lt;=INDEX(Productos!$D$5:$D$104,MATCH(B26,Productos!$A$5:$A$104,0)),"En el mínimo o por debajo",""),"")))</f>
      </c>
      <c r="L26" s="13"/>
    </row>
    <row r="27" spans="1:12" x14ac:dyDescent="0.25">
      <c r="A27" s="16"/>
      <c r="B27" s="13"/>
      <c r="C27" s="12">
        <f>IF(B27="","",IFERROR(INDEX(Productos!$B$5:$B$104,MATCH(B27,Productos!$A$5:$A$104,0)),"Código no encontrado"))</f>
      </c>
      <c r="D27" s="13"/>
      <c r="E27" s="17"/>
      <c r="F27" s="13"/>
      <c r="G27" s="16"/>
      <c r="H27" s="13"/>
      <c r="I27" s="13"/>
      <c r="J27" s="11">
        <f>IF(OR(B27="",E27=""),"",SUMIFS($E$5:$E27,$B$5:$B27,B27,$D$5:$D27,"Entrada")-SUMIFS($E$5:$E27,$B$5:$B27,B27,$D$5:$D27,"Salida"))</f>
      </c>
      <c r="K27" s="12">
        <f>IF(J27="","",IF(J27&lt;0,"Saldo negativo: revisa",IFERROR(IF(J27&lt;=INDEX(Productos!$D$5:$D$104,MATCH(B27,Productos!$A$5:$A$104,0)),"En el mínimo o por debajo",""),"")))</f>
      </c>
      <c r="L27" s="13"/>
    </row>
    <row r="28" spans="1:12" x14ac:dyDescent="0.25">
      <c r="A28" s="16"/>
      <c r="B28" s="13"/>
      <c r="C28" s="12">
        <f>IF(B28="","",IFERROR(INDEX(Productos!$B$5:$B$104,MATCH(B28,Productos!$A$5:$A$104,0)),"Código no encontrado"))</f>
      </c>
      <c r="D28" s="13"/>
      <c r="E28" s="17"/>
      <c r="F28" s="13"/>
      <c r="G28" s="16"/>
      <c r="H28" s="13"/>
      <c r="I28" s="13"/>
      <c r="J28" s="11">
        <f>IF(OR(B28="",E28=""),"",SUMIFS($E$5:$E28,$B$5:$B28,B28,$D$5:$D28,"Entrada")-SUMIFS($E$5:$E28,$B$5:$B28,B28,$D$5:$D28,"Salida"))</f>
      </c>
      <c r="K28" s="12">
        <f>IF(J28="","",IF(J28&lt;0,"Saldo negativo: revisa",IFERROR(IF(J28&lt;=INDEX(Productos!$D$5:$D$104,MATCH(B28,Productos!$A$5:$A$104,0)),"En el mínimo o por debajo",""),"")))</f>
      </c>
      <c r="L28" s="13"/>
    </row>
    <row r="29" spans="1:12" x14ac:dyDescent="0.25">
      <c r="A29" s="16"/>
      <c r="B29" s="13"/>
      <c r="C29" s="12">
        <f>IF(B29="","",IFERROR(INDEX(Productos!$B$5:$B$104,MATCH(B29,Productos!$A$5:$A$104,0)),"Código no encontrado"))</f>
      </c>
      <c r="D29" s="13"/>
      <c r="E29" s="17"/>
      <c r="F29" s="13"/>
      <c r="G29" s="16"/>
      <c r="H29" s="13"/>
      <c r="I29" s="13"/>
      <c r="J29" s="11">
        <f>IF(OR(B29="",E29=""),"",SUMIFS($E$5:$E29,$B$5:$B29,B29,$D$5:$D29,"Entrada")-SUMIFS($E$5:$E29,$B$5:$B29,B29,$D$5:$D29,"Salida"))</f>
      </c>
      <c r="K29" s="12">
        <f>IF(J29="","",IF(J29&lt;0,"Saldo negativo: revisa",IFERROR(IF(J29&lt;=INDEX(Productos!$D$5:$D$104,MATCH(B29,Productos!$A$5:$A$104,0)),"En el mínimo o por debajo",""),"")))</f>
      </c>
      <c r="L29" s="13"/>
    </row>
    <row r="30" spans="1:12" x14ac:dyDescent="0.25">
      <c r="A30" s="16"/>
      <c r="B30" s="13"/>
      <c r="C30" s="12">
        <f>IF(B30="","",IFERROR(INDEX(Productos!$B$5:$B$104,MATCH(B30,Productos!$A$5:$A$104,0)),"Código no encontrado"))</f>
      </c>
      <c r="D30" s="13"/>
      <c r="E30" s="17"/>
      <c r="F30" s="13"/>
      <c r="G30" s="16"/>
      <c r="H30" s="13"/>
      <c r="I30" s="13"/>
      <c r="J30" s="11">
        <f>IF(OR(B30="",E30=""),"",SUMIFS($E$5:$E30,$B$5:$B30,B30,$D$5:$D30,"Entrada")-SUMIFS($E$5:$E30,$B$5:$B30,B30,$D$5:$D30,"Salida"))</f>
      </c>
      <c r="K30" s="12">
        <f>IF(J30="","",IF(J30&lt;0,"Saldo negativo: revisa",IFERROR(IF(J30&lt;=INDEX(Productos!$D$5:$D$104,MATCH(B30,Productos!$A$5:$A$104,0)),"En el mínimo o por debajo",""),"")))</f>
      </c>
      <c r="L30" s="13"/>
    </row>
    <row r="31" spans="1:12" x14ac:dyDescent="0.25">
      <c r="A31" s="16"/>
      <c r="B31" s="13"/>
      <c r="C31" s="12">
        <f>IF(B31="","",IFERROR(INDEX(Productos!$B$5:$B$104,MATCH(B31,Productos!$A$5:$A$104,0)),"Código no encontrado"))</f>
      </c>
      <c r="D31" s="13"/>
      <c r="E31" s="17"/>
      <c r="F31" s="13"/>
      <c r="G31" s="16"/>
      <c r="H31" s="13"/>
      <c r="I31" s="13"/>
      <c r="J31" s="11">
        <f>IF(OR(B31="",E31=""),"",SUMIFS($E$5:$E31,$B$5:$B31,B31,$D$5:$D31,"Entrada")-SUMIFS($E$5:$E31,$B$5:$B31,B31,$D$5:$D31,"Salida"))</f>
      </c>
      <c r="K31" s="12">
        <f>IF(J31="","",IF(J31&lt;0,"Saldo negativo: revisa",IFERROR(IF(J31&lt;=INDEX(Productos!$D$5:$D$104,MATCH(B31,Productos!$A$5:$A$104,0)),"En el mínimo o por debajo",""),"")))</f>
      </c>
      <c r="L31" s="13"/>
    </row>
    <row r="32" spans="1:12" x14ac:dyDescent="0.25">
      <c r="A32" s="16"/>
      <c r="B32" s="13"/>
      <c r="C32" s="12">
        <f>IF(B32="","",IFERROR(INDEX(Productos!$B$5:$B$104,MATCH(B32,Productos!$A$5:$A$104,0)),"Código no encontrado"))</f>
      </c>
      <c r="D32" s="13"/>
      <c r="E32" s="17"/>
      <c r="F32" s="13"/>
      <c r="G32" s="16"/>
      <c r="H32" s="13"/>
      <c r="I32" s="13"/>
      <c r="J32" s="11">
        <f>IF(OR(B32="",E32=""),"",SUMIFS($E$5:$E32,$B$5:$B32,B32,$D$5:$D32,"Entrada")-SUMIFS($E$5:$E32,$B$5:$B32,B32,$D$5:$D32,"Salida"))</f>
      </c>
      <c r="K32" s="12">
        <f>IF(J32="","",IF(J32&lt;0,"Saldo negativo: revisa",IFERROR(IF(J32&lt;=INDEX(Productos!$D$5:$D$104,MATCH(B32,Productos!$A$5:$A$104,0)),"En el mínimo o por debajo",""),"")))</f>
      </c>
      <c r="L32" s="13"/>
    </row>
    <row r="33" spans="1:12" x14ac:dyDescent="0.25">
      <c r="A33" s="16"/>
      <c r="B33" s="13"/>
      <c r="C33" s="12">
        <f>IF(B33="","",IFERROR(INDEX(Productos!$B$5:$B$104,MATCH(B33,Productos!$A$5:$A$104,0)),"Código no encontrado"))</f>
      </c>
      <c r="D33" s="13"/>
      <c r="E33" s="17"/>
      <c r="F33" s="13"/>
      <c r="G33" s="16"/>
      <c r="H33" s="13"/>
      <c r="I33" s="13"/>
      <c r="J33" s="11">
        <f>IF(OR(B33="",E33=""),"",SUMIFS($E$5:$E33,$B$5:$B33,B33,$D$5:$D33,"Entrada")-SUMIFS($E$5:$E33,$B$5:$B33,B33,$D$5:$D33,"Salida"))</f>
      </c>
      <c r="K33" s="12">
        <f>IF(J33="","",IF(J33&lt;0,"Saldo negativo: revisa",IFERROR(IF(J33&lt;=INDEX(Productos!$D$5:$D$104,MATCH(B33,Productos!$A$5:$A$104,0)),"En el mínimo o por debajo",""),"")))</f>
      </c>
      <c r="L33" s="13"/>
    </row>
    <row r="34" spans="1:12" x14ac:dyDescent="0.25">
      <c r="A34" s="16"/>
      <c r="B34" s="13"/>
      <c r="C34" s="12">
        <f>IF(B34="","",IFERROR(INDEX(Productos!$B$5:$B$104,MATCH(B34,Productos!$A$5:$A$104,0)),"Código no encontrado"))</f>
      </c>
      <c r="D34" s="13"/>
      <c r="E34" s="17"/>
      <c r="F34" s="13"/>
      <c r="G34" s="16"/>
      <c r="H34" s="13"/>
      <c r="I34" s="13"/>
      <c r="J34" s="11">
        <f>IF(OR(B34="",E34=""),"",SUMIFS($E$5:$E34,$B$5:$B34,B34,$D$5:$D34,"Entrada")-SUMIFS($E$5:$E34,$B$5:$B34,B34,$D$5:$D34,"Salida"))</f>
      </c>
      <c r="K34" s="12">
        <f>IF(J34="","",IF(J34&lt;0,"Saldo negativo: revisa",IFERROR(IF(J34&lt;=INDEX(Productos!$D$5:$D$104,MATCH(B34,Productos!$A$5:$A$104,0)),"En el mínimo o por debajo",""),"")))</f>
      </c>
      <c r="L34" s="13"/>
    </row>
    <row r="35" spans="1:12" x14ac:dyDescent="0.25">
      <c r="A35" s="16"/>
      <c r="B35" s="13"/>
      <c r="C35" s="12">
        <f>IF(B35="","",IFERROR(INDEX(Productos!$B$5:$B$104,MATCH(B35,Productos!$A$5:$A$104,0)),"Código no encontrado"))</f>
      </c>
      <c r="D35" s="13"/>
      <c r="E35" s="17"/>
      <c r="F35" s="13"/>
      <c r="G35" s="16"/>
      <c r="H35" s="13"/>
      <c r="I35" s="13"/>
      <c r="J35" s="11">
        <f>IF(OR(B35="",E35=""),"",SUMIFS($E$5:$E35,$B$5:$B35,B35,$D$5:$D35,"Entrada")-SUMIFS($E$5:$E35,$B$5:$B35,B35,$D$5:$D35,"Salida"))</f>
      </c>
      <c r="K35" s="12">
        <f>IF(J35="","",IF(J35&lt;0,"Saldo negativo: revisa",IFERROR(IF(J35&lt;=INDEX(Productos!$D$5:$D$104,MATCH(B35,Productos!$A$5:$A$104,0)),"En el mínimo o por debajo",""),"")))</f>
      </c>
      <c r="L35" s="13"/>
    </row>
    <row r="36" spans="1:12" x14ac:dyDescent="0.25">
      <c r="A36" s="16"/>
      <c r="B36" s="13"/>
      <c r="C36" s="12">
        <f>IF(B36="","",IFERROR(INDEX(Productos!$B$5:$B$104,MATCH(B36,Productos!$A$5:$A$104,0)),"Código no encontrado"))</f>
      </c>
      <c r="D36" s="13"/>
      <c r="E36" s="17"/>
      <c r="F36" s="13"/>
      <c r="G36" s="16"/>
      <c r="H36" s="13"/>
      <c r="I36" s="13"/>
      <c r="J36" s="11">
        <f>IF(OR(B36="",E36=""),"",SUMIFS($E$5:$E36,$B$5:$B36,B36,$D$5:$D36,"Entrada")-SUMIFS($E$5:$E36,$B$5:$B36,B36,$D$5:$D36,"Salida"))</f>
      </c>
      <c r="K36" s="12">
        <f>IF(J36="","",IF(J36&lt;0,"Saldo negativo: revisa",IFERROR(IF(J36&lt;=INDEX(Productos!$D$5:$D$104,MATCH(B36,Productos!$A$5:$A$104,0)),"En el mínimo o por debajo",""),"")))</f>
      </c>
      <c r="L36" s="13"/>
    </row>
    <row r="37" spans="1:12" x14ac:dyDescent="0.25">
      <c r="A37" s="16"/>
      <c r="B37" s="13"/>
      <c r="C37" s="12">
        <f>IF(B37="","",IFERROR(INDEX(Productos!$B$5:$B$104,MATCH(B37,Productos!$A$5:$A$104,0)),"Código no encontrado"))</f>
      </c>
      <c r="D37" s="13"/>
      <c r="E37" s="17"/>
      <c r="F37" s="13"/>
      <c r="G37" s="16"/>
      <c r="H37" s="13"/>
      <c r="I37" s="13"/>
      <c r="J37" s="11">
        <f>IF(OR(B37="",E37=""),"",SUMIFS($E$5:$E37,$B$5:$B37,B37,$D$5:$D37,"Entrada")-SUMIFS($E$5:$E37,$B$5:$B37,B37,$D$5:$D37,"Salida"))</f>
      </c>
      <c r="K37" s="12">
        <f>IF(J37="","",IF(J37&lt;0,"Saldo negativo: revisa",IFERROR(IF(J37&lt;=INDEX(Productos!$D$5:$D$104,MATCH(B37,Productos!$A$5:$A$104,0)),"En el mínimo o por debajo",""),"")))</f>
      </c>
      <c r="L37" s="13"/>
    </row>
    <row r="38" spans="1:12" x14ac:dyDescent="0.25">
      <c r="A38" s="16"/>
      <c r="B38" s="13"/>
      <c r="C38" s="12">
        <f>IF(B38="","",IFERROR(INDEX(Productos!$B$5:$B$104,MATCH(B38,Productos!$A$5:$A$104,0)),"Código no encontrado"))</f>
      </c>
      <c r="D38" s="13"/>
      <c r="E38" s="17"/>
      <c r="F38" s="13"/>
      <c r="G38" s="16"/>
      <c r="H38" s="13"/>
      <c r="I38" s="13"/>
      <c r="J38" s="11">
        <f>IF(OR(B38="",E38=""),"",SUMIFS($E$5:$E38,$B$5:$B38,B38,$D$5:$D38,"Entrada")-SUMIFS($E$5:$E38,$B$5:$B38,B38,$D$5:$D38,"Salida"))</f>
      </c>
      <c r="K38" s="12">
        <f>IF(J38="","",IF(J38&lt;0,"Saldo negativo: revisa",IFERROR(IF(J38&lt;=INDEX(Productos!$D$5:$D$104,MATCH(B38,Productos!$A$5:$A$104,0)),"En el mínimo o por debajo",""),"")))</f>
      </c>
      <c r="L38" s="13"/>
    </row>
    <row r="39" spans="1:12" x14ac:dyDescent="0.25">
      <c r="A39" s="16"/>
      <c r="B39" s="13"/>
      <c r="C39" s="12">
        <f>IF(B39="","",IFERROR(INDEX(Productos!$B$5:$B$104,MATCH(B39,Productos!$A$5:$A$104,0)),"Código no encontrado"))</f>
      </c>
      <c r="D39" s="13"/>
      <c r="E39" s="17"/>
      <c r="F39" s="13"/>
      <c r="G39" s="16"/>
      <c r="H39" s="13"/>
      <c r="I39" s="13"/>
      <c r="J39" s="11">
        <f>IF(OR(B39="",E39=""),"",SUMIFS($E$5:$E39,$B$5:$B39,B39,$D$5:$D39,"Entrada")-SUMIFS($E$5:$E39,$B$5:$B39,B39,$D$5:$D39,"Salida"))</f>
      </c>
      <c r="K39" s="12">
        <f>IF(J39="","",IF(J39&lt;0,"Saldo negativo: revisa",IFERROR(IF(J39&lt;=INDEX(Productos!$D$5:$D$104,MATCH(B39,Productos!$A$5:$A$104,0)),"En el mínimo o por debajo",""),"")))</f>
      </c>
      <c r="L39" s="13"/>
    </row>
    <row r="40" spans="1:12" x14ac:dyDescent="0.25">
      <c r="A40" s="16"/>
      <c r="B40" s="13"/>
      <c r="C40" s="12">
        <f>IF(B40="","",IFERROR(INDEX(Productos!$B$5:$B$104,MATCH(B40,Productos!$A$5:$A$104,0)),"Código no encontrado"))</f>
      </c>
      <c r="D40" s="13"/>
      <c r="E40" s="17"/>
      <c r="F40" s="13"/>
      <c r="G40" s="16"/>
      <c r="H40" s="13"/>
      <c r="I40" s="13"/>
      <c r="J40" s="11">
        <f>IF(OR(B40="",E40=""),"",SUMIFS($E$5:$E40,$B$5:$B40,B40,$D$5:$D40,"Entrada")-SUMIFS($E$5:$E40,$B$5:$B40,B40,$D$5:$D40,"Salida"))</f>
      </c>
      <c r="K40" s="12">
        <f>IF(J40="","",IF(J40&lt;0,"Saldo negativo: revisa",IFERROR(IF(J40&lt;=INDEX(Productos!$D$5:$D$104,MATCH(B40,Productos!$A$5:$A$104,0)),"En el mínimo o por debajo",""),"")))</f>
      </c>
      <c r="L40" s="13"/>
    </row>
    <row r="41" spans="1:12" x14ac:dyDescent="0.25">
      <c r="A41" s="16"/>
      <c r="B41" s="13"/>
      <c r="C41" s="12">
        <f>IF(B41="","",IFERROR(INDEX(Productos!$B$5:$B$104,MATCH(B41,Productos!$A$5:$A$104,0)),"Código no encontrado"))</f>
      </c>
      <c r="D41" s="13"/>
      <c r="E41" s="17"/>
      <c r="F41" s="13"/>
      <c r="G41" s="16"/>
      <c r="H41" s="13"/>
      <c r="I41" s="13"/>
      <c r="J41" s="11">
        <f>IF(OR(B41="",E41=""),"",SUMIFS($E$5:$E41,$B$5:$B41,B41,$D$5:$D41,"Entrada")-SUMIFS($E$5:$E41,$B$5:$B41,B41,$D$5:$D41,"Salida"))</f>
      </c>
      <c r="K41" s="12">
        <f>IF(J41="","",IF(J41&lt;0,"Saldo negativo: revisa",IFERROR(IF(J41&lt;=INDEX(Productos!$D$5:$D$104,MATCH(B41,Productos!$A$5:$A$104,0)),"En el mínimo o por debajo",""),"")))</f>
      </c>
      <c r="L41" s="13"/>
    </row>
    <row r="42" spans="1:12" x14ac:dyDescent="0.25">
      <c r="A42" s="16"/>
      <c r="B42" s="13"/>
      <c r="C42" s="12">
        <f>IF(B42="","",IFERROR(INDEX(Productos!$B$5:$B$104,MATCH(B42,Productos!$A$5:$A$104,0)),"Código no encontrado"))</f>
      </c>
      <c r="D42" s="13"/>
      <c r="E42" s="17"/>
      <c r="F42" s="13"/>
      <c r="G42" s="16"/>
      <c r="H42" s="13"/>
      <c r="I42" s="13"/>
      <c r="J42" s="11">
        <f>IF(OR(B42="",E42=""),"",SUMIFS($E$5:$E42,$B$5:$B42,B42,$D$5:$D42,"Entrada")-SUMIFS($E$5:$E42,$B$5:$B42,B42,$D$5:$D42,"Salida"))</f>
      </c>
      <c r="K42" s="12">
        <f>IF(J42="","",IF(J42&lt;0,"Saldo negativo: revisa",IFERROR(IF(J42&lt;=INDEX(Productos!$D$5:$D$104,MATCH(B42,Productos!$A$5:$A$104,0)),"En el mínimo o por debajo",""),"")))</f>
      </c>
      <c r="L42" s="13"/>
    </row>
    <row r="43" spans="1:12" x14ac:dyDescent="0.25">
      <c r="A43" s="16"/>
      <c r="B43" s="13"/>
      <c r="C43" s="12">
        <f>IF(B43="","",IFERROR(INDEX(Productos!$B$5:$B$104,MATCH(B43,Productos!$A$5:$A$104,0)),"Código no encontrado"))</f>
      </c>
      <c r="D43" s="13"/>
      <c r="E43" s="17"/>
      <c r="F43" s="13"/>
      <c r="G43" s="16"/>
      <c r="H43" s="13"/>
      <c r="I43" s="13"/>
      <c r="J43" s="11">
        <f>IF(OR(B43="",E43=""),"",SUMIFS($E$5:$E43,$B$5:$B43,B43,$D$5:$D43,"Entrada")-SUMIFS($E$5:$E43,$B$5:$B43,B43,$D$5:$D43,"Salida"))</f>
      </c>
      <c r="K43" s="12">
        <f>IF(J43="","",IF(J43&lt;0,"Saldo negativo: revisa",IFERROR(IF(J43&lt;=INDEX(Productos!$D$5:$D$104,MATCH(B43,Productos!$A$5:$A$104,0)),"En el mínimo o por debajo",""),"")))</f>
      </c>
      <c r="L43" s="13"/>
    </row>
    <row r="44" spans="1:12" x14ac:dyDescent="0.25">
      <c r="A44" s="16"/>
      <c r="B44" s="13"/>
      <c r="C44" s="12">
        <f>IF(B44="","",IFERROR(INDEX(Productos!$B$5:$B$104,MATCH(B44,Productos!$A$5:$A$104,0)),"Código no encontrado"))</f>
      </c>
      <c r="D44" s="13"/>
      <c r="E44" s="17"/>
      <c r="F44" s="13"/>
      <c r="G44" s="16"/>
      <c r="H44" s="13"/>
      <c r="I44" s="13"/>
      <c r="J44" s="11">
        <f>IF(OR(B44="",E44=""),"",SUMIFS($E$5:$E44,$B$5:$B44,B44,$D$5:$D44,"Entrada")-SUMIFS($E$5:$E44,$B$5:$B44,B44,$D$5:$D44,"Salida"))</f>
      </c>
      <c r="K44" s="12">
        <f>IF(J44="","",IF(J44&lt;0,"Saldo negativo: revisa",IFERROR(IF(J44&lt;=INDEX(Productos!$D$5:$D$104,MATCH(B44,Productos!$A$5:$A$104,0)),"En el mínimo o por debajo",""),"")))</f>
      </c>
      <c r="L44" s="13"/>
    </row>
    <row r="45" spans="1:12" x14ac:dyDescent="0.25">
      <c r="A45" s="16"/>
      <c r="B45" s="13"/>
      <c r="C45" s="12">
        <f>IF(B45="","",IFERROR(INDEX(Productos!$B$5:$B$104,MATCH(B45,Productos!$A$5:$A$104,0)),"Código no encontrado"))</f>
      </c>
      <c r="D45" s="13"/>
      <c r="E45" s="17"/>
      <c r="F45" s="13"/>
      <c r="G45" s="16"/>
      <c r="H45" s="13"/>
      <c r="I45" s="13"/>
      <c r="J45" s="11">
        <f>IF(OR(B45="",E45=""),"",SUMIFS($E$5:$E45,$B$5:$B45,B45,$D$5:$D45,"Entrada")-SUMIFS($E$5:$E45,$B$5:$B45,B45,$D$5:$D45,"Salida"))</f>
      </c>
      <c r="K45" s="12">
        <f>IF(J45="","",IF(J45&lt;0,"Saldo negativo: revisa",IFERROR(IF(J45&lt;=INDEX(Productos!$D$5:$D$104,MATCH(B45,Productos!$A$5:$A$104,0)),"En el mínimo o por debajo",""),"")))</f>
      </c>
      <c r="L45" s="13"/>
    </row>
    <row r="46" spans="1:12" x14ac:dyDescent="0.25">
      <c r="A46" s="16"/>
      <c r="B46" s="13"/>
      <c r="C46" s="12">
        <f>IF(B46="","",IFERROR(INDEX(Productos!$B$5:$B$104,MATCH(B46,Productos!$A$5:$A$104,0)),"Código no encontrado"))</f>
      </c>
      <c r="D46" s="13"/>
      <c r="E46" s="17"/>
      <c r="F46" s="13"/>
      <c r="G46" s="16"/>
      <c r="H46" s="13"/>
      <c r="I46" s="13"/>
      <c r="J46" s="11">
        <f>IF(OR(B46="",E46=""),"",SUMIFS($E$5:$E46,$B$5:$B46,B46,$D$5:$D46,"Entrada")-SUMIFS($E$5:$E46,$B$5:$B46,B46,$D$5:$D46,"Salida"))</f>
      </c>
      <c r="K46" s="12">
        <f>IF(J46="","",IF(J46&lt;0,"Saldo negativo: revisa",IFERROR(IF(J46&lt;=INDEX(Productos!$D$5:$D$104,MATCH(B46,Productos!$A$5:$A$104,0)),"En el mínimo o por debajo",""),"")))</f>
      </c>
      <c r="L46" s="13"/>
    </row>
    <row r="47" spans="1:12" x14ac:dyDescent="0.25">
      <c r="A47" s="16"/>
      <c r="B47" s="13"/>
      <c r="C47" s="12">
        <f>IF(B47="","",IFERROR(INDEX(Productos!$B$5:$B$104,MATCH(B47,Productos!$A$5:$A$104,0)),"Código no encontrado"))</f>
      </c>
      <c r="D47" s="13"/>
      <c r="E47" s="17"/>
      <c r="F47" s="13"/>
      <c r="G47" s="16"/>
      <c r="H47" s="13"/>
      <c r="I47" s="13"/>
      <c r="J47" s="11">
        <f>IF(OR(B47="",E47=""),"",SUMIFS($E$5:$E47,$B$5:$B47,B47,$D$5:$D47,"Entrada")-SUMIFS($E$5:$E47,$B$5:$B47,B47,$D$5:$D47,"Salida"))</f>
      </c>
      <c r="K47" s="12">
        <f>IF(J47="","",IF(J47&lt;0,"Saldo negativo: revisa",IFERROR(IF(J47&lt;=INDEX(Productos!$D$5:$D$104,MATCH(B47,Productos!$A$5:$A$104,0)),"En el mínimo o por debajo",""),"")))</f>
      </c>
      <c r="L47" s="13"/>
    </row>
    <row r="48" spans="1:12" x14ac:dyDescent="0.25">
      <c r="A48" s="16"/>
      <c r="B48" s="13"/>
      <c r="C48" s="12">
        <f>IF(B48="","",IFERROR(INDEX(Productos!$B$5:$B$104,MATCH(B48,Productos!$A$5:$A$104,0)),"Código no encontrado"))</f>
      </c>
      <c r="D48" s="13"/>
      <c r="E48" s="17"/>
      <c r="F48" s="13"/>
      <c r="G48" s="16"/>
      <c r="H48" s="13"/>
      <c r="I48" s="13"/>
      <c r="J48" s="11">
        <f>IF(OR(B48="",E48=""),"",SUMIFS($E$5:$E48,$B$5:$B48,B48,$D$5:$D48,"Entrada")-SUMIFS($E$5:$E48,$B$5:$B48,B48,$D$5:$D48,"Salida"))</f>
      </c>
      <c r="K48" s="12">
        <f>IF(J48="","",IF(J48&lt;0,"Saldo negativo: revisa",IFERROR(IF(J48&lt;=INDEX(Productos!$D$5:$D$104,MATCH(B48,Productos!$A$5:$A$104,0)),"En el mínimo o por debajo",""),"")))</f>
      </c>
      <c r="L48" s="13"/>
    </row>
    <row r="49" spans="1:12" x14ac:dyDescent="0.25">
      <c r="A49" s="16"/>
      <c r="B49" s="13"/>
      <c r="C49" s="12">
        <f>IF(B49="","",IFERROR(INDEX(Productos!$B$5:$B$104,MATCH(B49,Productos!$A$5:$A$104,0)),"Código no encontrado"))</f>
      </c>
      <c r="D49" s="13"/>
      <c r="E49" s="17"/>
      <c r="F49" s="13"/>
      <c r="G49" s="16"/>
      <c r="H49" s="13"/>
      <c r="I49" s="13"/>
      <c r="J49" s="11">
        <f>IF(OR(B49="",E49=""),"",SUMIFS($E$5:$E49,$B$5:$B49,B49,$D$5:$D49,"Entrada")-SUMIFS($E$5:$E49,$B$5:$B49,B49,$D$5:$D49,"Salida"))</f>
      </c>
      <c r="K49" s="12">
        <f>IF(J49="","",IF(J49&lt;0,"Saldo negativo: revisa",IFERROR(IF(J49&lt;=INDEX(Productos!$D$5:$D$104,MATCH(B49,Productos!$A$5:$A$104,0)),"En el mínimo o por debajo",""),"")))</f>
      </c>
      <c r="L49" s="13"/>
    </row>
    <row r="50" spans="1:12" x14ac:dyDescent="0.25">
      <c r="A50" s="16"/>
      <c r="B50" s="13"/>
      <c r="C50" s="12">
        <f>IF(B50="","",IFERROR(INDEX(Productos!$B$5:$B$104,MATCH(B50,Productos!$A$5:$A$104,0)),"Código no encontrado"))</f>
      </c>
      <c r="D50" s="13"/>
      <c r="E50" s="17"/>
      <c r="F50" s="13"/>
      <c r="G50" s="16"/>
      <c r="H50" s="13"/>
      <c r="I50" s="13"/>
      <c r="J50" s="11">
        <f>IF(OR(B50="",E50=""),"",SUMIFS($E$5:$E50,$B$5:$B50,B50,$D$5:$D50,"Entrada")-SUMIFS($E$5:$E50,$B$5:$B50,B50,$D$5:$D50,"Salida"))</f>
      </c>
      <c r="K50" s="12">
        <f>IF(J50="","",IF(J50&lt;0,"Saldo negativo: revisa",IFERROR(IF(J50&lt;=INDEX(Productos!$D$5:$D$104,MATCH(B50,Productos!$A$5:$A$104,0)),"En el mínimo o por debajo",""),"")))</f>
      </c>
      <c r="L50" s="13"/>
    </row>
    <row r="51" spans="1:12" x14ac:dyDescent="0.25">
      <c r="A51" s="16"/>
      <c r="B51" s="13"/>
      <c r="C51" s="12">
        <f>IF(B51="","",IFERROR(INDEX(Productos!$B$5:$B$104,MATCH(B51,Productos!$A$5:$A$104,0)),"Código no encontrado"))</f>
      </c>
      <c r="D51" s="13"/>
      <c r="E51" s="17"/>
      <c r="F51" s="13"/>
      <c r="G51" s="16"/>
      <c r="H51" s="13"/>
      <c r="I51" s="13"/>
      <c r="J51" s="11">
        <f>IF(OR(B51="",E51=""),"",SUMIFS($E$5:$E51,$B$5:$B51,B51,$D$5:$D51,"Entrada")-SUMIFS($E$5:$E51,$B$5:$B51,B51,$D$5:$D51,"Salida"))</f>
      </c>
      <c r="K51" s="12">
        <f>IF(J51="","",IF(J51&lt;0,"Saldo negativo: revisa",IFERROR(IF(J51&lt;=INDEX(Productos!$D$5:$D$104,MATCH(B51,Productos!$A$5:$A$104,0)),"En el mínimo o por debajo",""),"")))</f>
      </c>
      <c r="L51" s="13"/>
    </row>
    <row r="52" spans="1:12" x14ac:dyDescent="0.25">
      <c r="A52" s="16"/>
      <c r="B52" s="13"/>
      <c r="C52" s="12">
        <f>IF(B52="","",IFERROR(INDEX(Productos!$B$5:$B$104,MATCH(B52,Productos!$A$5:$A$104,0)),"Código no encontrado"))</f>
      </c>
      <c r="D52" s="13"/>
      <c r="E52" s="17"/>
      <c r="F52" s="13"/>
      <c r="G52" s="16"/>
      <c r="H52" s="13"/>
      <c r="I52" s="13"/>
      <c r="J52" s="11">
        <f>IF(OR(B52="",E52=""),"",SUMIFS($E$5:$E52,$B$5:$B52,B52,$D$5:$D52,"Entrada")-SUMIFS($E$5:$E52,$B$5:$B52,B52,$D$5:$D52,"Salida"))</f>
      </c>
      <c r="K52" s="12">
        <f>IF(J52="","",IF(J52&lt;0,"Saldo negativo: revisa",IFERROR(IF(J52&lt;=INDEX(Productos!$D$5:$D$104,MATCH(B52,Productos!$A$5:$A$104,0)),"En el mínimo o por debajo",""),"")))</f>
      </c>
      <c r="L52" s="13"/>
    </row>
    <row r="53" spans="1:12" x14ac:dyDescent="0.25">
      <c r="A53" s="16"/>
      <c r="B53" s="13"/>
      <c r="C53" s="12">
        <f>IF(B53="","",IFERROR(INDEX(Productos!$B$5:$B$104,MATCH(B53,Productos!$A$5:$A$104,0)),"Código no encontrado"))</f>
      </c>
      <c r="D53" s="13"/>
      <c r="E53" s="17"/>
      <c r="F53" s="13"/>
      <c r="G53" s="16"/>
      <c r="H53" s="13"/>
      <c r="I53" s="13"/>
      <c r="J53" s="11">
        <f>IF(OR(B53="",E53=""),"",SUMIFS($E$5:$E53,$B$5:$B53,B53,$D$5:$D53,"Entrada")-SUMIFS($E$5:$E53,$B$5:$B53,B53,$D$5:$D53,"Salida"))</f>
      </c>
      <c r="K53" s="12">
        <f>IF(J53="","",IF(J53&lt;0,"Saldo negativo: revisa",IFERROR(IF(J53&lt;=INDEX(Productos!$D$5:$D$104,MATCH(B53,Productos!$A$5:$A$104,0)),"En el mínimo o por debajo",""),"")))</f>
      </c>
      <c r="L53" s="13"/>
    </row>
    <row r="54" spans="1:12" x14ac:dyDescent="0.25">
      <c r="A54" s="16"/>
      <c r="B54" s="13"/>
      <c r="C54" s="12">
        <f>IF(B54="","",IFERROR(INDEX(Productos!$B$5:$B$104,MATCH(B54,Productos!$A$5:$A$104,0)),"Código no encontrado"))</f>
      </c>
      <c r="D54" s="13"/>
      <c r="E54" s="17"/>
      <c r="F54" s="13"/>
      <c r="G54" s="16"/>
      <c r="H54" s="13"/>
      <c r="I54" s="13"/>
      <c r="J54" s="11">
        <f>IF(OR(B54="",E54=""),"",SUMIFS($E$5:$E54,$B$5:$B54,B54,$D$5:$D54,"Entrada")-SUMIFS($E$5:$E54,$B$5:$B54,B54,$D$5:$D54,"Salida"))</f>
      </c>
      <c r="K54" s="12">
        <f>IF(J54="","",IF(J54&lt;0,"Saldo negativo: revisa",IFERROR(IF(J54&lt;=INDEX(Productos!$D$5:$D$104,MATCH(B54,Productos!$A$5:$A$104,0)),"En el mínimo o por debajo",""),"")))</f>
      </c>
      <c r="L54" s="13"/>
    </row>
    <row r="55" spans="1:12" x14ac:dyDescent="0.25">
      <c r="A55" s="16"/>
      <c r="B55" s="13"/>
      <c r="C55" s="12">
        <f>IF(B55="","",IFERROR(INDEX(Productos!$B$5:$B$104,MATCH(B55,Productos!$A$5:$A$104,0)),"Código no encontrado"))</f>
      </c>
      <c r="D55" s="13"/>
      <c r="E55" s="17"/>
      <c r="F55" s="13"/>
      <c r="G55" s="16"/>
      <c r="H55" s="13"/>
      <c r="I55" s="13"/>
      <c r="J55" s="11">
        <f>IF(OR(B55="",E55=""),"",SUMIFS($E$5:$E55,$B$5:$B55,B55,$D$5:$D55,"Entrada")-SUMIFS($E$5:$E55,$B$5:$B55,B55,$D$5:$D55,"Salida"))</f>
      </c>
      <c r="K55" s="12">
        <f>IF(J55="","",IF(J55&lt;0,"Saldo negativo: revisa",IFERROR(IF(J55&lt;=INDEX(Productos!$D$5:$D$104,MATCH(B55,Productos!$A$5:$A$104,0)),"En el mínimo o por debajo",""),"")))</f>
      </c>
      <c r="L55" s="13"/>
    </row>
    <row r="56" spans="1:12" x14ac:dyDescent="0.25">
      <c r="A56" s="16"/>
      <c r="B56" s="13"/>
      <c r="C56" s="12">
        <f>IF(B56="","",IFERROR(INDEX(Productos!$B$5:$B$104,MATCH(B56,Productos!$A$5:$A$104,0)),"Código no encontrado"))</f>
      </c>
      <c r="D56" s="13"/>
      <c r="E56" s="17"/>
      <c r="F56" s="13"/>
      <c r="G56" s="16"/>
      <c r="H56" s="13"/>
      <c r="I56" s="13"/>
      <c r="J56" s="11">
        <f>IF(OR(B56="",E56=""),"",SUMIFS($E$5:$E56,$B$5:$B56,B56,$D$5:$D56,"Entrada")-SUMIFS($E$5:$E56,$B$5:$B56,B56,$D$5:$D56,"Salida"))</f>
      </c>
      <c r="K56" s="12">
        <f>IF(J56="","",IF(J56&lt;0,"Saldo negativo: revisa",IFERROR(IF(J56&lt;=INDEX(Productos!$D$5:$D$104,MATCH(B56,Productos!$A$5:$A$104,0)),"En el mínimo o por debajo",""),"")))</f>
      </c>
      <c r="L56" s="13"/>
    </row>
    <row r="57" spans="1:12" x14ac:dyDescent="0.25">
      <c r="A57" s="16"/>
      <c r="B57" s="13"/>
      <c r="C57" s="12">
        <f>IF(B57="","",IFERROR(INDEX(Productos!$B$5:$B$104,MATCH(B57,Productos!$A$5:$A$104,0)),"Código no encontrado"))</f>
      </c>
      <c r="D57" s="13"/>
      <c r="E57" s="17"/>
      <c r="F57" s="13"/>
      <c r="G57" s="16"/>
      <c r="H57" s="13"/>
      <c r="I57" s="13"/>
      <c r="J57" s="11">
        <f>IF(OR(B57="",E57=""),"",SUMIFS($E$5:$E57,$B$5:$B57,B57,$D$5:$D57,"Entrada")-SUMIFS($E$5:$E57,$B$5:$B57,B57,$D$5:$D57,"Salida"))</f>
      </c>
      <c r="K57" s="12">
        <f>IF(J57="","",IF(J57&lt;0,"Saldo negativo: revisa",IFERROR(IF(J57&lt;=INDEX(Productos!$D$5:$D$104,MATCH(B57,Productos!$A$5:$A$104,0)),"En el mínimo o por debajo",""),"")))</f>
      </c>
      <c r="L57" s="13"/>
    </row>
    <row r="58" spans="1:12" x14ac:dyDescent="0.25">
      <c r="A58" s="16"/>
      <c r="B58" s="13"/>
      <c r="C58" s="12">
        <f>IF(B58="","",IFERROR(INDEX(Productos!$B$5:$B$104,MATCH(B58,Productos!$A$5:$A$104,0)),"Código no encontrado"))</f>
      </c>
      <c r="D58" s="13"/>
      <c r="E58" s="17"/>
      <c r="F58" s="13"/>
      <c r="G58" s="16"/>
      <c r="H58" s="13"/>
      <c r="I58" s="13"/>
      <c r="J58" s="11">
        <f>IF(OR(B58="",E58=""),"",SUMIFS($E$5:$E58,$B$5:$B58,B58,$D$5:$D58,"Entrada")-SUMIFS($E$5:$E58,$B$5:$B58,B58,$D$5:$D58,"Salida"))</f>
      </c>
      <c r="K58" s="12">
        <f>IF(J58="","",IF(J58&lt;0,"Saldo negativo: revisa",IFERROR(IF(J58&lt;=INDEX(Productos!$D$5:$D$104,MATCH(B58,Productos!$A$5:$A$104,0)),"En el mínimo o por debajo",""),"")))</f>
      </c>
      <c r="L58" s="13"/>
    </row>
    <row r="59" spans="1:12" x14ac:dyDescent="0.25">
      <c r="A59" s="16"/>
      <c r="B59" s="13"/>
      <c r="C59" s="12">
        <f>IF(B59="","",IFERROR(INDEX(Productos!$B$5:$B$104,MATCH(B59,Productos!$A$5:$A$104,0)),"Código no encontrado"))</f>
      </c>
      <c r="D59" s="13"/>
      <c r="E59" s="17"/>
      <c r="F59" s="13"/>
      <c r="G59" s="16"/>
      <c r="H59" s="13"/>
      <c r="I59" s="13"/>
      <c r="J59" s="11">
        <f>IF(OR(B59="",E59=""),"",SUMIFS($E$5:$E59,$B$5:$B59,B59,$D$5:$D59,"Entrada")-SUMIFS($E$5:$E59,$B$5:$B59,B59,$D$5:$D59,"Salida"))</f>
      </c>
      <c r="K59" s="12">
        <f>IF(J59="","",IF(J59&lt;0,"Saldo negativo: revisa",IFERROR(IF(J59&lt;=INDEX(Productos!$D$5:$D$104,MATCH(B59,Productos!$A$5:$A$104,0)),"En el mínimo o por debajo",""),"")))</f>
      </c>
      <c r="L59" s="13"/>
    </row>
    <row r="60" spans="1:12" x14ac:dyDescent="0.25">
      <c r="A60" s="16"/>
      <c r="B60" s="13"/>
      <c r="C60" s="12">
        <f>IF(B60="","",IFERROR(INDEX(Productos!$B$5:$B$104,MATCH(B60,Productos!$A$5:$A$104,0)),"Código no encontrado"))</f>
      </c>
      <c r="D60" s="13"/>
      <c r="E60" s="17"/>
      <c r="F60" s="13"/>
      <c r="G60" s="16"/>
      <c r="H60" s="13"/>
      <c r="I60" s="13"/>
      <c r="J60" s="11">
        <f>IF(OR(B60="",E60=""),"",SUMIFS($E$5:$E60,$B$5:$B60,B60,$D$5:$D60,"Entrada")-SUMIFS($E$5:$E60,$B$5:$B60,B60,$D$5:$D60,"Salida"))</f>
      </c>
      <c r="K60" s="12">
        <f>IF(J60="","",IF(J60&lt;0,"Saldo negativo: revisa",IFERROR(IF(J60&lt;=INDEX(Productos!$D$5:$D$104,MATCH(B60,Productos!$A$5:$A$104,0)),"En el mínimo o por debajo",""),"")))</f>
      </c>
      <c r="L60" s="13"/>
    </row>
    <row r="61" spans="1:12" x14ac:dyDescent="0.25">
      <c r="A61" s="16"/>
      <c r="B61" s="13"/>
      <c r="C61" s="12">
        <f>IF(B61="","",IFERROR(INDEX(Productos!$B$5:$B$104,MATCH(B61,Productos!$A$5:$A$104,0)),"Código no encontrado"))</f>
      </c>
      <c r="D61" s="13"/>
      <c r="E61" s="17"/>
      <c r="F61" s="13"/>
      <c r="G61" s="16"/>
      <c r="H61" s="13"/>
      <c r="I61" s="13"/>
      <c r="J61" s="11">
        <f>IF(OR(B61="",E61=""),"",SUMIFS($E$5:$E61,$B$5:$B61,B61,$D$5:$D61,"Entrada")-SUMIFS($E$5:$E61,$B$5:$B61,B61,$D$5:$D61,"Salida"))</f>
      </c>
      <c r="K61" s="12">
        <f>IF(J61="","",IF(J61&lt;0,"Saldo negativo: revisa",IFERROR(IF(J61&lt;=INDEX(Productos!$D$5:$D$104,MATCH(B61,Productos!$A$5:$A$104,0)),"En el mínimo o por debajo",""),"")))</f>
      </c>
      <c r="L61" s="13"/>
    </row>
    <row r="62" spans="1:12" x14ac:dyDescent="0.25">
      <c r="A62" s="16"/>
      <c r="B62" s="13"/>
      <c r="C62" s="12">
        <f>IF(B62="","",IFERROR(INDEX(Productos!$B$5:$B$104,MATCH(B62,Productos!$A$5:$A$104,0)),"Código no encontrado"))</f>
      </c>
      <c r="D62" s="13"/>
      <c r="E62" s="17"/>
      <c r="F62" s="13"/>
      <c r="G62" s="16"/>
      <c r="H62" s="13"/>
      <c r="I62" s="13"/>
      <c r="J62" s="11">
        <f>IF(OR(B62="",E62=""),"",SUMIFS($E$5:$E62,$B$5:$B62,B62,$D$5:$D62,"Entrada")-SUMIFS($E$5:$E62,$B$5:$B62,B62,$D$5:$D62,"Salida"))</f>
      </c>
      <c r="K62" s="12">
        <f>IF(J62="","",IF(J62&lt;0,"Saldo negativo: revisa",IFERROR(IF(J62&lt;=INDEX(Productos!$D$5:$D$104,MATCH(B62,Productos!$A$5:$A$104,0)),"En el mínimo o por debajo",""),"")))</f>
      </c>
      <c r="L62" s="13"/>
    </row>
    <row r="63" spans="1:12" x14ac:dyDescent="0.25">
      <c r="A63" s="16"/>
      <c r="B63" s="13"/>
      <c r="C63" s="12">
        <f>IF(B63="","",IFERROR(INDEX(Productos!$B$5:$B$104,MATCH(B63,Productos!$A$5:$A$104,0)),"Código no encontrado"))</f>
      </c>
      <c r="D63" s="13"/>
      <c r="E63" s="17"/>
      <c r="F63" s="13"/>
      <c r="G63" s="16"/>
      <c r="H63" s="13"/>
      <c r="I63" s="13"/>
      <c r="J63" s="11">
        <f>IF(OR(B63="",E63=""),"",SUMIFS($E$5:$E63,$B$5:$B63,B63,$D$5:$D63,"Entrada")-SUMIFS($E$5:$E63,$B$5:$B63,B63,$D$5:$D63,"Salida"))</f>
      </c>
      <c r="K63" s="12">
        <f>IF(J63="","",IF(J63&lt;0,"Saldo negativo: revisa",IFERROR(IF(J63&lt;=INDEX(Productos!$D$5:$D$104,MATCH(B63,Productos!$A$5:$A$104,0)),"En el mínimo o por debajo",""),"")))</f>
      </c>
      <c r="L63" s="13"/>
    </row>
    <row r="64" spans="1:12" x14ac:dyDescent="0.25">
      <c r="A64" s="16"/>
      <c r="B64" s="13"/>
      <c r="C64" s="12">
        <f>IF(B64="","",IFERROR(INDEX(Productos!$B$5:$B$104,MATCH(B64,Productos!$A$5:$A$104,0)),"Código no encontrado"))</f>
      </c>
      <c r="D64" s="13"/>
      <c r="E64" s="17"/>
      <c r="F64" s="13"/>
      <c r="G64" s="16"/>
      <c r="H64" s="13"/>
      <c r="I64" s="13"/>
      <c r="J64" s="11">
        <f>IF(OR(B64="",E64=""),"",SUMIFS($E$5:$E64,$B$5:$B64,B64,$D$5:$D64,"Entrada")-SUMIFS($E$5:$E64,$B$5:$B64,B64,$D$5:$D64,"Salida"))</f>
      </c>
      <c r="K64" s="12">
        <f>IF(J64="","",IF(J64&lt;0,"Saldo negativo: revisa",IFERROR(IF(J64&lt;=INDEX(Productos!$D$5:$D$104,MATCH(B64,Productos!$A$5:$A$104,0)),"En el mínimo o por debajo",""),"")))</f>
      </c>
      <c r="L64" s="13"/>
    </row>
    <row r="65" spans="1:12" x14ac:dyDescent="0.25">
      <c r="A65" s="16"/>
      <c r="B65" s="13"/>
      <c r="C65" s="12">
        <f>IF(B65="","",IFERROR(INDEX(Productos!$B$5:$B$104,MATCH(B65,Productos!$A$5:$A$104,0)),"Código no encontrado"))</f>
      </c>
      <c r="D65" s="13"/>
      <c r="E65" s="17"/>
      <c r="F65" s="13"/>
      <c r="G65" s="16"/>
      <c r="H65" s="13"/>
      <c r="I65" s="13"/>
      <c r="J65" s="11">
        <f>IF(OR(B65="",E65=""),"",SUMIFS($E$5:$E65,$B$5:$B65,B65,$D$5:$D65,"Entrada")-SUMIFS($E$5:$E65,$B$5:$B65,B65,$D$5:$D65,"Salida"))</f>
      </c>
      <c r="K65" s="12">
        <f>IF(J65="","",IF(J65&lt;0,"Saldo negativo: revisa",IFERROR(IF(J65&lt;=INDEX(Productos!$D$5:$D$104,MATCH(B65,Productos!$A$5:$A$104,0)),"En el mínimo o por debajo",""),"")))</f>
      </c>
      <c r="L65" s="13"/>
    </row>
    <row r="66" spans="1:12" x14ac:dyDescent="0.25">
      <c r="A66" s="16"/>
      <c r="B66" s="13"/>
      <c r="C66" s="12">
        <f>IF(B66="","",IFERROR(INDEX(Productos!$B$5:$B$104,MATCH(B66,Productos!$A$5:$A$104,0)),"Código no encontrado"))</f>
      </c>
      <c r="D66" s="13"/>
      <c r="E66" s="17"/>
      <c r="F66" s="13"/>
      <c r="G66" s="16"/>
      <c r="H66" s="13"/>
      <c r="I66" s="13"/>
      <c r="J66" s="11">
        <f>IF(OR(B66="",E66=""),"",SUMIFS($E$5:$E66,$B$5:$B66,B66,$D$5:$D66,"Entrada")-SUMIFS($E$5:$E66,$B$5:$B66,B66,$D$5:$D66,"Salida"))</f>
      </c>
      <c r="K66" s="12">
        <f>IF(J66="","",IF(J66&lt;0,"Saldo negativo: revisa",IFERROR(IF(J66&lt;=INDEX(Productos!$D$5:$D$104,MATCH(B66,Productos!$A$5:$A$104,0)),"En el mínimo o por debajo",""),"")))</f>
      </c>
      <c r="L66" s="13"/>
    </row>
    <row r="67" spans="1:12" x14ac:dyDescent="0.25">
      <c r="A67" s="16"/>
      <c r="B67" s="13"/>
      <c r="C67" s="12">
        <f>IF(B67="","",IFERROR(INDEX(Productos!$B$5:$B$104,MATCH(B67,Productos!$A$5:$A$104,0)),"Código no encontrado"))</f>
      </c>
      <c r="D67" s="13"/>
      <c r="E67" s="17"/>
      <c r="F67" s="13"/>
      <c r="G67" s="16"/>
      <c r="H67" s="13"/>
      <c r="I67" s="13"/>
      <c r="J67" s="11">
        <f>IF(OR(B67="",E67=""),"",SUMIFS($E$5:$E67,$B$5:$B67,B67,$D$5:$D67,"Entrada")-SUMIFS($E$5:$E67,$B$5:$B67,B67,$D$5:$D67,"Salida"))</f>
      </c>
      <c r="K67" s="12">
        <f>IF(J67="","",IF(J67&lt;0,"Saldo negativo: revisa",IFERROR(IF(J67&lt;=INDEX(Productos!$D$5:$D$104,MATCH(B67,Productos!$A$5:$A$104,0)),"En el mínimo o por debajo",""),"")))</f>
      </c>
      <c r="L67" s="13"/>
    </row>
    <row r="68" spans="1:12" x14ac:dyDescent="0.25">
      <c r="A68" s="16"/>
      <c r="B68" s="13"/>
      <c r="C68" s="12">
        <f>IF(B68="","",IFERROR(INDEX(Productos!$B$5:$B$104,MATCH(B68,Productos!$A$5:$A$104,0)),"Código no encontrado"))</f>
      </c>
      <c r="D68" s="13"/>
      <c r="E68" s="17"/>
      <c r="F68" s="13"/>
      <c r="G68" s="16"/>
      <c r="H68" s="13"/>
      <c r="I68" s="13"/>
      <c r="J68" s="11">
        <f>IF(OR(B68="",E68=""),"",SUMIFS($E$5:$E68,$B$5:$B68,B68,$D$5:$D68,"Entrada")-SUMIFS($E$5:$E68,$B$5:$B68,B68,$D$5:$D68,"Salida"))</f>
      </c>
      <c r="K68" s="12">
        <f>IF(J68="","",IF(J68&lt;0,"Saldo negativo: revisa",IFERROR(IF(J68&lt;=INDEX(Productos!$D$5:$D$104,MATCH(B68,Productos!$A$5:$A$104,0)),"En el mínimo o por debajo",""),"")))</f>
      </c>
      <c r="L68" s="13"/>
    </row>
    <row r="69" spans="1:12" x14ac:dyDescent="0.25">
      <c r="A69" s="16"/>
      <c r="B69" s="13"/>
      <c r="C69" s="12">
        <f>IF(B69="","",IFERROR(INDEX(Productos!$B$5:$B$104,MATCH(B69,Productos!$A$5:$A$104,0)),"Código no encontrado"))</f>
      </c>
      <c r="D69" s="13"/>
      <c r="E69" s="17"/>
      <c r="F69" s="13"/>
      <c r="G69" s="16"/>
      <c r="H69" s="13"/>
      <c r="I69" s="13"/>
      <c r="J69" s="11">
        <f>IF(OR(B69="",E69=""),"",SUMIFS($E$5:$E69,$B$5:$B69,B69,$D$5:$D69,"Entrada")-SUMIFS($E$5:$E69,$B$5:$B69,B69,$D$5:$D69,"Salida"))</f>
      </c>
      <c r="K69" s="12">
        <f>IF(J69="","",IF(J69&lt;0,"Saldo negativo: revisa",IFERROR(IF(J69&lt;=INDEX(Productos!$D$5:$D$104,MATCH(B69,Productos!$A$5:$A$104,0)),"En el mínimo o por debajo",""),"")))</f>
      </c>
      <c r="L69" s="13"/>
    </row>
    <row r="70" spans="1:12" x14ac:dyDescent="0.25">
      <c r="A70" s="16"/>
      <c r="B70" s="13"/>
      <c r="C70" s="12">
        <f>IF(B70="","",IFERROR(INDEX(Productos!$B$5:$B$104,MATCH(B70,Productos!$A$5:$A$104,0)),"Código no encontrado"))</f>
      </c>
      <c r="D70" s="13"/>
      <c r="E70" s="17"/>
      <c r="F70" s="13"/>
      <c r="G70" s="16"/>
      <c r="H70" s="13"/>
      <c r="I70" s="13"/>
      <c r="J70" s="11">
        <f>IF(OR(B70="",E70=""),"",SUMIFS($E$5:$E70,$B$5:$B70,B70,$D$5:$D70,"Entrada")-SUMIFS($E$5:$E70,$B$5:$B70,B70,$D$5:$D70,"Salida"))</f>
      </c>
      <c r="K70" s="12">
        <f>IF(J70="","",IF(J70&lt;0,"Saldo negativo: revisa",IFERROR(IF(J70&lt;=INDEX(Productos!$D$5:$D$104,MATCH(B70,Productos!$A$5:$A$104,0)),"En el mínimo o por debajo",""),"")))</f>
      </c>
      <c r="L70" s="13"/>
    </row>
    <row r="71" spans="1:12" x14ac:dyDescent="0.25">
      <c r="A71" s="16"/>
      <c r="B71" s="13"/>
      <c r="C71" s="12">
        <f>IF(B71="","",IFERROR(INDEX(Productos!$B$5:$B$104,MATCH(B71,Productos!$A$5:$A$104,0)),"Código no encontrado"))</f>
      </c>
      <c r="D71" s="13"/>
      <c r="E71" s="17"/>
      <c r="F71" s="13"/>
      <c r="G71" s="16"/>
      <c r="H71" s="13"/>
      <c r="I71" s="13"/>
      <c r="J71" s="11">
        <f>IF(OR(B71="",E71=""),"",SUMIFS($E$5:$E71,$B$5:$B71,B71,$D$5:$D71,"Entrada")-SUMIFS($E$5:$E71,$B$5:$B71,B71,$D$5:$D71,"Salida"))</f>
      </c>
      <c r="K71" s="12">
        <f>IF(J71="","",IF(J71&lt;0,"Saldo negativo: revisa",IFERROR(IF(J71&lt;=INDEX(Productos!$D$5:$D$104,MATCH(B71,Productos!$A$5:$A$104,0)),"En el mínimo o por debajo",""),"")))</f>
      </c>
      <c r="L71" s="13"/>
    </row>
    <row r="72" spans="1:12" x14ac:dyDescent="0.25">
      <c r="A72" s="16"/>
      <c r="B72" s="13"/>
      <c r="C72" s="12">
        <f>IF(B72="","",IFERROR(INDEX(Productos!$B$5:$B$104,MATCH(B72,Productos!$A$5:$A$104,0)),"Código no encontrado"))</f>
      </c>
      <c r="D72" s="13"/>
      <c r="E72" s="17"/>
      <c r="F72" s="13"/>
      <c r="G72" s="16"/>
      <c r="H72" s="13"/>
      <c r="I72" s="13"/>
      <c r="J72" s="11">
        <f>IF(OR(B72="",E72=""),"",SUMIFS($E$5:$E72,$B$5:$B72,B72,$D$5:$D72,"Entrada")-SUMIFS($E$5:$E72,$B$5:$B72,B72,$D$5:$D72,"Salida"))</f>
      </c>
      <c r="K72" s="12">
        <f>IF(J72="","",IF(J72&lt;0,"Saldo negativo: revisa",IFERROR(IF(J72&lt;=INDEX(Productos!$D$5:$D$104,MATCH(B72,Productos!$A$5:$A$104,0)),"En el mínimo o por debajo",""),"")))</f>
      </c>
      <c r="L72" s="13"/>
    </row>
    <row r="73" spans="1:12" x14ac:dyDescent="0.25">
      <c r="A73" s="16"/>
      <c r="B73" s="13"/>
      <c r="C73" s="12">
        <f>IF(B73="","",IFERROR(INDEX(Productos!$B$5:$B$104,MATCH(B73,Productos!$A$5:$A$104,0)),"Código no encontrado"))</f>
      </c>
      <c r="D73" s="13"/>
      <c r="E73" s="17"/>
      <c r="F73" s="13"/>
      <c r="G73" s="16"/>
      <c r="H73" s="13"/>
      <c r="I73" s="13"/>
      <c r="J73" s="11">
        <f>IF(OR(B73="",E73=""),"",SUMIFS($E$5:$E73,$B$5:$B73,B73,$D$5:$D73,"Entrada")-SUMIFS($E$5:$E73,$B$5:$B73,B73,$D$5:$D73,"Salida"))</f>
      </c>
      <c r="K73" s="12">
        <f>IF(J73="","",IF(J73&lt;0,"Saldo negativo: revisa",IFERROR(IF(J73&lt;=INDEX(Productos!$D$5:$D$104,MATCH(B73,Productos!$A$5:$A$104,0)),"En el mínimo o por debajo",""),"")))</f>
      </c>
      <c r="L73" s="13"/>
    </row>
    <row r="74" spans="1:12" x14ac:dyDescent="0.25">
      <c r="A74" s="16"/>
      <c r="B74" s="13"/>
      <c r="C74" s="12">
        <f>IF(B74="","",IFERROR(INDEX(Productos!$B$5:$B$104,MATCH(B74,Productos!$A$5:$A$104,0)),"Código no encontrado"))</f>
      </c>
      <c r="D74" s="13"/>
      <c r="E74" s="17"/>
      <c r="F74" s="13"/>
      <c r="G74" s="16"/>
      <c r="H74" s="13"/>
      <c r="I74" s="13"/>
      <c r="J74" s="11">
        <f>IF(OR(B74="",E74=""),"",SUMIFS($E$5:$E74,$B$5:$B74,B74,$D$5:$D74,"Entrada")-SUMIFS($E$5:$E74,$B$5:$B74,B74,$D$5:$D74,"Salida"))</f>
      </c>
      <c r="K74" s="12">
        <f>IF(J74="","",IF(J74&lt;0,"Saldo negativo: revisa",IFERROR(IF(J74&lt;=INDEX(Productos!$D$5:$D$104,MATCH(B74,Productos!$A$5:$A$104,0)),"En el mínimo o por debajo",""),"")))</f>
      </c>
      <c r="L74" s="13"/>
    </row>
    <row r="75" spans="1:12" x14ac:dyDescent="0.25">
      <c r="A75" s="16"/>
      <c r="B75" s="13"/>
      <c r="C75" s="12">
        <f>IF(B75="","",IFERROR(INDEX(Productos!$B$5:$B$104,MATCH(B75,Productos!$A$5:$A$104,0)),"Código no encontrado"))</f>
      </c>
      <c r="D75" s="13"/>
      <c r="E75" s="17"/>
      <c r="F75" s="13"/>
      <c r="G75" s="16"/>
      <c r="H75" s="13"/>
      <c r="I75" s="13"/>
      <c r="J75" s="11">
        <f>IF(OR(B75="",E75=""),"",SUMIFS($E$5:$E75,$B$5:$B75,B75,$D$5:$D75,"Entrada")-SUMIFS($E$5:$E75,$B$5:$B75,B75,$D$5:$D75,"Salida"))</f>
      </c>
      <c r="K75" s="12">
        <f>IF(J75="","",IF(J75&lt;0,"Saldo negativo: revisa",IFERROR(IF(J75&lt;=INDEX(Productos!$D$5:$D$104,MATCH(B75,Productos!$A$5:$A$104,0)),"En el mínimo o por debajo",""),"")))</f>
      </c>
      <c r="L75" s="13"/>
    </row>
    <row r="76" spans="1:12" x14ac:dyDescent="0.25">
      <c r="A76" s="16"/>
      <c r="B76" s="13"/>
      <c r="C76" s="12">
        <f>IF(B76="","",IFERROR(INDEX(Productos!$B$5:$B$104,MATCH(B76,Productos!$A$5:$A$104,0)),"Código no encontrado"))</f>
      </c>
      <c r="D76" s="13"/>
      <c r="E76" s="17"/>
      <c r="F76" s="13"/>
      <c r="G76" s="16"/>
      <c r="H76" s="13"/>
      <c r="I76" s="13"/>
      <c r="J76" s="11">
        <f>IF(OR(B76="",E76=""),"",SUMIFS($E$5:$E76,$B$5:$B76,B76,$D$5:$D76,"Entrada")-SUMIFS($E$5:$E76,$B$5:$B76,B76,$D$5:$D76,"Salida"))</f>
      </c>
      <c r="K76" s="12">
        <f>IF(J76="","",IF(J76&lt;0,"Saldo negativo: revisa",IFERROR(IF(J76&lt;=INDEX(Productos!$D$5:$D$104,MATCH(B76,Productos!$A$5:$A$104,0)),"En el mínimo o por debajo",""),"")))</f>
      </c>
      <c r="L76" s="13"/>
    </row>
    <row r="77" spans="1:12" x14ac:dyDescent="0.25">
      <c r="A77" s="16"/>
      <c r="B77" s="13"/>
      <c r="C77" s="12">
        <f>IF(B77="","",IFERROR(INDEX(Productos!$B$5:$B$104,MATCH(B77,Productos!$A$5:$A$104,0)),"Código no encontrado"))</f>
      </c>
      <c r="D77" s="13"/>
      <c r="E77" s="17"/>
      <c r="F77" s="13"/>
      <c r="G77" s="16"/>
      <c r="H77" s="13"/>
      <c r="I77" s="13"/>
      <c r="J77" s="11">
        <f>IF(OR(B77="",E77=""),"",SUMIFS($E$5:$E77,$B$5:$B77,B77,$D$5:$D77,"Entrada")-SUMIFS($E$5:$E77,$B$5:$B77,B77,$D$5:$D77,"Salida"))</f>
      </c>
      <c r="K77" s="12">
        <f>IF(J77="","",IF(J77&lt;0,"Saldo negativo: revisa",IFERROR(IF(J77&lt;=INDEX(Productos!$D$5:$D$104,MATCH(B77,Productos!$A$5:$A$104,0)),"En el mínimo o por debajo",""),"")))</f>
      </c>
      <c r="L77" s="13"/>
    </row>
    <row r="78" spans="1:12" x14ac:dyDescent="0.25">
      <c r="A78" s="16"/>
      <c r="B78" s="13"/>
      <c r="C78" s="12">
        <f>IF(B78="","",IFERROR(INDEX(Productos!$B$5:$B$104,MATCH(B78,Productos!$A$5:$A$104,0)),"Código no encontrado"))</f>
      </c>
      <c r="D78" s="13"/>
      <c r="E78" s="17"/>
      <c r="F78" s="13"/>
      <c r="G78" s="16"/>
      <c r="H78" s="13"/>
      <c r="I78" s="13"/>
      <c r="J78" s="11">
        <f>IF(OR(B78="",E78=""),"",SUMIFS($E$5:$E78,$B$5:$B78,B78,$D$5:$D78,"Entrada")-SUMIFS($E$5:$E78,$B$5:$B78,B78,$D$5:$D78,"Salida"))</f>
      </c>
      <c r="K78" s="12">
        <f>IF(J78="","",IF(J78&lt;0,"Saldo negativo: revisa",IFERROR(IF(J78&lt;=INDEX(Productos!$D$5:$D$104,MATCH(B78,Productos!$A$5:$A$104,0)),"En el mínimo o por debajo",""),"")))</f>
      </c>
      <c r="L78" s="13"/>
    </row>
    <row r="79" spans="1:12" x14ac:dyDescent="0.25">
      <c r="A79" s="16"/>
      <c r="B79" s="13"/>
      <c r="C79" s="12">
        <f>IF(B79="","",IFERROR(INDEX(Productos!$B$5:$B$104,MATCH(B79,Productos!$A$5:$A$104,0)),"Código no encontrado"))</f>
      </c>
      <c r="D79" s="13"/>
      <c r="E79" s="17"/>
      <c r="F79" s="13"/>
      <c r="G79" s="16"/>
      <c r="H79" s="13"/>
      <c r="I79" s="13"/>
      <c r="J79" s="11">
        <f>IF(OR(B79="",E79=""),"",SUMIFS($E$5:$E79,$B$5:$B79,B79,$D$5:$D79,"Entrada")-SUMIFS($E$5:$E79,$B$5:$B79,B79,$D$5:$D79,"Salida"))</f>
      </c>
      <c r="K79" s="12">
        <f>IF(J79="","",IF(J79&lt;0,"Saldo negativo: revisa",IFERROR(IF(J79&lt;=INDEX(Productos!$D$5:$D$104,MATCH(B79,Productos!$A$5:$A$104,0)),"En el mínimo o por debajo",""),"")))</f>
      </c>
      <c r="L79" s="13"/>
    </row>
    <row r="80" spans="1:12" x14ac:dyDescent="0.25">
      <c r="A80" s="16"/>
      <c r="B80" s="13"/>
      <c r="C80" s="12">
        <f>IF(B80="","",IFERROR(INDEX(Productos!$B$5:$B$104,MATCH(B80,Productos!$A$5:$A$104,0)),"Código no encontrado"))</f>
      </c>
      <c r="D80" s="13"/>
      <c r="E80" s="17"/>
      <c r="F80" s="13"/>
      <c r="G80" s="16"/>
      <c r="H80" s="13"/>
      <c r="I80" s="13"/>
      <c r="J80" s="11">
        <f>IF(OR(B80="",E80=""),"",SUMIFS($E$5:$E80,$B$5:$B80,B80,$D$5:$D80,"Entrada")-SUMIFS($E$5:$E80,$B$5:$B80,B80,$D$5:$D80,"Salida"))</f>
      </c>
      <c r="K80" s="12">
        <f>IF(J80="","",IF(J80&lt;0,"Saldo negativo: revisa",IFERROR(IF(J80&lt;=INDEX(Productos!$D$5:$D$104,MATCH(B80,Productos!$A$5:$A$104,0)),"En el mínimo o por debajo",""),"")))</f>
      </c>
      <c r="L80" s="13"/>
    </row>
    <row r="81" spans="1:12" x14ac:dyDescent="0.25">
      <c r="A81" s="16"/>
      <c r="B81" s="13"/>
      <c r="C81" s="12">
        <f>IF(B81="","",IFERROR(INDEX(Productos!$B$5:$B$104,MATCH(B81,Productos!$A$5:$A$104,0)),"Código no encontrado"))</f>
      </c>
      <c r="D81" s="13"/>
      <c r="E81" s="17"/>
      <c r="F81" s="13"/>
      <c r="G81" s="16"/>
      <c r="H81" s="13"/>
      <c r="I81" s="13"/>
      <c r="J81" s="11">
        <f>IF(OR(B81="",E81=""),"",SUMIFS($E$5:$E81,$B$5:$B81,B81,$D$5:$D81,"Entrada")-SUMIFS($E$5:$E81,$B$5:$B81,B81,$D$5:$D81,"Salida"))</f>
      </c>
      <c r="K81" s="12">
        <f>IF(J81="","",IF(J81&lt;0,"Saldo negativo: revisa",IFERROR(IF(J81&lt;=INDEX(Productos!$D$5:$D$104,MATCH(B81,Productos!$A$5:$A$104,0)),"En el mínimo o por debajo",""),"")))</f>
      </c>
      <c r="L81" s="13"/>
    </row>
    <row r="82" spans="1:12" x14ac:dyDescent="0.25">
      <c r="A82" s="16"/>
      <c r="B82" s="13"/>
      <c r="C82" s="12">
        <f>IF(B82="","",IFERROR(INDEX(Productos!$B$5:$B$104,MATCH(B82,Productos!$A$5:$A$104,0)),"Código no encontrado"))</f>
      </c>
      <c r="D82" s="13"/>
      <c r="E82" s="17"/>
      <c r="F82" s="13"/>
      <c r="G82" s="16"/>
      <c r="H82" s="13"/>
      <c r="I82" s="13"/>
      <c r="J82" s="11">
        <f>IF(OR(B82="",E82=""),"",SUMIFS($E$5:$E82,$B$5:$B82,B82,$D$5:$D82,"Entrada")-SUMIFS($E$5:$E82,$B$5:$B82,B82,$D$5:$D82,"Salida"))</f>
      </c>
      <c r="K82" s="12">
        <f>IF(J82="","",IF(J82&lt;0,"Saldo negativo: revisa",IFERROR(IF(J82&lt;=INDEX(Productos!$D$5:$D$104,MATCH(B82,Productos!$A$5:$A$104,0)),"En el mínimo o por debajo",""),"")))</f>
      </c>
      <c r="L82" s="13"/>
    </row>
    <row r="83" spans="1:12" x14ac:dyDescent="0.25">
      <c r="A83" s="16"/>
      <c r="B83" s="13"/>
      <c r="C83" s="12">
        <f>IF(B83="","",IFERROR(INDEX(Productos!$B$5:$B$104,MATCH(B83,Productos!$A$5:$A$104,0)),"Código no encontrado"))</f>
      </c>
      <c r="D83" s="13"/>
      <c r="E83" s="17"/>
      <c r="F83" s="13"/>
      <c r="G83" s="16"/>
      <c r="H83" s="13"/>
      <c r="I83" s="13"/>
      <c r="J83" s="11">
        <f>IF(OR(B83="",E83=""),"",SUMIFS($E$5:$E83,$B$5:$B83,B83,$D$5:$D83,"Entrada")-SUMIFS($E$5:$E83,$B$5:$B83,B83,$D$5:$D83,"Salida"))</f>
      </c>
      <c r="K83" s="12">
        <f>IF(J83="","",IF(J83&lt;0,"Saldo negativo: revisa",IFERROR(IF(J83&lt;=INDEX(Productos!$D$5:$D$104,MATCH(B83,Productos!$A$5:$A$104,0)),"En el mínimo o por debajo",""),"")))</f>
      </c>
      <c r="L83" s="13"/>
    </row>
    <row r="84" spans="1:12" x14ac:dyDescent="0.25">
      <c r="A84" s="16"/>
      <c r="B84" s="13"/>
      <c r="C84" s="12">
        <f>IF(B84="","",IFERROR(INDEX(Productos!$B$5:$B$104,MATCH(B84,Productos!$A$5:$A$104,0)),"Código no encontrado"))</f>
      </c>
      <c r="D84" s="13"/>
      <c r="E84" s="17"/>
      <c r="F84" s="13"/>
      <c r="G84" s="16"/>
      <c r="H84" s="13"/>
      <c r="I84" s="13"/>
      <c r="J84" s="11">
        <f>IF(OR(B84="",E84=""),"",SUMIFS($E$5:$E84,$B$5:$B84,B84,$D$5:$D84,"Entrada")-SUMIFS($E$5:$E84,$B$5:$B84,B84,$D$5:$D84,"Salida"))</f>
      </c>
      <c r="K84" s="12">
        <f>IF(J84="","",IF(J84&lt;0,"Saldo negativo: revisa",IFERROR(IF(J84&lt;=INDEX(Productos!$D$5:$D$104,MATCH(B84,Productos!$A$5:$A$104,0)),"En el mínimo o por debajo",""),"")))</f>
      </c>
      <c r="L84" s="13"/>
    </row>
    <row r="85" spans="1:12" x14ac:dyDescent="0.25">
      <c r="A85" s="16"/>
      <c r="B85" s="13"/>
      <c r="C85" s="12">
        <f>IF(B85="","",IFERROR(INDEX(Productos!$B$5:$B$104,MATCH(B85,Productos!$A$5:$A$104,0)),"Código no encontrado"))</f>
      </c>
      <c r="D85" s="13"/>
      <c r="E85" s="17"/>
      <c r="F85" s="13"/>
      <c r="G85" s="16"/>
      <c r="H85" s="13"/>
      <c r="I85" s="13"/>
      <c r="J85" s="11">
        <f>IF(OR(B85="",E85=""),"",SUMIFS($E$5:$E85,$B$5:$B85,B85,$D$5:$D85,"Entrada")-SUMIFS($E$5:$E85,$B$5:$B85,B85,$D$5:$D85,"Salida"))</f>
      </c>
      <c r="K85" s="12">
        <f>IF(J85="","",IF(J85&lt;0,"Saldo negativo: revisa",IFERROR(IF(J85&lt;=INDEX(Productos!$D$5:$D$104,MATCH(B85,Productos!$A$5:$A$104,0)),"En el mínimo o por debajo",""),"")))</f>
      </c>
      <c r="L85" s="13"/>
    </row>
    <row r="86" spans="1:12" x14ac:dyDescent="0.25">
      <c r="A86" s="16"/>
      <c r="B86" s="13"/>
      <c r="C86" s="12">
        <f>IF(B86="","",IFERROR(INDEX(Productos!$B$5:$B$104,MATCH(B86,Productos!$A$5:$A$104,0)),"Código no encontrado"))</f>
      </c>
      <c r="D86" s="13"/>
      <c r="E86" s="17"/>
      <c r="F86" s="13"/>
      <c r="G86" s="16"/>
      <c r="H86" s="13"/>
      <c r="I86" s="13"/>
      <c r="J86" s="11">
        <f>IF(OR(B86="",E86=""),"",SUMIFS($E$5:$E86,$B$5:$B86,B86,$D$5:$D86,"Entrada")-SUMIFS($E$5:$E86,$B$5:$B86,B86,$D$5:$D86,"Salida"))</f>
      </c>
      <c r="K86" s="12">
        <f>IF(J86="","",IF(J86&lt;0,"Saldo negativo: revisa",IFERROR(IF(J86&lt;=INDEX(Productos!$D$5:$D$104,MATCH(B86,Productos!$A$5:$A$104,0)),"En el mínimo o por debajo",""),"")))</f>
      </c>
      <c r="L86" s="13"/>
    </row>
    <row r="87" spans="1:12" x14ac:dyDescent="0.25">
      <c r="A87" s="16"/>
      <c r="B87" s="13"/>
      <c r="C87" s="12">
        <f>IF(B87="","",IFERROR(INDEX(Productos!$B$5:$B$104,MATCH(B87,Productos!$A$5:$A$104,0)),"Código no encontrado"))</f>
      </c>
      <c r="D87" s="13"/>
      <c r="E87" s="17"/>
      <c r="F87" s="13"/>
      <c r="G87" s="16"/>
      <c r="H87" s="13"/>
      <c r="I87" s="13"/>
      <c r="J87" s="11">
        <f>IF(OR(B87="",E87=""),"",SUMIFS($E$5:$E87,$B$5:$B87,B87,$D$5:$D87,"Entrada")-SUMIFS($E$5:$E87,$B$5:$B87,B87,$D$5:$D87,"Salida"))</f>
      </c>
      <c r="K87" s="12">
        <f>IF(J87="","",IF(J87&lt;0,"Saldo negativo: revisa",IFERROR(IF(J87&lt;=INDEX(Productos!$D$5:$D$104,MATCH(B87,Productos!$A$5:$A$104,0)),"En el mínimo o por debajo",""),"")))</f>
      </c>
      <c r="L87" s="13"/>
    </row>
    <row r="88" spans="1:12" x14ac:dyDescent="0.25">
      <c r="A88" s="16"/>
      <c r="B88" s="13"/>
      <c r="C88" s="12">
        <f>IF(B88="","",IFERROR(INDEX(Productos!$B$5:$B$104,MATCH(B88,Productos!$A$5:$A$104,0)),"Código no encontrado"))</f>
      </c>
      <c r="D88" s="13"/>
      <c r="E88" s="17"/>
      <c r="F88" s="13"/>
      <c r="G88" s="16"/>
      <c r="H88" s="13"/>
      <c r="I88" s="13"/>
      <c r="J88" s="11">
        <f>IF(OR(B88="",E88=""),"",SUMIFS($E$5:$E88,$B$5:$B88,B88,$D$5:$D88,"Entrada")-SUMIFS($E$5:$E88,$B$5:$B88,B88,$D$5:$D88,"Salida"))</f>
      </c>
      <c r="K88" s="12">
        <f>IF(J88="","",IF(J88&lt;0,"Saldo negativo: revisa",IFERROR(IF(J88&lt;=INDEX(Productos!$D$5:$D$104,MATCH(B88,Productos!$A$5:$A$104,0)),"En el mínimo o por debajo",""),"")))</f>
      </c>
      <c r="L88" s="13"/>
    </row>
    <row r="89" spans="1:12" x14ac:dyDescent="0.25">
      <c r="A89" s="16"/>
      <c r="B89" s="13"/>
      <c r="C89" s="12">
        <f>IF(B89="","",IFERROR(INDEX(Productos!$B$5:$B$104,MATCH(B89,Productos!$A$5:$A$104,0)),"Código no encontrado"))</f>
      </c>
      <c r="D89" s="13"/>
      <c r="E89" s="17"/>
      <c r="F89" s="13"/>
      <c r="G89" s="16"/>
      <c r="H89" s="13"/>
      <c r="I89" s="13"/>
      <c r="J89" s="11">
        <f>IF(OR(B89="",E89=""),"",SUMIFS($E$5:$E89,$B$5:$B89,B89,$D$5:$D89,"Entrada")-SUMIFS($E$5:$E89,$B$5:$B89,B89,$D$5:$D89,"Salida"))</f>
      </c>
      <c r="K89" s="12">
        <f>IF(J89="","",IF(J89&lt;0,"Saldo negativo: revisa",IFERROR(IF(J89&lt;=INDEX(Productos!$D$5:$D$104,MATCH(B89,Productos!$A$5:$A$104,0)),"En el mínimo o por debajo",""),"")))</f>
      </c>
      <c r="L89" s="13"/>
    </row>
    <row r="90" spans="1:12" x14ac:dyDescent="0.25">
      <c r="A90" s="16"/>
      <c r="B90" s="13"/>
      <c r="C90" s="12">
        <f>IF(B90="","",IFERROR(INDEX(Productos!$B$5:$B$104,MATCH(B90,Productos!$A$5:$A$104,0)),"Código no encontrado"))</f>
      </c>
      <c r="D90" s="13"/>
      <c r="E90" s="17"/>
      <c r="F90" s="13"/>
      <c r="G90" s="16"/>
      <c r="H90" s="13"/>
      <c r="I90" s="13"/>
      <c r="J90" s="11">
        <f>IF(OR(B90="",E90=""),"",SUMIFS($E$5:$E90,$B$5:$B90,B90,$D$5:$D90,"Entrada")-SUMIFS($E$5:$E90,$B$5:$B90,B90,$D$5:$D90,"Salida"))</f>
      </c>
      <c r="K90" s="12">
        <f>IF(J90="","",IF(J90&lt;0,"Saldo negativo: revisa",IFERROR(IF(J90&lt;=INDEX(Productos!$D$5:$D$104,MATCH(B90,Productos!$A$5:$A$104,0)),"En el mínimo o por debajo",""),"")))</f>
      </c>
      <c r="L90" s="13"/>
    </row>
    <row r="91" spans="1:12" x14ac:dyDescent="0.25">
      <c r="A91" s="16"/>
      <c r="B91" s="13"/>
      <c r="C91" s="12">
        <f>IF(B91="","",IFERROR(INDEX(Productos!$B$5:$B$104,MATCH(B91,Productos!$A$5:$A$104,0)),"Código no encontrado"))</f>
      </c>
      <c r="D91" s="13"/>
      <c r="E91" s="17"/>
      <c r="F91" s="13"/>
      <c r="G91" s="16"/>
      <c r="H91" s="13"/>
      <c r="I91" s="13"/>
      <c r="J91" s="11">
        <f>IF(OR(B91="",E91=""),"",SUMIFS($E$5:$E91,$B$5:$B91,B91,$D$5:$D91,"Entrada")-SUMIFS($E$5:$E91,$B$5:$B91,B91,$D$5:$D91,"Salida"))</f>
      </c>
      <c r="K91" s="12">
        <f>IF(J91="","",IF(J91&lt;0,"Saldo negativo: revisa",IFERROR(IF(J91&lt;=INDEX(Productos!$D$5:$D$104,MATCH(B91,Productos!$A$5:$A$104,0)),"En el mínimo o por debajo",""),"")))</f>
      </c>
      <c r="L91" s="13"/>
    </row>
    <row r="92" spans="1:12" x14ac:dyDescent="0.25">
      <c r="A92" s="16"/>
      <c r="B92" s="13"/>
      <c r="C92" s="12">
        <f>IF(B92="","",IFERROR(INDEX(Productos!$B$5:$B$104,MATCH(B92,Productos!$A$5:$A$104,0)),"Código no encontrado"))</f>
      </c>
      <c r="D92" s="13"/>
      <c r="E92" s="17"/>
      <c r="F92" s="13"/>
      <c r="G92" s="16"/>
      <c r="H92" s="13"/>
      <c r="I92" s="13"/>
      <c r="J92" s="11">
        <f>IF(OR(B92="",E92=""),"",SUMIFS($E$5:$E92,$B$5:$B92,B92,$D$5:$D92,"Entrada")-SUMIFS($E$5:$E92,$B$5:$B92,B92,$D$5:$D92,"Salida"))</f>
      </c>
      <c r="K92" s="12">
        <f>IF(J92="","",IF(J92&lt;0,"Saldo negativo: revisa",IFERROR(IF(J92&lt;=INDEX(Productos!$D$5:$D$104,MATCH(B92,Productos!$A$5:$A$104,0)),"En el mínimo o por debajo",""),"")))</f>
      </c>
      <c r="L92" s="13"/>
    </row>
    <row r="93" spans="1:12" x14ac:dyDescent="0.25">
      <c r="A93" s="16"/>
      <c r="B93" s="13"/>
      <c r="C93" s="12">
        <f>IF(B93="","",IFERROR(INDEX(Productos!$B$5:$B$104,MATCH(B93,Productos!$A$5:$A$104,0)),"Código no encontrado"))</f>
      </c>
      <c r="D93" s="13"/>
      <c r="E93" s="17"/>
      <c r="F93" s="13"/>
      <c r="G93" s="16"/>
      <c r="H93" s="13"/>
      <c r="I93" s="13"/>
      <c r="J93" s="11">
        <f>IF(OR(B93="",E93=""),"",SUMIFS($E$5:$E93,$B$5:$B93,B93,$D$5:$D93,"Entrada")-SUMIFS($E$5:$E93,$B$5:$B93,B93,$D$5:$D93,"Salida"))</f>
      </c>
      <c r="K93" s="12">
        <f>IF(J93="","",IF(J93&lt;0,"Saldo negativo: revisa",IFERROR(IF(J93&lt;=INDEX(Productos!$D$5:$D$104,MATCH(B93,Productos!$A$5:$A$104,0)),"En el mínimo o por debajo",""),"")))</f>
      </c>
      <c r="L93" s="13"/>
    </row>
    <row r="94" spans="1:12" x14ac:dyDescent="0.25">
      <c r="A94" s="16"/>
      <c r="B94" s="13"/>
      <c r="C94" s="12">
        <f>IF(B94="","",IFERROR(INDEX(Productos!$B$5:$B$104,MATCH(B94,Productos!$A$5:$A$104,0)),"Código no encontrado"))</f>
      </c>
      <c r="D94" s="13"/>
      <c r="E94" s="17"/>
      <c r="F94" s="13"/>
      <c r="G94" s="16"/>
      <c r="H94" s="13"/>
      <c r="I94" s="13"/>
      <c r="J94" s="11">
        <f>IF(OR(B94="",E94=""),"",SUMIFS($E$5:$E94,$B$5:$B94,B94,$D$5:$D94,"Entrada")-SUMIFS($E$5:$E94,$B$5:$B94,B94,$D$5:$D94,"Salida"))</f>
      </c>
      <c r="K94" s="12">
        <f>IF(J94="","",IF(J94&lt;0,"Saldo negativo: revisa",IFERROR(IF(J94&lt;=INDEX(Productos!$D$5:$D$104,MATCH(B94,Productos!$A$5:$A$104,0)),"En el mínimo o por debajo",""),"")))</f>
      </c>
      <c r="L94" s="13"/>
    </row>
    <row r="95" spans="1:12" x14ac:dyDescent="0.25">
      <c r="A95" s="16"/>
      <c r="B95" s="13"/>
      <c r="C95" s="12">
        <f>IF(B95="","",IFERROR(INDEX(Productos!$B$5:$B$104,MATCH(B95,Productos!$A$5:$A$104,0)),"Código no encontrado"))</f>
      </c>
      <c r="D95" s="13"/>
      <c r="E95" s="17"/>
      <c r="F95" s="13"/>
      <c r="G95" s="16"/>
      <c r="H95" s="13"/>
      <c r="I95" s="13"/>
      <c r="J95" s="11">
        <f>IF(OR(B95="",E95=""),"",SUMIFS($E$5:$E95,$B$5:$B95,B95,$D$5:$D95,"Entrada")-SUMIFS($E$5:$E95,$B$5:$B95,B95,$D$5:$D95,"Salida"))</f>
      </c>
      <c r="K95" s="12">
        <f>IF(J95="","",IF(J95&lt;0,"Saldo negativo: revisa",IFERROR(IF(J95&lt;=INDEX(Productos!$D$5:$D$104,MATCH(B95,Productos!$A$5:$A$104,0)),"En el mínimo o por debajo",""),"")))</f>
      </c>
      <c r="L95" s="13"/>
    </row>
    <row r="96" spans="1:12" x14ac:dyDescent="0.25">
      <c r="A96" s="16"/>
      <c r="B96" s="13"/>
      <c r="C96" s="12">
        <f>IF(B96="","",IFERROR(INDEX(Productos!$B$5:$B$104,MATCH(B96,Productos!$A$5:$A$104,0)),"Código no encontrado"))</f>
      </c>
      <c r="D96" s="13"/>
      <c r="E96" s="17"/>
      <c r="F96" s="13"/>
      <c r="G96" s="16"/>
      <c r="H96" s="13"/>
      <c r="I96" s="13"/>
      <c r="J96" s="11">
        <f>IF(OR(B96="",E96=""),"",SUMIFS($E$5:$E96,$B$5:$B96,B96,$D$5:$D96,"Entrada")-SUMIFS($E$5:$E96,$B$5:$B96,B96,$D$5:$D96,"Salida"))</f>
      </c>
      <c r="K96" s="12">
        <f>IF(J96="","",IF(J96&lt;0,"Saldo negativo: revisa",IFERROR(IF(J96&lt;=INDEX(Productos!$D$5:$D$104,MATCH(B96,Productos!$A$5:$A$104,0)),"En el mínimo o por debajo",""),"")))</f>
      </c>
      <c r="L96" s="13"/>
    </row>
    <row r="97" spans="1:12" x14ac:dyDescent="0.25">
      <c r="A97" s="16"/>
      <c r="B97" s="13"/>
      <c r="C97" s="12">
        <f>IF(B97="","",IFERROR(INDEX(Productos!$B$5:$B$104,MATCH(B97,Productos!$A$5:$A$104,0)),"Código no encontrado"))</f>
      </c>
      <c r="D97" s="13"/>
      <c r="E97" s="17"/>
      <c r="F97" s="13"/>
      <c r="G97" s="16"/>
      <c r="H97" s="13"/>
      <c r="I97" s="13"/>
      <c r="J97" s="11">
        <f>IF(OR(B97="",E97=""),"",SUMIFS($E$5:$E97,$B$5:$B97,B97,$D$5:$D97,"Entrada")-SUMIFS($E$5:$E97,$B$5:$B97,B97,$D$5:$D97,"Salida"))</f>
      </c>
      <c r="K97" s="12">
        <f>IF(J97="","",IF(J97&lt;0,"Saldo negativo: revisa",IFERROR(IF(J97&lt;=INDEX(Productos!$D$5:$D$104,MATCH(B97,Productos!$A$5:$A$104,0)),"En el mínimo o por debajo",""),"")))</f>
      </c>
      <c r="L97" s="13"/>
    </row>
    <row r="98" spans="1:12" x14ac:dyDescent="0.25">
      <c r="A98" s="16"/>
      <c r="B98" s="13"/>
      <c r="C98" s="12">
        <f>IF(B98="","",IFERROR(INDEX(Productos!$B$5:$B$104,MATCH(B98,Productos!$A$5:$A$104,0)),"Código no encontrado"))</f>
      </c>
      <c r="D98" s="13"/>
      <c r="E98" s="17"/>
      <c r="F98" s="13"/>
      <c r="G98" s="16"/>
      <c r="H98" s="13"/>
      <c r="I98" s="13"/>
      <c r="J98" s="11">
        <f>IF(OR(B98="",E98=""),"",SUMIFS($E$5:$E98,$B$5:$B98,B98,$D$5:$D98,"Entrada")-SUMIFS($E$5:$E98,$B$5:$B98,B98,$D$5:$D98,"Salida"))</f>
      </c>
      <c r="K98" s="12">
        <f>IF(J98="","",IF(J98&lt;0,"Saldo negativo: revisa",IFERROR(IF(J98&lt;=INDEX(Productos!$D$5:$D$104,MATCH(B98,Productos!$A$5:$A$104,0)),"En el mínimo o por debajo",""),"")))</f>
      </c>
      <c r="L98" s="13"/>
    </row>
    <row r="99" spans="1:12" x14ac:dyDescent="0.25">
      <c r="A99" s="16"/>
      <c r="B99" s="13"/>
      <c r="C99" s="12">
        <f>IF(B99="","",IFERROR(INDEX(Productos!$B$5:$B$104,MATCH(B99,Productos!$A$5:$A$104,0)),"Código no encontrado"))</f>
      </c>
      <c r="D99" s="13"/>
      <c r="E99" s="17"/>
      <c r="F99" s="13"/>
      <c r="G99" s="16"/>
      <c r="H99" s="13"/>
      <c r="I99" s="13"/>
      <c r="J99" s="11">
        <f>IF(OR(B99="",E99=""),"",SUMIFS($E$5:$E99,$B$5:$B99,B99,$D$5:$D99,"Entrada")-SUMIFS($E$5:$E99,$B$5:$B99,B99,$D$5:$D99,"Salida"))</f>
      </c>
      <c r="K99" s="12">
        <f>IF(J99="","",IF(J99&lt;0,"Saldo negativo: revisa",IFERROR(IF(J99&lt;=INDEX(Productos!$D$5:$D$104,MATCH(B99,Productos!$A$5:$A$104,0)),"En el mínimo o por debajo",""),"")))</f>
      </c>
      <c r="L99" s="13"/>
    </row>
    <row r="100" spans="1:12" x14ac:dyDescent="0.25">
      <c r="A100" s="16"/>
      <c r="B100" s="13"/>
      <c r="C100" s="12">
        <f>IF(B100="","",IFERROR(INDEX(Productos!$B$5:$B$104,MATCH(B100,Productos!$A$5:$A$104,0)),"Código no encontrado"))</f>
      </c>
      <c r="D100" s="13"/>
      <c r="E100" s="17"/>
      <c r="F100" s="13"/>
      <c r="G100" s="16"/>
      <c r="H100" s="13"/>
      <c r="I100" s="13"/>
      <c r="J100" s="11">
        <f>IF(OR(B100="",E100=""),"",SUMIFS($E$5:$E100,$B$5:$B100,B100,$D$5:$D100,"Entrada")-SUMIFS($E$5:$E100,$B$5:$B100,B100,$D$5:$D100,"Salida"))</f>
      </c>
      <c r="K100" s="12">
        <f>IF(J100="","",IF(J100&lt;0,"Saldo negativo: revisa",IFERROR(IF(J100&lt;=INDEX(Productos!$D$5:$D$104,MATCH(B100,Productos!$A$5:$A$104,0)),"En el mínimo o por debajo",""),"")))</f>
      </c>
      <c r="L100" s="13"/>
    </row>
    <row r="101" spans="1:12" x14ac:dyDescent="0.25">
      <c r="A101" s="16"/>
      <c r="B101" s="13"/>
      <c r="C101" s="12">
        <f>IF(B101="","",IFERROR(INDEX(Productos!$B$5:$B$104,MATCH(B101,Productos!$A$5:$A$104,0)),"Código no encontrado"))</f>
      </c>
      <c r="D101" s="13"/>
      <c r="E101" s="17"/>
      <c r="F101" s="13"/>
      <c r="G101" s="16"/>
      <c r="H101" s="13"/>
      <c r="I101" s="13"/>
      <c r="J101" s="11">
        <f>IF(OR(B101="",E101=""),"",SUMIFS($E$5:$E101,$B$5:$B101,B101,$D$5:$D101,"Entrada")-SUMIFS($E$5:$E101,$B$5:$B101,B101,$D$5:$D101,"Salida"))</f>
      </c>
      <c r="K101" s="12">
        <f>IF(J101="","",IF(J101&lt;0,"Saldo negativo: revisa",IFERROR(IF(J101&lt;=INDEX(Productos!$D$5:$D$104,MATCH(B101,Productos!$A$5:$A$104,0)),"En el mínimo o por debajo",""),"")))</f>
      </c>
      <c r="L101" s="13"/>
    </row>
    <row r="102" spans="1:12" x14ac:dyDescent="0.25">
      <c r="A102" s="16"/>
      <c r="B102" s="13"/>
      <c r="C102" s="12">
        <f>IF(B102="","",IFERROR(INDEX(Productos!$B$5:$B$104,MATCH(B102,Productos!$A$5:$A$104,0)),"Código no encontrado"))</f>
      </c>
      <c r="D102" s="13"/>
      <c r="E102" s="17"/>
      <c r="F102" s="13"/>
      <c r="G102" s="16"/>
      <c r="H102" s="13"/>
      <c r="I102" s="13"/>
      <c r="J102" s="11">
        <f>IF(OR(B102="",E102=""),"",SUMIFS($E$5:$E102,$B$5:$B102,B102,$D$5:$D102,"Entrada")-SUMIFS($E$5:$E102,$B$5:$B102,B102,$D$5:$D102,"Salida"))</f>
      </c>
      <c r="K102" s="12">
        <f>IF(J102="","",IF(J102&lt;0,"Saldo negativo: revisa",IFERROR(IF(J102&lt;=INDEX(Productos!$D$5:$D$104,MATCH(B102,Productos!$A$5:$A$104,0)),"En el mínimo o por debajo",""),"")))</f>
      </c>
      <c r="L102" s="13"/>
    </row>
    <row r="103" spans="1:12" x14ac:dyDescent="0.25">
      <c r="A103" s="16"/>
      <c r="B103" s="13"/>
      <c r="C103" s="12">
        <f>IF(B103="","",IFERROR(INDEX(Productos!$B$5:$B$104,MATCH(B103,Productos!$A$5:$A$104,0)),"Código no encontrado"))</f>
      </c>
      <c r="D103" s="13"/>
      <c r="E103" s="17"/>
      <c r="F103" s="13"/>
      <c r="G103" s="16"/>
      <c r="H103" s="13"/>
      <c r="I103" s="13"/>
      <c r="J103" s="11">
        <f>IF(OR(B103="",E103=""),"",SUMIFS($E$5:$E103,$B$5:$B103,B103,$D$5:$D103,"Entrada")-SUMIFS($E$5:$E103,$B$5:$B103,B103,$D$5:$D103,"Salida"))</f>
      </c>
      <c r="K103" s="12">
        <f>IF(J103="","",IF(J103&lt;0,"Saldo negativo: revisa",IFERROR(IF(J103&lt;=INDEX(Productos!$D$5:$D$104,MATCH(B103,Productos!$A$5:$A$104,0)),"En el mínimo o por debajo",""),"")))</f>
      </c>
      <c r="L103" s="13"/>
    </row>
    <row r="104" spans="1:12" x14ac:dyDescent="0.25">
      <c r="A104" s="16"/>
      <c r="B104" s="13"/>
      <c r="C104" s="12">
        <f>IF(B104="","",IFERROR(INDEX(Productos!$B$5:$B$104,MATCH(B104,Productos!$A$5:$A$104,0)),"Código no encontrado"))</f>
      </c>
      <c r="D104" s="13"/>
      <c r="E104" s="17"/>
      <c r="F104" s="13"/>
      <c r="G104" s="16"/>
      <c r="H104" s="13"/>
      <c r="I104" s="13"/>
      <c r="J104" s="11">
        <f>IF(OR(B104="",E104=""),"",SUMIFS($E$5:$E104,$B$5:$B104,B104,$D$5:$D104,"Entrada")-SUMIFS($E$5:$E104,$B$5:$B104,B104,$D$5:$D104,"Salida"))</f>
      </c>
      <c r="K104" s="12">
        <f>IF(J104="","",IF(J104&lt;0,"Saldo negativo: revisa",IFERROR(IF(J104&lt;=INDEX(Productos!$D$5:$D$104,MATCH(B104,Productos!$A$5:$A$104,0)),"En el mínimo o por debajo",""),"")))</f>
      </c>
      <c r="L104" s="13"/>
    </row>
    <row r="105" spans="1:12" x14ac:dyDescent="0.25">
      <c r="A105" s="16"/>
      <c r="B105" s="13"/>
      <c r="C105" s="12">
        <f>IF(B105="","",IFERROR(INDEX(Productos!$B$5:$B$104,MATCH(B105,Productos!$A$5:$A$104,0)),"Código no encontrado"))</f>
      </c>
      <c r="D105" s="13"/>
      <c r="E105" s="17"/>
      <c r="F105" s="13"/>
      <c r="G105" s="16"/>
      <c r="H105" s="13"/>
      <c r="I105" s="13"/>
      <c r="J105" s="11">
        <f>IF(OR(B105="",E105=""),"",SUMIFS($E$5:$E105,$B$5:$B105,B105,$D$5:$D105,"Entrada")-SUMIFS($E$5:$E105,$B$5:$B105,B105,$D$5:$D105,"Salida"))</f>
      </c>
      <c r="K105" s="12">
        <f>IF(J105="","",IF(J105&lt;0,"Saldo negativo: revisa",IFERROR(IF(J105&lt;=INDEX(Productos!$D$5:$D$104,MATCH(B105,Productos!$A$5:$A$104,0)),"En el mínimo o por debajo",""),"")))</f>
      </c>
      <c r="L105" s="13"/>
    </row>
    <row r="106" spans="1:12" x14ac:dyDescent="0.25">
      <c r="A106" s="16"/>
      <c r="B106" s="13"/>
      <c r="C106" s="12">
        <f>IF(B106="","",IFERROR(INDEX(Productos!$B$5:$B$104,MATCH(B106,Productos!$A$5:$A$104,0)),"Código no encontrado"))</f>
      </c>
      <c r="D106" s="13"/>
      <c r="E106" s="17"/>
      <c r="F106" s="13"/>
      <c r="G106" s="16"/>
      <c r="H106" s="13"/>
      <c r="I106" s="13"/>
      <c r="J106" s="11">
        <f>IF(OR(B106="",E106=""),"",SUMIFS($E$5:$E106,$B$5:$B106,B106,$D$5:$D106,"Entrada")-SUMIFS($E$5:$E106,$B$5:$B106,B106,$D$5:$D106,"Salida"))</f>
      </c>
      <c r="K106" s="12">
        <f>IF(J106="","",IF(J106&lt;0,"Saldo negativo: revisa",IFERROR(IF(J106&lt;=INDEX(Productos!$D$5:$D$104,MATCH(B106,Productos!$A$5:$A$104,0)),"En el mínimo o por debajo",""),"")))</f>
      </c>
      <c r="L106" s="13"/>
    </row>
    <row r="107" spans="1:12" x14ac:dyDescent="0.25">
      <c r="A107" s="16"/>
      <c r="B107" s="13"/>
      <c r="C107" s="12">
        <f>IF(B107="","",IFERROR(INDEX(Productos!$B$5:$B$104,MATCH(B107,Productos!$A$5:$A$104,0)),"Código no encontrado"))</f>
      </c>
      <c r="D107" s="13"/>
      <c r="E107" s="17"/>
      <c r="F107" s="13"/>
      <c r="G107" s="16"/>
      <c r="H107" s="13"/>
      <c r="I107" s="13"/>
      <c r="J107" s="11">
        <f>IF(OR(B107="",E107=""),"",SUMIFS($E$5:$E107,$B$5:$B107,B107,$D$5:$D107,"Entrada")-SUMIFS($E$5:$E107,$B$5:$B107,B107,$D$5:$D107,"Salida"))</f>
      </c>
      <c r="K107" s="12">
        <f>IF(J107="","",IF(J107&lt;0,"Saldo negativo: revisa",IFERROR(IF(J107&lt;=INDEX(Productos!$D$5:$D$104,MATCH(B107,Productos!$A$5:$A$104,0)),"En el mínimo o por debajo",""),"")))</f>
      </c>
      <c r="L107" s="13"/>
    </row>
    <row r="108" spans="1:12" x14ac:dyDescent="0.25">
      <c r="A108" s="16"/>
      <c r="B108" s="13"/>
      <c r="C108" s="12">
        <f>IF(B108="","",IFERROR(INDEX(Productos!$B$5:$B$104,MATCH(B108,Productos!$A$5:$A$104,0)),"Código no encontrado"))</f>
      </c>
      <c r="D108" s="13"/>
      <c r="E108" s="17"/>
      <c r="F108" s="13"/>
      <c r="G108" s="16"/>
      <c r="H108" s="13"/>
      <c r="I108" s="13"/>
      <c r="J108" s="11">
        <f>IF(OR(B108="",E108=""),"",SUMIFS($E$5:$E108,$B$5:$B108,B108,$D$5:$D108,"Entrada")-SUMIFS($E$5:$E108,$B$5:$B108,B108,$D$5:$D108,"Salida"))</f>
      </c>
      <c r="K108" s="12">
        <f>IF(J108="","",IF(J108&lt;0,"Saldo negativo: revisa",IFERROR(IF(J108&lt;=INDEX(Productos!$D$5:$D$104,MATCH(B108,Productos!$A$5:$A$104,0)),"En el mínimo o por debajo",""),"")))</f>
      </c>
      <c r="L108" s="13"/>
    </row>
    <row r="109" spans="1:12" x14ac:dyDescent="0.25">
      <c r="A109" s="16"/>
      <c r="B109" s="13"/>
      <c r="C109" s="12">
        <f>IF(B109="","",IFERROR(INDEX(Productos!$B$5:$B$104,MATCH(B109,Productos!$A$5:$A$104,0)),"Código no encontrado"))</f>
      </c>
      <c r="D109" s="13"/>
      <c r="E109" s="17"/>
      <c r="F109" s="13"/>
      <c r="G109" s="16"/>
      <c r="H109" s="13"/>
      <c r="I109" s="13"/>
      <c r="J109" s="11">
        <f>IF(OR(B109="",E109=""),"",SUMIFS($E$5:$E109,$B$5:$B109,B109,$D$5:$D109,"Entrada")-SUMIFS($E$5:$E109,$B$5:$B109,B109,$D$5:$D109,"Salida"))</f>
      </c>
      <c r="K109" s="12">
        <f>IF(J109="","",IF(J109&lt;0,"Saldo negativo: revisa",IFERROR(IF(J109&lt;=INDEX(Productos!$D$5:$D$104,MATCH(B109,Productos!$A$5:$A$104,0)),"En el mínimo o por debajo",""),"")))</f>
      </c>
      <c r="L109" s="13"/>
    </row>
    <row r="110" spans="1:12" x14ac:dyDescent="0.25">
      <c r="A110" s="16"/>
      <c r="B110" s="13"/>
      <c r="C110" s="12">
        <f>IF(B110="","",IFERROR(INDEX(Productos!$B$5:$B$104,MATCH(B110,Productos!$A$5:$A$104,0)),"Código no encontrado"))</f>
      </c>
      <c r="D110" s="13"/>
      <c r="E110" s="17"/>
      <c r="F110" s="13"/>
      <c r="G110" s="16"/>
      <c r="H110" s="13"/>
      <c r="I110" s="13"/>
      <c r="J110" s="11">
        <f>IF(OR(B110="",E110=""),"",SUMIFS($E$5:$E110,$B$5:$B110,B110,$D$5:$D110,"Entrada")-SUMIFS($E$5:$E110,$B$5:$B110,B110,$D$5:$D110,"Salida"))</f>
      </c>
      <c r="K110" s="12">
        <f>IF(J110="","",IF(J110&lt;0,"Saldo negativo: revisa",IFERROR(IF(J110&lt;=INDEX(Productos!$D$5:$D$104,MATCH(B110,Productos!$A$5:$A$104,0)),"En el mínimo o por debajo",""),"")))</f>
      </c>
      <c r="L110" s="13"/>
    </row>
    <row r="111" spans="1:12" x14ac:dyDescent="0.25">
      <c r="A111" s="16"/>
      <c r="B111" s="13"/>
      <c r="C111" s="12">
        <f>IF(B111="","",IFERROR(INDEX(Productos!$B$5:$B$104,MATCH(B111,Productos!$A$5:$A$104,0)),"Código no encontrado"))</f>
      </c>
      <c r="D111" s="13"/>
      <c r="E111" s="17"/>
      <c r="F111" s="13"/>
      <c r="G111" s="16"/>
      <c r="H111" s="13"/>
      <c r="I111" s="13"/>
      <c r="J111" s="11">
        <f>IF(OR(B111="",E111=""),"",SUMIFS($E$5:$E111,$B$5:$B111,B111,$D$5:$D111,"Entrada")-SUMIFS($E$5:$E111,$B$5:$B111,B111,$D$5:$D111,"Salida"))</f>
      </c>
      <c r="K111" s="12">
        <f>IF(J111="","",IF(J111&lt;0,"Saldo negativo: revisa",IFERROR(IF(J111&lt;=INDEX(Productos!$D$5:$D$104,MATCH(B111,Productos!$A$5:$A$104,0)),"En el mínimo o por debajo",""),"")))</f>
      </c>
      <c r="L111" s="13"/>
    </row>
    <row r="112" spans="1:12" x14ac:dyDescent="0.25">
      <c r="A112" s="16"/>
      <c r="B112" s="13"/>
      <c r="C112" s="12">
        <f>IF(B112="","",IFERROR(INDEX(Productos!$B$5:$B$104,MATCH(B112,Productos!$A$5:$A$104,0)),"Código no encontrado"))</f>
      </c>
      <c r="D112" s="13"/>
      <c r="E112" s="17"/>
      <c r="F112" s="13"/>
      <c r="G112" s="16"/>
      <c r="H112" s="13"/>
      <c r="I112" s="13"/>
      <c r="J112" s="11">
        <f>IF(OR(B112="",E112=""),"",SUMIFS($E$5:$E112,$B$5:$B112,B112,$D$5:$D112,"Entrada")-SUMIFS($E$5:$E112,$B$5:$B112,B112,$D$5:$D112,"Salida"))</f>
      </c>
      <c r="K112" s="12">
        <f>IF(J112="","",IF(J112&lt;0,"Saldo negativo: revisa",IFERROR(IF(J112&lt;=INDEX(Productos!$D$5:$D$104,MATCH(B112,Productos!$A$5:$A$104,0)),"En el mínimo o por debajo",""),"")))</f>
      </c>
      <c r="L112" s="13"/>
    </row>
    <row r="113" spans="1:12" x14ac:dyDescent="0.25">
      <c r="A113" s="16"/>
      <c r="B113" s="13"/>
      <c r="C113" s="12">
        <f>IF(B113="","",IFERROR(INDEX(Productos!$B$5:$B$104,MATCH(B113,Productos!$A$5:$A$104,0)),"Código no encontrado"))</f>
      </c>
      <c r="D113" s="13"/>
      <c r="E113" s="17"/>
      <c r="F113" s="13"/>
      <c r="G113" s="16"/>
      <c r="H113" s="13"/>
      <c r="I113" s="13"/>
      <c r="J113" s="11">
        <f>IF(OR(B113="",E113=""),"",SUMIFS($E$5:$E113,$B$5:$B113,B113,$D$5:$D113,"Entrada")-SUMIFS($E$5:$E113,$B$5:$B113,B113,$D$5:$D113,"Salida"))</f>
      </c>
      <c r="K113" s="12">
        <f>IF(J113="","",IF(J113&lt;0,"Saldo negativo: revisa",IFERROR(IF(J113&lt;=INDEX(Productos!$D$5:$D$104,MATCH(B113,Productos!$A$5:$A$104,0)),"En el mínimo o por debajo",""),"")))</f>
      </c>
      <c r="L113" s="13"/>
    </row>
    <row r="114" spans="1:12" x14ac:dyDescent="0.25">
      <c r="A114" s="16"/>
      <c r="B114" s="13"/>
      <c r="C114" s="12">
        <f>IF(B114="","",IFERROR(INDEX(Productos!$B$5:$B$104,MATCH(B114,Productos!$A$5:$A$104,0)),"Código no encontrado"))</f>
      </c>
      <c r="D114" s="13"/>
      <c r="E114" s="17"/>
      <c r="F114" s="13"/>
      <c r="G114" s="16"/>
      <c r="H114" s="13"/>
      <c r="I114" s="13"/>
      <c r="J114" s="11">
        <f>IF(OR(B114="",E114=""),"",SUMIFS($E$5:$E114,$B$5:$B114,B114,$D$5:$D114,"Entrada")-SUMIFS($E$5:$E114,$B$5:$B114,B114,$D$5:$D114,"Salida"))</f>
      </c>
      <c r="K114" s="12">
        <f>IF(J114="","",IF(J114&lt;0,"Saldo negativo: revisa",IFERROR(IF(J114&lt;=INDEX(Productos!$D$5:$D$104,MATCH(B114,Productos!$A$5:$A$104,0)),"En el mínimo o por debajo",""),"")))</f>
      </c>
      <c r="L114" s="13"/>
    </row>
    <row r="115" spans="1:12" x14ac:dyDescent="0.25">
      <c r="A115" s="16"/>
      <c r="B115" s="13"/>
      <c r="C115" s="12">
        <f>IF(B115="","",IFERROR(INDEX(Productos!$B$5:$B$104,MATCH(B115,Productos!$A$5:$A$104,0)),"Código no encontrado"))</f>
      </c>
      <c r="D115" s="13"/>
      <c r="E115" s="17"/>
      <c r="F115" s="13"/>
      <c r="G115" s="16"/>
      <c r="H115" s="13"/>
      <c r="I115" s="13"/>
      <c r="J115" s="11">
        <f>IF(OR(B115="",E115=""),"",SUMIFS($E$5:$E115,$B$5:$B115,B115,$D$5:$D115,"Entrada")-SUMIFS($E$5:$E115,$B$5:$B115,B115,$D$5:$D115,"Salida"))</f>
      </c>
      <c r="K115" s="12">
        <f>IF(J115="","",IF(J115&lt;0,"Saldo negativo: revisa",IFERROR(IF(J115&lt;=INDEX(Productos!$D$5:$D$104,MATCH(B115,Productos!$A$5:$A$104,0)),"En el mínimo o por debajo",""),"")))</f>
      </c>
      <c r="L115" s="13"/>
    </row>
    <row r="116" spans="1:12" x14ac:dyDescent="0.25">
      <c r="A116" s="16"/>
      <c r="B116" s="13"/>
      <c r="C116" s="12">
        <f>IF(B116="","",IFERROR(INDEX(Productos!$B$5:$B$104,MATCH(B116,Productos!$A$5:$A$104,0)),"Código no encontrado"))</f>
      </c>
      <c r="D116" s="13"/>
      <c r="E116" s="17"/>
      <c r="F116" s="13"/>
      <c r="G116" s="16"/>
      <c r="H116" s="13"/>
      <c r="I116" s="13"/>
      <c r="J116" s="11">
        <f>IF(OR(B116="",E116=""),"",SUMIFS($E$5:$E116,$B$5:$B116,B116,$D$5:$D116,"Entrada")-SUMIFS($E$5:$E116,$B$5:$B116,B116,$D$5:$D116,"Salida"))</f>
      </c>
      <c r="K116" s="12">
        <f>IF(J116="","",IF(J116&lt;0,"Saldo negativo: revisa",IFERROR(IF(J116&lt;=INDEX(Productos!$D$5:$D$104,MATCH(B116,Productos!$A$5:$A$104,0)),"En el mínimo o por debajo",""),"")))</f>
      </c>
      <c r="L116" s="13"/>
    </row>
    <row r="117" spans="1:12" x14ac:dyDescent="0.25">
      <c r="A117" s="16"/>
      <c r="B117" s="13"/>
      <c r="C117" s="12">
        <f>IF(B117="","",IFERROR(INDEX(Productos!$B$5:$B$104,MATCH(B117,Productos!$A$5:$A$104,0)),"Código no encontrado"))</f>
      </c>
      <c r="D117" s="13"/>
      <c r="E117" s="17"/>
      <c r="F117" s="13"/>
      <c r="G117" s="16"/>
      <c r="H117" s="13"/>
      <c r="I117" s="13"/>
      <c r="J117" s="11">
        <f>IF(OR(B117="",E117=""),"",SUMIFS($E$5:$E117,$B$5:$B117,B117,$D$5:$D117,"Entrada")-SUMIFS($E$5:$E117,$B$5:$B117,B117,$D$5:$D117,"Salida"))</f>
      </c>
      <c r="K117" s="12">
        <f>IF(J117="","",IF(J117&lt;0,"Saldo negativo: revisa",IFERROR(IF(J117&lt;=INDEX(Productos!$D$5:$D$104,MATCH(B117,Productos!$A$5:$A$104,0)),"En el mínimo o por debajo",""),"")))</f>
      </c>
      <c r="L117" s="13"/>
    </row>
    <row r="118" spans="1:12" x14ac:dyDescent="0.25">
      <c r="A118" s="16"/>
      <c r="B118" s="13"/>
      <c r="C118" s="12">
        <f>IF(B118="","",IFERROR(INDEX(Productos!$B$5:$B$104,MATCH(B118,Productos!$A$5:$A$104,0)),"Código no encontrado"))</f>
      </c>
      <c r="D118" s="13"/>
      <c r="E118" s="17"/>
      <c r="F118" s="13"/>
      <c r="G118" s="16"/>
      <c r="H118" s="13"/>
      <c r="I118" s="13"/>
      <c r="J118" s="11">
        <f>IF(OR(B118="",E118=""),"",SUMIFS($E$5:$E118,$B$5:$B118,B118,$D$5:$D118,"Entrada")-SUMIFS($E$5:$E118,$B$5:$B118,B118,$D$5:$D118,"Salida"))</f>
      </c>
      <c r="K118" s="12">
        <f>IF(J118="","",IF(J118&lt;0,"Saldo negativo: revisa",IFERROR(IF(J118&lt;=INDEX(Productos!$D$5:$D$104,MATCH(B118,Productos!$A$5:$A$104,0)),"En el mínimo o por debajo",""),"")))</f>
      </c>
      <c r="L118" s="13"/>
    </row>
    <row r="119" spans="1:12" x14ac:dyDescent="0.25">
      <c r="A119" s="16"/>
      <c r="B119" s="13"/>
      <c r="C119" s="12">
        <f>IF(B119="","",IFERROR(INDEX(Productos!$B$5:$B$104,MATCH(B119,Productos!$A$5:$A$104,0)),"Código no encontrado"))</f>
      </c>
      <c r="D119" s="13"/>
      <c r="E119" s="17"/>
      <c r="F119" s="13"/>
      <c r="G119" s="16"/>
      <c r="H119" s="13"/>
      <c r="I119" s="13"/>
      <c r="J119" s="11">
        <f>IF(OR(B119="",E119=""),"",SUMIFS($E$5:$E119,$B$5:$B119,B119,$D$5:$D119,"Entrada")-SUMIFS($E$5:$E119,$B$5:$B119,B119,$D$5:$D119,"Salida"))</f>
      </c>
      <c r="K119" s="12">
        <f>IF(J119="","",IF(J119&lt;0,"Saldo negativo: revisa",IFERROR(IF(J119&lt;=INDEX(Productos!$D$5:$D$104,MATCH(B119,Productos!$A$5:$A$104,0)),"En el mínimo o por debajo",""),"")))</f>
      </c>
      <c r="L119" s="13"/>
    </row>
    <row r="120" spans="1:12" x14ac:dyDescent="0.25">
      <c r="A120" s="16"/>
      <c r="B120" s="13"/>
      <c r="C120" s="12">
        <f>IF(B120="","",IFERROR(INDEX(Productos!$B$5:$B$104,MATCH(B120,Productos!$A$5:$A$104,0)),"Código no encontrado"))</f>
      </c>
      <c r="D120" s="13"/>
      <c r="E120" s="17"/>
      <c r="F120" s="13"/>
      <c r="G120" s="16"/>
      <c r="H120" s="13"/>
      <c r="I120" s="13"/>
      <c r="J120" s="11">
        <f>IF(OR(B120="",E120=""),"",SUMIFS($E$5:$E120,$B$5:$B120,B120,$D$5:$D120,"Entrada")-SUMIFS($E$5:$E120,$B$5:$B120,B120,$D$5:$D120,"Salida"))</f>
      </c>
      <c r="K120" s="12">
        <f>IF(J120="","",IF(J120&lt;0,"Saldo negativo: revisa",IFERROR(IF(J120&lt;=INDEX(Productos!$D$5:$D$104,MATCH(B120,Productos!$A$5:$A$104,0)),"En el mínimo o por debajo",""),"")))</f>
      </c>
      <c r="L120" s="13"/>
    </row>
    <row r="121" spans="1:12" x14ac:dyDescent="0.25">
      <c r="A121" s="16"/>
      <c r="B121" s="13"/>
      <c r="C121" s="12">
        <f>IF(B121="","",IFERROR(INDEX(Productos!$B$5:$B$104,MATCH(B121,Productos!$A$5:$A$104,0)),"Código no encontrado"))</f>
      </c>
      <c r="D121" s="13"/>
      <c r="E121" s="17"/>
      <c r="F121" s="13"/>
      <c r="G121" s="16"/>
      <c r="H121" s="13"/>
      <c r="I121" s="13"/>
      <c r="J121" s="11">
        <f>IF(OR(B121="",E121=""),"",SUMIFS($E$5:$E121,$B$5:$B121,B121,$D$5:$D121,"Entrada")-SUMIFS($E$5:$E121,$B$5:$B121,B121,$D$5:$D121,"Salida"))</f>
      </c>
      <c r="K121" s="12">
        <f>IF(J121="","",IF(J121&lt;0,"Saldo negativo: revisa",IFERROR(IF(J121&lt;=INDEX(Productos!$D$5:$D$104,MATCH(B121,Productos!$A$5:$A$104,0)),"En el mínimo o por debajo",""),"")))</f>
      </c>
      <c r="L121" s="13"/>
    </row>
    <row r="122" spans="1:12" x14ac:dyDescent="0.25">
      <c r="A122" s="16"/>
      <c r="B122" s="13"/>
      <c r="C122" s="12">
        <f>IF(B122="","",IFERROR(INDEX(Productos!$B$5:$B$104,MATCH(B122,Productos!$A$5:$A$104,0)),"Código no encontrado"))</f>
      </c>
      <c r="D122" s="13"/>
      <c r="E122" s="17"/>
      <c r="F122" s="13"/>
      <c r="G122" s="16"/>
      <c r="H122" s="13"/>
      <c r="I122" s="13"/>
      <c r="J122" s="11">
        <f>IF(OR(B122="",E122=""),"",SUMIFS($E$5:$E122,$B$5:$B122,B122,$D$5:$D122,"Entrada")-SUMIFS($E$5:$E122,$B$5:$B122,B122,$D$5:$D122,"Salida"))</f>
      </c>
      <c r="K122" s="12">
        <f>IF(J122="","",IF(J122&lt;0,"Saldo negativo: revisa",IFERROR(IF(J122&lt;=INDEX(Productos!$D$5:$D$104,MATCH(B122,Productos!$A$5:$A$104,0)),"En el mínimo o por debajo",""),"")))</f>
      </c>
      <c r="L122" s="13"/>
    </row>
    <row r="123" spans="1:12" x14ac:dyDescent="0.25">
      <c r="A123" s="16"/>
      <c r="B123" s="13"/>
      <c r="C123" s="12">
        <f>IF(B123="","",IFERROR(INDEX(Productos!$B$5:$B$104,MATCH(B123,Productos!$A$5:$A$104,0)),"Código no encontrado"))</f>
      </c>
      <c r="D123" s="13"/>
      <c r="E123" s="17"/>
      <c r="F123" s="13"/>
      <c r="G123" s="16"/>
      <c r="H123" s="13"/>
      <c r="I123" s="13"/>
      <c r="J123" s="11">
        <f>IF(OR(B123="",E123=""),"",SUMIFS($E$5:$E123,$B$5:$B123,B123,$D$5:$D123,"Entrada")-SUMIFS($E$5:$E123,$B$5:$B123,B123,$D$5:$D123,"Salida"))</f>
      </c>
      <c r="K123" s="12">
        <f>IF(J123="","",IF(J123&lt;0,"Saldo negativo: revisa",IFERROR(IF(J123&lt;=INDEX(Productos!$D$5:$D$104,MATCH(B123,Productos!$A$5:$A$104,0)),"En el mínimo o por debajo",""),"")))</f>
      </c>
      <c r="L123" s="13"/>
    </row>
    <row r="124" spans="1:12" x14ac:dyDescent="0.25">
      <c r="A124" s="16"/>
      <c r="B124" s="13"/>
      <c r="C124" s="12">
        <f>IF(B124="","",IFERROR(INDEX(Productos!$B$5:$B$104,MATCH(B124,Productos!$A$5:$A$104,0)),"Código no encontrado"))</f>
      </c>
      <c r="D124" s="13"/>
      <c r="E124" s="17"/>
      <c r="F124" s="13"/>
      <c r="G124" s="16"/>
      <c r="H124" s="13"/>
      <c r="I124" s="13"/>
      <c r="J124" s="11">
        <f>IF(OR(B124="",E124=""),"",SUMIFS($E$5:$E124,$B$5:$B124,B124,$D$5:$D124,"Entrada")-SUMIFS($E$5:$E124,$B$5:$B124,B124,$D$5:$D124,"Salida"))</f>
      </c>
      <c r="K124" s="12">
        <f>IF(J124="","",IF(J124&lt;0,"Saldo negativo: revisa",IFERROR(IF(J124&lt;=INDEX(Productos!$D$5:$D$104,MATCH(B124,Productos!$A$5:$A$104,0)),"En el mínimo o por debajo",""),"")))</f>
      </c>
      <c r="L124" s="13"/>
    </row>
    <row r="125" spans="1:12" x14ac:dyDescent="0.25">
      <c r="A125" s="16"/>
      <c r="B125" s="13"/>
      <c r="C125" s="12">
        <f>IF(B125="","",IFERROR(INDEX(Productos!$B$5:$B$104,MATCH(B125,Productos!$A$5:$A$104,0)),"Código no encontrado"))</f>
      </c>
      <c r="D125" s="13"/>
      <c r="E125" s="17"/>
      <c r="F125" s="13"/>
      <c r="G125" s="16"/>
      <c r="H125" s="13"/>
      <c r="I125" s="13"/>
      <c r="J125" s="11">
        <f>IF(OR(B125="",E125=""),"",SUMIFS($E$5:$E125,$B$5:$B125,B125,$D$5:$D125,"Entrada")-SUMIFS($E$5:$E125,$B$5:$B125,B125,$D$5:$D125,"Salida"))</f>
      </c>
      <c r="K125" s="12">
        <f>IF(J125="","",IF(J125&lt;0,"Saldo negativo: revisa",IFERROR(IF(J125&lt;=INDEX(Productos!$D$5:$D$104,MATCH(B125,Productos!$A$5:$A$104,0)),"En el mínimo o por debajo",""),"")))</f>
      </c>
      <c r="L125" s="13"/>
    </row>
    <row r="126" spans="1:12" x14ac:dyDescent="0.25">
      <c r="A126" s="16"/>
      <c r="B126" s="13"/>
      <c r="C126" s="12">
        <f>IF(B126="","",IFERROR(INDEX(Productos!$B$5:$B$104,MATCH(B126,Productos!$A$5:$A$104,0)),"Código no encontrado"))</f>
      </c>
      <c r="D126" s="13"/>
      <c r="E126" s="17"/>
      <c r="F126" s="13"/>
      <c r="G126" s="16"/>
      <c r="H126" s="13"/>
      <c r="I126" s="13"/>
      <c r="J126" s="11">
        <f>IF(OR(B126="",E126=""),"",SUMIFS($E$5:$E126,$B$5:$B126,B126,$D$5:$D126,"Entrada")-SUMIFS($E$5:$E126,$B$5:$B126,B126,$D$5:$D126,"Salida"))</f>
      </c>
      <c r="K126" s="12">
        <f>IF(J126="","",IF(J126&lt;0,"Saldo negativo: revisa",IFERROR(IF(J126&lt;=INDEX(Productos!$D$5:$D$104,MATCH(B126,Productos!$A$5:$A$104,0)),"En el mínimo o por debajo",""),"")))</f>
      </c>
      <c r="L126" s="13"/>
    </row>
    <row r="127" spans="1:12" x14ac:dyDescent="0.25">
      <c r="A127" s="16"/>
      <c r="B127" s="13"/>
      <c r="C127" s="12">
        <f>IF(B127="","",IFERROR(INDEX(Productos!$B$5:$B$104,MATCH(B127,Productos!$A$5:$A$104,0)),"Código no encontrado"))</f>
      </c>
      <c r="D127" s="13"/>
      <c r="E127" s="17"/>
      <c r="F127" s="13"/>
      <c r="G127" s="16"/>
      <c r="H127" s="13"/>
      <c r="I127" s="13"/>
      <c r="J127" s="11">
        <f>IF(OR(B127="",E127=""),"",SUMIFS($E$5:$E127,$B$5:$B127,B127,$D$5:$D127,"Entrada")-SUMIFS($E$5:$E127,$B$5:$B127,B127,$D$5:$D127,"Salida"))</f>
      </c>
      <c r="K127" s="12">
        <f>IF(J127="","",IF(J127&lt;0,"Saldo negativo: revisa",IFERROR(IF(J127&lt;=INDEX(Productos!$D$5:$D$104,MATCH(B127,Productos!$A$5:$A$104,0)),"En el mínimo o por debajo",""),"")))</f>
      </c>
      <c r="L127" s="13"/>
    </row>
    <row r="128" spans="1:12" x14ac:dyDescent="0.25">
      <c r="A128" s="16"/>
      <c r="B128" s="13"/>
      <c r="C128" s="12">
        <f>IF(B128="","",IFERROR(INDEX(Productos!$B$5:$B$104,MATCH(B128,Productos!$A$5:$A$104,0)),"Código no encontrado"))</f>
      </c>
      <c r="D128" s="13"/>
      <c r="E128" s="17"/>
      <c r="F128" s="13"/>
      <c r="G128" s="16"/>
      <c r="H128" s="13"/>
      <c r="I128" s="13"/>
      <c r="J128" s="11">
        <f>IF(OR(B128="",E128=""),"",SUMIFS($E$5:$E128,$B$5:$B128,B128,$D$5:$D128,"Entrada")-SUMIFS($E$5:$E128,$B$5:$B128,B128,$D$5:$D128,"Salida"))</f>
      </c>
      <c r="K128" s="12">
        <f>IF(J128="","",IF(J128&lt;0,"Saldo negativo: revisa",IFERROR(IF(J128&lt;=INDEX(Productos!$D$5:$D$104,MATCH(B128,Productos!$A$5:$A$104,0)),"En el mínimo o por debajo",""),"")))</f>
      </c>
      <c r="L128" s="13"/>
    </row>
    <row r="129" spans="1:12" x14ac:dyDescent="0.25">
      <c r="A129" s="16"/>
      <c r="B129" s="13"/>
      <c r="C129" s="12">
        <f>IF(B129="","",IFERROR(INDEX(Productos!$B$5:$B$104,MATCH(B129,Productos!$A$5:$A$104,0)),"Código no encontrado"))</f>
      </c>
      <c r="D129" s="13"/>
      <c r="E129" s="17"/>
      <c r="F129" s="13"/>
      <c r="G129" s="16"/>
      <c r="H129" s="13"/>
      <c r="I129" s="13"/>
      <c r="J129" s="11">
        <f>IF(OR(B129="",E129=""),"",SUMIFS($E$5:$E129,$B$5:$B129,B129,$D$5:$D129,"Entrada")-SUMIFS($E$5:$E129,$B$5:$B129,B129,$D$5:$D129,"Salida"))</f>
      </c>
      <c r="K129" s="12">
        <f>IF(J129="","",IF(J129&lt;0,"Saldo negativo: revisa",IFERROR(IF(J129&lt;=INDEX(Productos!$D$5:$D$104,MATCH(B129,Productos!$A$5:$A$104,0)),"En el mínimo o por debajo",""),"")))</f>
      </c>
      <c r="L129" s="13"/>
    </row>
    <row r="130" spans="1:12" x14ac:dyDescent="0.25">
      <c r="A130" s="16"/>
      <c r="B130" s="13"/>
      <c r="C130" s="12">
        <f>IF(B130="","",IFERROR(INDEX(Productos!$B$5:$B$104,MATCH(B130,Productos!$A$5:$A$104,0)),"Código no encontrado"))</f>
      </c>
      <c r="D130" s="13"/>
      <c r="E130" s="17"/>
      <c r="F130" s="13"/>
      <c r="G130" s="16"/>
      <c r="H130" s="13"/>
      <c r="I130" s="13"/>
      <c r="J130" s="11">
        <f>IF(OR(B130="",E130=""),"",SUMIFS($E$5:$E130,$B$5:$B130,B130,$D$5:$D130,"Entrada")-SUMIFS($E$5:$E130,$B$5:$B130,B130,$D$5:$D130,"Salida"))</f>
      </c>
      <c r="K130" s="12">
        <f>IF(J130="","",IF(J130&lt;0,"Saldo negativo: revisa",IFERROR(IF(J130&lt;=INDEX(Productos!$D$5:$D$104,MATCH(B130,Productos!$A$5:$A$104,0)),"En el mínimo o por debajo",""),"")))</f>
      </c>
      <c r="L130" s="13"/>
    </row>
    <row r="131" spans="1:12" x14ac:dyDescent="0.25">
      <c r="A131" s="16"/>
      <c r="B131" s="13"/>
      <c r="C131" s="12">
        <f>IF(B131="","",IFERROR(INDEX(Productos!$B$5:$B$104,MATCH(B131,Productos!$A$5:$A$104,0)),"Código no encontrado"))</f>
      </c>
      <c r="D131" s="13"/>
      <c r="E131" s="17"/>
      <c r="F131" s="13"/>
      <c r="G131" s="16"/>
      <c r="H131" s="13"/>
      <c r="I131" s="13"/>
      <c r="J131" s="11">
        <f>IF(OR(B131="",E131=""),"",SUMIFS($E$5:$E131,$B$5:$B131,B131,$D$5:$D131,"Entrada")-SUMIFS($E$5:$E131,$B$5:$B131,B131,$D$5:$D131,"Salida"))</f>
      </c>
      <c r="K131" s="12">
        <f>IF(J131="","",IF(J131&lt;0,"Saldo negativo: revisa",IFERROR(IF(J131&lt;=INDEX(Productos!$D$5:$D$104,MATCH(B131,Productos!$A$5:$A$104,0)),"En el mínimo o por debajo",""),"")))</f>
      </c>
      <c r="L131" s="13"/>
    </row>
    <row r="132" spans="1:12" x14ac:dyDescent="0.25">
      <c r="A132" s="16"/>
      <c r="B132" s="13"/>
      <c r="C132" s="12">
        <f>IF(B132="","",IFERROR(INDEX(Productos!$B$5:$B$104,MATCH(B132,Productos!$A$5:$A$104,0)),"Código no encontrado"))</f>
      </c>
      <c r="D132" s="13"/>
      <c r="E132" s="17"/>
      <c r="F132" s="13"/>
      <c r="G132" s="16"/>
      <c r="H132" s="13"/>
      <c r="I132" s="13"/>
      <c r="J132" s="11">
        <f>IF(OR(B132="",E132=""),"",SUMIFS($E$5:$E132,$B$5:$B132,B132,$D$5:$D132,"Entrada")-SUMIFS($E$5:$E132,$B$5:$B132,B132,$D$5:$D132,"Salida"))</f>
      </c>
      <c r="K132" s="12">
        <f>IF(J132="","",IF(J132&lt;0,"Saldo negativo: revisa",IFERROR(IF(J132&lt;=INDEX(Productos!$D$5:$D$104,MATCH(B132,Productos!$A$5:$A$104,0)),"En el mínimo o por debajo",""),"")))</f>
      </c>
      <c r="L132" s="13"/>
    </row>
    <row r="133" spans="1:12" x14ac:dyDescent="0.25">
      <c r="A133" s="16"/>
      <c r="B133" s="13"/>
      <c r="C133" s="12">
        <f>IF(B133="","",IFERROR(INDEX(Productos!$B$5:$B$104,MATCH(B133,Productos!$A$5:$A$104,0)),"Código no encontrado"))</f>
      </c>
      <c r="D133" s="13"/>
      <c r="E133" s="17"/>
      <c r="F133" s="13"/>
      <c r="G133" s="16"/>
      <c r="H133" s="13"/>
      <c r="I133" s="13"/>
      <c r="J133" s="11">
        <f>IF(OR(B133="",E133=""),"",SUMIFS($E$5:$E133,$B$5:$B133,B133,$D$5:$D133,"Entrada")-SUMIFS($E$5:$E133,$B$5:$B133,B133,$D$5:$D133,"Salida"))</f>
      </c>
      <c r="K133" s="12">
        <f>IF(J133="","",IF(J133&lt;0,"Saldo negativo: revisa",IFERROR(IF(J133&lt;=INDEX(Productos!$D$5:$D$104,MATCH(B133,Productos!$A$5:$A$104,0)),"En el mínimo o por debajo",""),"")))</f>
      </c>
      <c r="L133" s="13"/>
    </row>
    <row r="134" spans="1:12" x14ac:dyDescent="0.25">
      <c r="A134" s="16"/>
      <c r="B134" s="13"/>
      <c r="C134" s="12">
        <f>IF(B134="","",IFERROR(INDEX(Productos!$B$5:$B$104,MATCH(B134,Productos!$A$5:$A$104,0)),"Código no encontrado"))</f>
      </c>
      <c r="D134" s="13"/>
      <c r="E134" s="17"/>
      <c r="F134" s="13"/>
      <c r="G134" s="16"/>
      <c r="H134" s="13"/>
      <c r="I134" s="13"/>
      <c r="J134" s="11">
        <f>IF(OR(B134="",E134=""),"",SUMIFS($E$5:$E134,$B$5:$B134,B134,$D$5:$D134,"Entrada")-SUMIFS($E$5:$E134,$B$5:$B134,B134,$D$5:$D134,"Salida"))</f>
      </c>
      <c r="K134" s="12">
        <f>IF(J134="","",IF(J134&lt;0,"Saldo negativo: revisa",IFERROR(IF(J134&lt;=INDEX(Productos!$D$5:$D$104,MATCH(B134,Productos!$A$5:$A$104,0)),"En el mínimo o por debajo",""),"")))</f>
      </c>
      <c r="L134" s="13"/>
    </row>
    <row r="135" spans="1:12" x14ac:dyDescent="0.25">
      <c r="A135" s="16"/>
      <c r="B135" s="13"/>
      <c r="C135" s="12">
        <f>IF(B135="","",IFERROR(INDEX(Productos!$B$5:$B$104,MATCH(B135,Productos!$A$5:$A$104,0)),"Código no encontrado"))</f>
      </c>
      <c r="D135" s="13"/>
      <c r="E135" s="17"/>
      <c r="F135" s="13"/>
      <c r="G135" s="16"/>
      <c r="H135" s="13"/>
      <c r="I135" s="13"/>
      <c r="J135" s="11">
        <f>IF(OR(B135="",E135=""),"",SUMIFS($E$5:$E135,$B$5:$B135,B135,$D$5:$D135,"Entrada")-SUMIFS($E$5:$E135,$B$5:$B135,B135,$D$5:$D135,"Salida"))</f>
      </c>
      <c r="K135" s="12">
        <f>IF(J135="","",IF(J135&lt;0,"Saldo negativo: revisa",IFERROR(IF(J135&lt;=INDEX(Productos!$D$5:$D$104,MATCH(B135,Productos!$A$5:$A$104,0)),"En el mínimo o por debajo",""),"")))</f>
      </c>
      <c r="L135" s="13"/>
    </row>
    <row r="136" spans="1:12" x14ac:dyDescent="0.25">
      <c r="A136" s="16"/>
      <c r="B136" s="13"/>
      <c r="C136" s="12">
        <f>IF(B136="","",IFERROR(INDEX(Productos!$B$5:$B$104,MATCH(B136,Productos!$A$5:$A$104,0)),"Código no encontrado"))</f>
      </c>
      <c r="D136" s="13"/>
      <c r="E136" s="17"/>
      <c r="F136" s="13"/>
      <c r="G136" s="16"/>
      <c r="H136" s="13"/>
      <c r="I136" s="13"/>
      <c r="J136" s="11">
        <f>IF(OR(B136="",E136=""),"",SUMIFS($E$5:$E136,$B$5:$B136,B136,$D$5:$D136,"Entrada")-SUMIFS($E$5:$E136,$B$5:$B136,B136,$D$5:$D136,"Salida"))</f>
      </c>
      <c r="K136" s="12">
        <f>IF(J136="","",IF(J136&lt;0,"Saldo negativo: revisa",IFERROR(IF(J136&lt;=INDEX(Productos!$D$5:$D$104,MATCH(B136,Productos!$A$5:$A$104,0)),"En el mínimo o por debajo",""),"")))</f>
      </c>
      <c r="L136" s="13"/>
    </row>
    <row r="137" spans="1:12" x14ac:dyDescent="0.25">
      <c r="A137" s="16"/>
      <c r="B137" s="13"/>
      <c r="C137" s="12">
        <f>IF(B137="","",IFERROR(INDEX(Productos!$B$5:$B$104,MATCH(B137,Productos!$A$5:$A$104,0)),"Código no encontrado"))</f>
      </c>
      <c r="D137" s="13"/>
      <c r="E137" s="17"/>
      <c r="F137" s="13"/>
      <c r="G137" s="16"/>
      <c r="H137" s="13"/>
      <c r="I137" s="13"/>
      <c r="J137" s="11">
        <f>IF(OR(B137="",E137=""),"",SUMIFS($E$5:$E137,$B$5:$B137,B137,$D$5:$D137,"Entrada")-SUMIFS($E$5:$E137,$B$5:$B137,B137,$D$5:$D137,"Salida"))</f>
      </c>
      <c r="K137" s="12">
        <f>IF(J137="","",IF(J137&lt;0,"Saldo negativo: revisa",IFERROR(IF(J137&lt;=INDEX(Productos!$D$5:$D$104,MATCH(B137,Productos!$A$5:$A$104,0)),"En el mínimo o por debajo",""),"")))</f>
      </c>
      <c r="L137" s="13"/>
    </row>
    <row r="138" spans="1:12" x14ac:dyDescent="0.25">
      <c r="A138" s="16"/>
      <c r="B138" s="13"/>
      <c r="C138" s="12">
        <f>IF(B138="","",IFERROR(INDEX(Productos!$B$5:$B$104,MATCH(B138,Productos!$A$5:$A$104,0)),"Código no encontrado"))</f>
      </c>
      <c r="D138" s="13"/>
      <c r="E138" s="17"/>
      <c r="F138" s="13"/>
      <c r="G138" s="16"/>
      <c r="H138" s="13"/>
      <c r="I138" s="13"/>
      <c r="J138" s="11">
        <f>IF(OR(B138="",E138=""),"",SUMIFS($E$5:$E138,$B$5:$B138,B138,$D$5:$D138,"Entrada")-SUMIFS($E$5:$E138,$B$5:$B138,B138,$D$5:$D138,"Salida"))</f>
      </c>
      <c r="K138" s="12">
        <f>IF(J138="","",IF(J138&lt;0,"Saldo negativo: revisa",IFERROR(IF(J138&lt;=INDEX(Productos!$D$5:$D$104,MATCH(B138,Productos!$A$5:$A$104,0)),"En el mínimo o por debajo",""),"")))</f>
      </c>
      <c r="L138" s="13"/>
    </row>
    <row r="139" spans="1:12" x14ac:dyDescent="0.25">
      <c r="A139" s="16"/>
      <c r="B139" s="13"/>
      <c r="C139" s="12">
        <f>IF(B139="","",IFERROR(INDEX(Productos!$B$5:$B$104,MATCH(B139,Productos!$A$5:$A$104,0)),"Código no encontrado"))</f>
      </c>
      <c r="D139" s="13"/>
      <c r="E139" s="17"/>
      <c r="F139" s="13"/>
      <c r="G139" s="16"/>
      <c r="H139" s="13"/>
      <c r="I139" s="13"/>
      <c r="J139" s="11">
        <f>IF(OR(B139="",E139=""),"",SUMIFS($E$5:$E139,$B$5:$B139,B139,$D$5:$D139,"Entrada")-SUMIFS($E$5:$E139,$B$5:$B139,B139,$D$5:$D139,"Salida"))</f>
      </c>
      <c r="K139" s="12">
        <f>IF(J139="","",IF(J139&lt;0,"Saldo negativo: revisa",IFERROR(IF(J139&lt;=INDEX(Productos!$D$5:$D$104,MATCH(B139,Productos!$A$5:$A$104,0)),"En el mínimo o por debajo",""),"")))</f>
      </c>
      <c r="L139" s="13"/>
    </row>
    <row r="140" spans="1:12" x14ac:dyDescent="0.25">
      <c r="A140" s="16"/>
      <c r="B140" s="13"/>
      <c r="C140" s="12">
        <f>IF(B140="","",IFERROR(INDEX(Productos!$B$5:$B$104,MATCH(B140,Productos!$A$5:$A$104,0)),"Código no encontrado"))</f>
      </c>
      <c r="D140" s="13"/>
      <c r="E140" s="17"/>
      <c r="F140" s="13"/>
      <c r="G140" s="16"/>
      <c r="H140" s="13"/>
      <c r="I140" s="13"/>
      <c r="J140" s="11">
        <f>IF(OR(B140="",E140=""),"",SUMIFS($E$5:$E140,$B$5:$B140,B140,$D$5:$D140,"Entrada")-SUMIFS($E$5:$E140,$B$5:$B140,B140,$D$5:$D140,"Salida"))</f>
      </c>
      <c r="K140" s="12">
        <f>IF(J140="","",IF(J140&lt;0,"Saldo negativo: revisa",IFERROR(IF(J140&lt;=INDEX(Productos!$D$5:$D$104,MATCH(B140,Productos!$A$5:$A$104,0)),"En el mínimo o por debajo",""),"")))</f>
      </c>
      <c r="L140" s="13"/>
    </row>
    <row r="141" spans="1:12" x14ac:dyDescent="0.25">
      <c r="A141" s="16"/>
      <c r="B141" s="13"/>
      <c r="C141" s="12">
        <f>IF(B141="","",IFERROR(INDEX(Productos!$B$5:$B$104,MATCH(B141,Productos!$A$5:$A$104,0)),"Código no encontrado"))</f>
      </c>
      <c r="D141" s="13"/>
      <c r="E141" s="17"/>
      <c r="F141" s="13"/>
      <c r="G141" s="16"/>
      <c r="H141" s="13"/>
      <c r="I141" s="13"/>
      <c r="J141" s="11">
        <f>IF(OR(B141="",E141=""),"",SUMIFS($E$5:$E141,$B$5:$B141,B141,$D$5:$D141,"Entrada")-SUMIFS($E$5:$E141,$B$5:$B141,B141,$D$5:$D141,"Salida"))</f>
      </c>
      <c r="K141" s="12">
        <f>IF(J141="","",IF(J141&lt;0,"Saldo negativo: revisa",IFERROR(IF(J141&lt;=INDEX(Productos!$D$5:$D$104,MATCH(B141,Productos!$A$5:$A$104,0)),"En el mínimo o por debajo",""),"")))</f>
      </c>
      <c r="L141" s="13"/>
    </row>
    <row r="142" spans="1:12" x14ac:dyDescent="0.25">
      <c r="A142" s="16"/>
      <c r="B142" s="13"/>
      <c r="C142" s="12">
        <f>IF(B142="","",IFERROR(INDEX(Productos!$B$5:$B$104,MATCH(B142,Productos!$A$5:$A$104,0)),"Código no encontrado"))</f>
      </c>
      <c r="D142" s="13"/>
      <c r="E142" s="17"/>
      <c r="F142" s="13"/>
      <c r="G142" s="16"/>
      <c r="H142" s="13"/>
      <c r="I142" s="13"/>
      <c r="J142" s="11">
        <f>IF(OR(B142="",E142=""),"",SUMIFS($E$5:$E142,$B$5:$B142,B142,$D$5:$D142,"Entrada")-SUMIFS($E$5:$E142,$B$5:$B142,B142,$D$5:$D142,"Salida"))</f>
      </c>
      <c r="K142" s="12">
        <f>IF(J142="","",IF(J142&lt;0,"Saldo negativo: revisa",IFERROR(IF(J142&lt;=INDEX(Productos!$D$5:$D$104,MATCH(B142,Productos!$A$5:$A$104,0)),"En el mínimo o por debajo",""),"")))</f>
      </c>
      <c r="L142" s="13"/>
    </row>
    <row r="143" spans="1:12" x14ac:dyDescent="0.25">
      <c r="A143" s="16"/>
      <c r="B143" s="13"/>
      <c r="C143" s="12">
        <f>IF(B143="","",IFERROR(INDEX(Productos!$B$5:$B$104,MATCH(B143,Productos!$A$5:$A$104,0)),"Código no encontrado"))</f>
      </c>
      <c r="D143" s="13"/>
      <c r="E143" s="17"/>
      <c r="F143" s="13"/>
      <c r="G143" s="16"/>
      <c r="H143" s="13"/>
      <c r="I143" s="13"/>
      <c r="J143" s="11">
        <f>IF(OR(B143="",E143=""),"",SUMIFS($E$5:$E143,$B$5:$B143,B143,$D$5:$D143,"Entrada")-SUMIFS($E$5:$E143,$B$5:$B143,B143,$D$5:$D143,"Salida"))</f>
      </c>
      <c r="K143" s="12">
        <f>IF(J143="","",IF(J143&lt;0,"Saldo negativo: revisa",IFERROR(IF(J143&lt;=INDEX(Productos!$D$5:$D$104,MATCH(B143,Productos!$A$5:$A$104,0)),"En el mínimo o por debajo",""),"")))</f>
      </c>
      <c r="L143" s="13"/>
    </row>
    <row r="144" spans="1:12" x14ac:dyDescent="0.25">
      <c r="A144" s="16"/>
      <c r="B144" s="13"/>
      <c r="C144" s="12">
        <f>IF(B144="","",IFERROR(INDEX(Productos!$B$5:$B$104,MATCH(B144,Productos!$A$5:$A$104,0)),"Código no encontrado"))</f>
      </c>
      <c r="D144" s="13"/>
      <c r="E144" s="17"/>
      <c r="F144" s="13"/>
      <c r="G144" s="16"/>
      <c r="H144" s="13"/>
      <c r="I144" s="13"/>
      <c r="J144" s="11">
        <f>IF(OR(B144="",E144=""),"",SUMIFS($E$5:$E144,$B$5:$B144,B144,$D$5:$D144,"Entrada")-SUMIFS($E$5:$E144,$B$5:$B144,B144,$D$5:$D144,"Salida"))</f>
      </c>
      <c r="K144" s="12">
        <f>IF(J144="","",IF(J144&lt;0,"Saldo negativo: revisa",IFERROR(IF(J144&lt;=INDEX(Productos!$D$5:$D$104,MATCH(B144,Productos!$A$5:$A$104,0)),"En el mínimo o por debajo",""),"")))</f>
      </c>
      <c r="L144" s="13"/>
    </row>
    <row r="145" spans="1:12" x14ac:dyDescent="0.25">
      <c r="A145" s="16"/>
      <c r="B145" s="13"/>
      <c r="C145" s="12">
        <f>IF(B145="","",IFERROR(INDEX(Productos!$B$5:$B$104,MATCH(B145,Productos!$A$5:$A$104,0)),"Código no encontrado"))</f>
      </c>
      <c r="D145" s="13"/>
      <c r="E145" s="17"/>
      <c r="F145" s="13"/>
      <c r="G145" s="16"/>
      <c r="H145" s="13"/>
      <c r="I145" s="13"/>
      <c r="J145" s="11">
        <f>IF(OR(B145="",E145=""),"",SUMIFS($E$5:$E145,$B$5:$B145,B145,$D$5:$D145,"Entrada")-SUMIFS($E$5:$E145,$B$5:$B145,B145,$D$5:$D145,"Salida"))</f>
      </c>
      <c r="K145" s="12">
        <f>IF(J145="","",IF(J145&lt;0,"Saldo negativo: revisa",IFERROR(IF(J145&lt;=INDEX(Productos!$D$5:$D$104,MATCH(B145,Productos!$A$5:$A$104,0)),"En el mínimo o por debajo",""),"")))</f>
      </c>
      <c r="L145" s="13"/>
    </row>
    <row r="146" spans="1:12" x14ac:dyDescent="0.25">
      <c r="A146" s="16"/>
      <c r="B146" s="13"/>
      <c r="C146" s="12">
        <f>IF(B146="","",IFERROR(INDEX(Productos!$B$5:$B$104,MATCH(B146,Productos!$A$5:$A$104,0)),"Código no encontrado"))</f>
      </c>
      <c r="D146" s="13"/>
      <c r="E146" s="17"/>
      <c r="F146" s="13"/>
      <c r="G146" s="16"/>
      <c r="H146" s="13"/>
      <c r="I146" s="13"/>
      <c r="J146" s="11">
        <f>IF(OR(B146="",E146=""),"",SUMIFS($E$5:$E146,$B$5:$B146,B146,$D$5:$D146,"Entrada")-SUMIFS($E$5:$E146,$B$5:$B146,B146,$D$5:$D146,"Salida"))</f>
      </c>
      <c r="K146" s="12">
        <f>IF(J146="","",IF(J146&lt;0,"Saldo negativo: revisa",IFERROR(IF(J146&lt;=INDEX(Productos!$D$5:$D$104,MATCH(B146,Productos!$A$5:$A$104,0)),"En el mínimo o por debajo",""),"")))</f>
      </c>
      <c r="L146" s="13"/>
    </row>
    <row r="147" spans="1:12" x14ac:dyDescent="0.25">
      <c r="A147" s="16"/>
      <c r="B147" s="13"/>
      <c r="C147" s="12">
        <f>IF(B147="","",IFERROR(INDEX(Productos!$B$5:$B$104,MATCH(B147,Productos!$A$5:$A$104,0)),"Código no encontrado"))</f>
      </c>
      <c r="D147" s="13"/>
      <c r="E147" s="17"/>
      <c r="F147" s="13"/>
      <c r="G147" s="16"/>
      <c r="H147" s="13"/>
      <c r="I147" s="13"/>
      <c r="J147" s="11">
        <f>IF(OR(B147="",E147=""),"",SUMIFS($E$5:$E147,$B$5:$B147,B147,$D$5:$D147,"Entrada")-SUMIFS($E$5:$E147,$B$5:$B147,B147,$D$5:$D147,"Salida"))</f>
      </c>
      <c r="K147" s="12">
        <f>IF(J147="","",IF(J147&lt;0,"Saldo negativo: revisa",IFERROR(IF(J147&lt;=INDEX(Productos!$D$5:$D$104,MATCH(B147,Productos!$A$5:$A$104,0)),"En el mínimo o por debajo",""),"")))</f>
      </c>
      <c r="L147" s="13"/>
    </row>
    <row r="148" spans="1:12" x14ac:dyDescent="0.25">
      <c r="A148" s="16"/>
      <c r="B148" s="13"/>
      <c r="C148" s="12">
        <f>IF(B148="","",IFERROR(INDEX(Productos!$B$5:$B$104,MATCH(B148,Productos!$A$5:$A$104,0)),"Código no encontrado"))</f>
      </c>
      <c r="D148" s="13"/>
      <c r="E148" s="17"/>
      <c r="F148" s="13"/>
      <c r="G148" s="16"/>
      <c r="H148" s="13"/>
      <c r="I148" s="13"/>
      <c r="J148" s="11">
        <f>IF(OR(B148="",E148=""),"",SUMIFS($E$5:$E148,$B$5:$B148,B148,$D$5:$D148,"Entrada")-SUMIFS($E$5:$E148,$B$5:$B148,B148,$D$5:$D148,"Salida"))</f>
      </c>
      <c r="K148" s="12">
        <f>IF(J148="","",IF(J148&lt;0,"Saldo negativo: revisa",IFERROR(IF(J148&lt;=INDEX(Productos!$D$5:$D$104,MATCH(B148,Productos!$A$5:$A$104,0)),"En el mínimo o por debajo",""),"")))</f>
      </c>
      <c r="L148" s="13"/>
    </row>
    <row r="149" spans="1:12" x14ac:dyDescent="0.25">
      <c r="A149" s="16"/>
      <c r="B149" s="13"/>
      <c r="C149" s="12">
        <f>IF(B149="","",IFERROR(INDEX(Productos!$B$5:$B$104,MATCH(B149,Productos!$A$5:$A$104,0)),"Código no encontrado"))</f>
      </c>
      <c r="D149" s="13"/>
      <c r="E149" s="17"/>
      <c r="F149" s="13"/>
      <c r="G149" s="16"/>
      <c r="H149" s="13"/>
      <c r="I149" s="13"/>
      <c r="J149" s="11">
        <f>IF(OR(B149="",E149=""),"",SUMIFS($E$5:$E149,$B$5:$B149,B149,$D$5:$D149,"Entrada")-SUMIFS($E$5:$E149,$B$5:$B149,B149,$D$5:$D149,"Salida"))</f>
      </c>
      <c r="K149" s="12">
        <f>IF(J149="","",IF(J149&lt;0,"Saldo negativo: revisa",IFERROR(IF(J149&lt;=INDEX(Productos!$D$5:$D$104,MATCH(B149,Productos!$A$5:$A$104,0)),"En el mínimo o por debajo",""),"")))</f>
      </c>
      <c r="L149" s="13"/>
    </row>
    <row r="150" spans="1:12" x14ac:dyDescent="0.25">
      <c r="A150" s="16"/>
      <c r="B150" s="13"/>
      <c r="C150" s="12">
        <f>IF(B150="","",IFERROR(INDEX(Productos!$B$5:$B$104,MATCH(B150,Productos!$A$5:$A$104,0)),"Código no encontrado"))</f>
      </c>
      <c r="D150" s="13"/>
      <c r="E150" s="17"/>
      <c r="F150" s="13"/>
      <c r="G150" s="16"/>
      <c r="H150" s="13"/>
      <c r="I150" s="13"/>
      <c r="J150" s="11">
        <f>IF(OR(B150="",E150=""),"",SUMIFS($E$5:$E150,$B$5:$B150,B150,$D$5:$D150,"Entrada")-SUMIFS($E$5:$E150,$B$5:$B150,B150,$D$5:$D150,"Salida"))</f>
      </c>
      <c r="K150" s="12">
        <f>IF(J150="","",IF(J150&lt;0,"Saldo negativo: revisa",IFERROR(IF(J150&lt;=INDEX(Productos!$D$5:$D$104,MATCH(B150,Productos!$A$5:$A$104,0)),"En el mínimo o por debajo",""),"")))</f>
      </c>
      <c r="L150" s="13"/>
    </row>
    <row r="151" spans="1:12" x14ac:dyDescent="0.25">
      <c r="A151" s="16"/>
      <c r="B151" s="13"/>
      <c r="C151" s="12">
        <f>IF(B151="","",IFERROR(INDEX(Productos!$B$5:$B$104,MATCH(B151,Productos!$A$5:$A$104,0)),"Código no encontrado"))</f>
      </c>
      <c r="D151" s="13"/>
      <c r="E151" s="17"/>
      <c r="F151" s="13"/>
      <c r="G151" s="16"/>
      <c r="H151" s="13"/>
      <c r="I151" s="13"/>
      <c r="J151" s="11">
        <f>IF(OR(B151="",E151=""),"",SUMIFS($E$5:$E151,$B$5:$B151,B151,$D$5:$D151,"Entrada")-SUMIFS($E$5:$E151,$B$5:$B151,B151,$D$5:$D151,"Salida"))</f>
      </c>
      <c r="K151" s="12">
        <f>IF(J151="","",IF(J151&lt;0,"Saldo negativo: revisa",IFERROR(IF(J151&lt;=INDEX(Productos!$D$5:$D$104,MATCH(B151,Productos!$A$5:$A$104,0)),"En el mínimo o por debajo",""),"")))</f>
      </c>
      <c r="L151" s="13"/>
    </row>
    <row r="152" spans="1:12" x14ac:dyDescent="0.25">
      <c r="A152" s="16"/>
      <c r="B152" s="13"/>
      <c r="C152" s="12">
        <f>IF(B152="","",IFERROR(INDEX(Productos!$B$5:$B$104,MATCH(B152,Productos!$A$5:$A$104,0)),"Código no encontrado"))</f>
      </c>
      <c r="D152" s="13"/>
      <c r="E152" s="17"/>
      <c r="F152" s="13"/>
      <c r="G152" s="16"/>
      <c r="H152" s="13"/>
      <c r="I152" s="13"/>
      <c r="J152" s="11">
        <f>IF(OR(B152="",E152=""),"",SUMIFS($E$5:$E152,$B$5:$B152,B152,$D$5:$D152,"Entrada")-SUMIFS($E$5:$E152,$B$5:$B152,B152,$D$5:$D152,"Salida"))</f>
      </c>
      <c r="K152" s="12">
        <f>IF(J152="","",IF(J152&lt;0,"Saldo negativo: revisa",IFERROR(IF(J152&lt;=INDEX(Productos!$D$5:$D$104,MATCH(B152,Productos!$A$5:$A$104,0)),"En el mínimo o por debajo",""),"")))</f>
      </c>
      <c r="L152" s="13"/>
    </row>
    <row r="153" spans="1:12" x14ac:dyDescent="0.25">
      <c r="A153" s="16"/>
      <c r="B153" s="13"/>
      <c r="C153" s="12">
        <f>IF(B153="","",IFERROR(INDEX(Productos!$B$5:$B$104,MATCH(B153,Productos!$A$5:$A$104,0)),"Código no encontrado"))</f>
      </c>
      <c r="D153" s="13"/>
      <c r="E153" s="17"/>
      <c r="F153" s="13"/>
      <c r="G153" s="16"/>
      <c r="H153" s="13"/>
      <c r="I153" s="13"/>
      <c r="J153" s="11">
        <f>IF(OR(B153="",E153=""),"",SUMIFS($E$5:$E153,$B$5:$B153,B153,$D$5:$D153,"Entrada")-SUMIFS($E$5:$E153,$B$5:$B153,B153,$D$5:$D153,"Salida"))</f>
      </c>
      <c r="K153" s="12">
        <f>IF(J153="","",IF(J153&lt;0,"Saldo negativo: revisa",IFERROR(IF(J153&lt;=INDEX(Productos!$D$5:$D$104,MATCH(B153,Productos!$A$5:$A$104,0)),"En el mínimo o por debajo",""),"")))</f>
      </c>
      <c r="L153" s="13"/>
    </row>
    <row r="154" spans="1:12" x14ac:dyDescent="0.25">
      <c r="A154" s="16"/>
      <c r="B154" s="13"/>
      <c r="C154" s="12">
        <f>IF(B154="","",IFERROR(INDEX(Productos!$B$5:$B$104,MATCH(B154,Productos!$A$5:$A$104,0)),"Código no encontrado"))</f>
      </c>
      <c r="D154" s="13"/>
      <c r="E154" s="17"/>
      <c r="F154" s="13"/>
      <c r="G154" s="16"/>
      <c r="H154" s="13"/>
      <c r="I154" s="13"/>
      <c r="J154" s="11">
        <f>IF(OR(B154="",E154=""),"",SUMIFS($E$5:$E154,$B$5:$B154,B154,$D$5:$D154,"Entrada")-SUMIFS($E$5:$E154,$B$5:$B154,B154,$D$5:$D154,"Salida"))</f>
      </c>
      <c r="K154" s="12">
        <f>IF(J154="","",IF(J154&lt;0,"Saldo negativo: revisa",IFERROR(IF(J154&lt;=INDEX(Productos!$D$5:$D$104,MATCH(B154,Productos!$A$5:$A$104,0)),"En el mínimo o por debajo",""),"")))</f>
      </c>
      <c r="L154" s="13"/>
    </row>
    <row r="155" spans="1:12" x14ac:dyDescent="0.25">
      <c r="A155" s="16"/>
      <c r="B155" s="13"/>
      <c r="C155" s="12">
        <f>IF(B155="","",IFERROR(INDEX(Productos!$B$5:$B$104,MATCH(B155,Productos!$A$5:$A$104,0)),"Código no encontrado"))</f>
      </c>
      <c r="D155" s="13"/>
      <c r="E155" s="17"/>
      <c r="F155" s="13"/>
      <c r="G155" s="16"/>
      <c r="H155" s="13"/>
      <c r="I155" s="13"/>
      <c r="J155" s="11">
        <f>IF(OR(B155="",E155=""),"",SUMIFS($E$5:$E155,$B$5:$B155,B155,$D$5:$D155,"Entrada")-SUMIFS($E$5:$E155,$B$5:$B155,B155,$D$5:$D155,"Salida"))</f>
      </c>
      <c r="K155" s="12">
        <f>IF(J155="","",IF(J155&lt;0,"Saldo negativo: revisa",IFERROR(IF(J155&lt;=INDEX(Productos!$D$5:$D$104,MATCH(B155,Productos!$A$5:$A$104,0)),"En el mínimo o por debajo",""),"")))</f>
      </c>
      <c r="L155" s="13"/>
    </row>
    <row r="156" spans="1:12" x14ac:dyDescent="0.25">
      <c r="A156" s="16"/>
      <c r="B156" s="13"/>
      <c r="C156" s="12">
        <f>IF(B156="","",IFERROR(INDEX(Productos!$B$5:$B$104,MATCH(B156,Productos!$A$5:$A$104,0)),"Código no encontrado"))</f>
      </c>
      <c r="D156" s="13"/>
      <c r="E156" s="17"/>
      <c r="F156" s="13"/>
      <c r="G156" s="16"/>
      <c r="H156" s="13"/>
      <c r="I156" s="13"/>
      <c r="J156" s="11">
        <f>IF(OR(B156="",E156=""),"",SUMIFS($E$5:$E156,$B$5:$B156,B156,$D$5:$D156,"Entrada")-SUMIFS($E$5:$E156,$B$5:$B156,B156,$D$5:$D156,"Salida"))</f>
      </c>
      <c r="K156" s="12">
        <f>IF(J156="","",IF(J156&lt;0,"Saldo negativo: revisa",IFERROR(IF(J156&lt;=INDEX(Productos!$D$5:$D$104,MATCH(B156,Productos!$A$5:$A$104,0)),"En el mínimo o por debajo",""),"")))</f>
      </c>
      <c r="L156" s="13"/>
    </row>
    <row r="157" spans="1:12" x14ac:dyDescent="0.25">
      <c r="A157" s="16"/>
      <c r="B157" s="13"/>
      <c r="C157" s="12">
        <f>IF(B157="","",IFERROR(INDEX(Productos!$B$5:$B$104,MATCH(B157,Productos!$A$5:$A$104,0)),"Código no encontrado"))</f>
      </c>
      <c r="D157" s="13"/>
      <c r="E157" s="17"/>
      <c r="F157" s="13"/>
      <c r="G157" s="16"/>
      <c r="H157" s="13"/>
      <c r="I157" s="13"/>
      <c r="J157" s="11">
        <f>IF(OR(B157="",E157=""),"",SUMIFS($E$5:$E157,$B$5:$B157,B157,$D$5:$D157,"Entrada")-SUMIFS($E$5:$E157,$B$5:$B157,B157,$D$5:$D157,"Salida"))</f>
      </c>
      <c r="K157" s="12">
        <f>IF(J157="","",IF(J157&lt;0,"Saldo negativo: revisa",IFERROR(IF(J157&lt;=INDEX(Productos!$D$5:$D$104,MATCH(B157,Productos!$A$5:$A$104,0)),"En el mínimo o por debajo",""),"")))</f>
      </c>
      <c r="L157" s="13"/>
    </row>
    <row r="158" spans="1:12" x14ac:dyDescent="0.25">
      <c r="A158" s="16"/>
      <c r="B158" s="13"/>
      <c r="C158" s="12">
        <f>IF(B158="","",IFERROR(INDEX(Productos!$B$5:$B$104,MATCH(B158,Productos!$A$5:$A$104,0)),"Código no encontrado"))</f>
      </c>
      <c r="D158" s="13"/>
      <c r="E158" s="17"/>
      <c r="F158" s="13"/>
      <c r="G158" s="16"/>
      <c r="H158" s="13"/>
      <c r="I158" s="13"/>
      <c r="J158" s="11">
        <f>IF(OR(B158="",E158=""),"",SUMIFS($E$5:$E158,$B$5:$B158,B158,$D$5:$D158,"Entrada")-SUMIFS($E$5:$E158,$B$5:$B158,B158,$D$5:$D158,"Salida"))</f>
      </c>
      <c r="K158" s="12">
        <f>IF(J158="","",IF(J158&lt;0,"Saldo negativo: revisa",IFERROR(IF(J158&lt;=INDEX(Productos!$D$5:$D$104,MATCH(B158,Productos!$A$5:$A$104,0)),"En el mínimo o por debajo",""),"")))</f>
      </c>
      <c r="L158" s="13"/>
    </row>
    <row r="159" spans="1:12" x14ac:dyDescent="0.25">
      <c r="A159" s="16"/>
      <c r="B159" s="13"/>
      <c r="C159" s="12">
        <f>IF(B159="","",IFERROR(INDEX(Productos!$B$5:$B$104,MATCH(B159,Productos!$A$5:$A$104,0)),"Código no encontrado"))</f>
      </c>
      <c r="D159" s="13"/>
      <c r="E159" s="17"/>
      <c r="F159" s="13"/>
      <c r="G159" s="16"/>
      <c r="H159" s="13"/>
      <c r="I159" s="13"/>
      <c r="J159" s="11">
        <f>IF(OR(B159="",E159=""),"",SUMIFS($E$5:$E159,$B$5:$B159,B159,$D$5:$D159,"Entrada")-SUMIFS($E$5:$E159,$B$5:$B159,B159,$D$5:$D159,"Salida"))</f>
      </c>
      <c r="K159" s="12">
        <f>IF(J159="","",IF(J159&lt;0,"Saldo negativo: revisa",IFERROR(IF(J159&lt;=INDEX(Productos!$D$5:$D$104,MATCH(B159,Productos!$A$5:$A$104,0)),"En el mínimo o por debajo",""),"")))</f>
      </c>
      <c r="L159" s="13"/>
    </row>
    <row r="160" spans="1:12" x14ac:dyDescent="0.25">
      <c r="A160" s="16"/>
      <c r="B160" s="13"/>
      <c r="C160" s="12">
        <f>IF(B160="","",IFERROR(INDEX(Productos!$B$5:$B$104,MATCH(B160,Productos!$A$5:$A$104,0)),"Código no encontrado"))</f>
      </c>
      <c r="D160" s="13"/>
      <c r="E160" s="17"/>
      <c r="F160" s="13"/>
      <c r="G160" s="16"/>
      <c r="H160" s="13"/>
      <c r="I160" s="13"/>
      <c r="J160" s="11">
        <f>IF(OR(B160="",E160=""),"",SUMIFS($E$5:$E160,$B$5:$B160,B160,$D$5:$D160,"Entrada")-SUMIFS($E$5:$E160,$B$5:$B160,B160,$D$5:$D160,"Salida"))</f>
      </c>
      <c r="K160" s="12">
        <f>IF(J160="","",IF(J160&lt;0,"Saldo negativo: revisa",IFERROR(IF(J160&lt;=INDEX(Productos!$D$5:$D$104,MATCH(B160,Productos!$A$5:$A$104,0)),"En el mínimo o por debajo",""),"")))</f>
      </c>
      <c r="L160" s="13"/>
    </row>
    <row r="161" spans="1:12" x14ac:dyDescent="0.25">
      <c r="A161" s="16"/>
      <c r="B161" s="13"/>
      <c r="C161" s="12">
        <f>IF(B161="","",IFERROR(INDEX(Productos!$B$5:$B$104,MATCH(B161,Productos!$A$5:$A$104,0)),"Código no encontrado"))</f>
      </c>
      <c r="D161" s="13"/>
      <c r="E161" s="17"/>
      <c r="F161" s="13"/>
      <c r="G161" s="16"/>
      <c r="H161" s="13"/>
      <c r="I161" s="13"/>
      <c r="J161" s="11">
        <f>IF(OR(B161="",E161=""),"",SUMIFS($E$5:$E161,$B$5:$B161,B161,$D$5:$D161,"Entrada")-SUMIFS($E$5:$E161,$B$5:$B161,B161,$D$5:$D161,"Salida"))</f>
      </c>
      <c r="K161" s="12">
        <f>IF(J161="","",IF(J161&lt;0,"Saldo negativo: revisa",IFERROR(IF(J161&lt;=INDEX(Productos!$D$5:$D$104,MATCH(B161,Productos!$A$5:$A$104,0)),"En el mínimo o por debajo",""),"")))</f>
      </c>
      <c r="L161" s="13"/>
    </row>
    <row r="162" spans="1:12" x14ac:dyDescent="0.25">
      <c r="A162" s="16"/>
      <c r="B162" s="13"/>
      <c r="C162" s="12">
        <f>IF(B162="","",IFERROR(INDEX(Productos!$B$5:$B$104,MATCH(B162,Productos!$A$5:$A$104,0)),"Código no encontrado"))</f>
      </c>
      <c r="D162" s="13"/>
      <c r="E162" s="17"/>
      <c r="F162" s="13"/>
      <c r="G162" s="16"/>
      <c r="H162" s="13"/>
      <c r="I162" s="13"/>
      <c r="J162" s="11">
        <f>IF(OR(B162="",E162=""),"",SUMIFS($E$5:$E162,$B$5:$B162,B162,$D$5:$D162,"Entrada")-SUMIFS($E$5:$E162,$B$5:$B162,B162,$D$5:$D162,"Salida"))</f>
      </c>
      <c r="K162" s="12">
        <f>IF(J162="","",IF(J162&lt;0,"Saldo negativo: revisa",IFERROR(IF(J162&lt;=INDEX(Productos!$D$5:$D$104,MATCH(B162,Productos!$A$5:$A$104,0)),"En el mínimo o por debajo",""),"")))</f>
      </c>
      <c r="L162" s="13"/>
    </row>
    <row r="163" spans="1:12" x14ac:dyDescent="0.25">
      <c r="A163" s="16"/>
      <c r="B163" s="13"/>
      <c r="C163" s="12">
        <f>IF(B163="","",IFERROR(INDEX(Productos!$B$5:$B$104,MATCH(B163,Productos!$A$5:$A$104,0)),"Código no encontrado"))</f>
      </c>
      <c r="D163" s="13"/>
      <c r="E163" s="17"/>
      <c r="F163" s="13"/>
      <c r="G163" s="16"/>
      <c r="H163" s="13"/>
      <c r="I163" s="13"/>
      <c r="J163" s="11">
        <f>IF(OR(B163="",E163=""),"",SUMIFS($E$5:$E163,$B$5:$B163,B163,$D$5:$D163,"Entrada")-SUMIFS($E$5:$E163,$B$5:$B163,B163,$D$5:$D163,"Salida"))</f>
      </c>
      <c r="K163" s="12">
        <f>IF(J163="","",IF(J163&lt;0,"Saldo negativo: revisa",IFERROR(IF(J163&lt;=INDEX(Productos!$D$5:$D$104,MATCH(B163,Productos!$A$5:$A$104,0)),"En el mínimo o por debajo",""),"")))</f>
      </c>
      <c r="L163" s="13"/>
    </row>
    <row r="164" spans="1:12" x14ac:dyDescent="0.25">
      <c r="A164" s="16"/>
      <c r="B164" s="13"/>
      <c r="C164" s="12">
        <f>IF(B164="","",IFERROR(INDEX(Productos!$B$5:$B$104,MATCH(B164,Productos!$A$5:$A$104,0)),"Código no encontrado"))</f>
      </c>
      <c r="D164" s="13"/>
      <c r="E164" s="17"/>
      <c r="F164" s="13"/>
      <c r="G164" s="16"/>
      <c r="H164" s="13"/>
      <c r="I164" s="13"/>
      <c r="J164" s="11">
        <f>IF(OR(B164="",E164=""),"",SUMIFS($E$5:$E164,$B$5:$B164,B164,$D$5:$D164,"Entrada")-SUMIFS($E$5:$E164,$B$5:$B164,B164,$D$5:$D164,"Salida"))</f>
      </c>
      <c r="K164" s="12">
        <f>IF(J164="","",IF(J164&lt;0,"Saldo negativo: revisa",IFERROR(IF(J164&lt;=INDEX(Productos!$D$5:$D$104,MATCH(B164,Productos!$A$5:$A$104,0)),"En el mínimo o por debajo",""),"")))</f>
      </c>
      <c r="L164" s="13"/>
    </row>
    <row r="165" spans="1:12" x14ac:dyDescent="0.25">
      <c r="A165" s="16"/>
      <c r="B165" s="13"/>
      <c r="C165" s="12">
        <f>IF(B165="","",IFERROR(INDEX(Productos!$B$5:$B$104,MATCH(B165,Productos!$A$5:$A$104,0)),"Código no encontrado"))</f>
      </c>
      <c r="D165" s="13"/>
      <c r="E165" s="17"/>
      <c r="F165" s="13"/>
      <c r="G165" s="16"/>
      <c r="H165" s="13"/>
      <c r="I165" s="13"/>
      <c r="J165" s="11">
        <f>IF(OR(B165="",E165=""),"",SUMIFS($E$5:$E165,$B$5:$B165,B165,$D$5:$D165,"Entrada")-SUMIFS($E$5:$E165,$B$5:$B165,B165,$D$5:$D165,"Salida"))</f>
      </c>
      <c r="K165" s="12">
        <f>IF(J165="","",IF(J165&lt;0,"Saldo negativo: revisa",IFERROR(IF(J165&lt;=INDEX(Productos!$D$5:$D$104,MATCH(B165,Productos!$A$5:$A$104,0)),"En el mínimo o por debajo",""),"")))</f>
      </c>
      <c r="L165" s="13"/>
    </row>
    <row r="166" spans="1:12" x14ac:dyDescent="0.25">
      <c r="A166" s="16"/>
      <c r="B166" s="13"/>
      <c r="C166" s="12">
        <f>IF(B166="","",IFERROR(INDEX(Productos!$B$5:$B$104,MATCH(B166,Productos!$A$5:$A$104,0)),"Código no encontrado"))</f>
      </c>
      <c r="D166" s="13"/>
      <c r="E166" s="17"/>
      <c r="F166" s="13"/>
      <c r="G166" s="16"/>
      <c r="H166" s="13"/>
      <c r="I166" s="13"/>
      <c r="J166" s="11">
        <f>IF(OR(B166="",E166=""),"",SUMIFS($E$5:$E166,$B$5:$B166,B166,$D$5:$D166,"Entrada")-SUMIFS($E$5:$E166,$B$5:$B166,B166,$D$5:$D166,"Salida"))</f>
      </c>
      <c r="K166" s="12">
        <f>IF(J166="","",IF(J166&lt;0,"Saldo negativo: revisa",IFERROR(IF(J166&lt;=INDEX(Productos!$D$5:$D$104,MATCH(B166,Productos!$A$5:$A$104,0)),"En el mínimo o por debajo",""),"")))</f>
      </c>
      <c r="L166" s="13"/>
    </row>
    <row r="167" spans="1:12" x14ac:dyDescent="0.25">
      <c r="A167" s="16"/>
      <c r="B167" s="13"/>
      <c r="C167" s="12">
        <f>IF(B167="","",IFERROR(INDEX(Productos!$B$5:$B$104,MATCH(B167,Productos!$A$5:$A$104,0)),"Código no encontrado"))</f>
      </c>
      <c r="D167" s="13"/>
      <c r="E167" s="17"/>
      <c r="F167" s="13"/>
      <c r="G167" s="16"/>
      <c r="H167" s="13"/>
      <c r="I167" s="13"/>
      <c r="J167" s="11">
        <f>IF(OR(B167="",E167=""),"",SUMIFS($E$5:$E167,$B$5:$B167,B167,$D$5:$D167,"Entrada")-SUMIFS($E$5:$E167,$B$5:$B167,B167,$D$5:$D167,"Salida"))</f>
      </c>
      <c r="K167" s="12">
        <f>IF(J167="","",IF(J167&lt;0,"Saldo negativo: revisa",IFERROR(IF(J167&lt;=INDEX(Productos!$D$5:$D$104,MATCH(B167,Productos!$A$5:$A$104,0)),"En el mínimo o por debajo",""),"")))</f>
      </c>
      <c r="L167" s="13"/>
    </row>
    <row r="168" spans="1:12" x14ac:dyDescent="0.25">
      <c r="A168" s="16"/>
      <c r="B168" s="13"/>
      <c r="C168" s="12">
        <f>IF(B168="","",IFERROR(INDEX(Productos!$B$5:$B$104,MATCH(B168,Productos!$A$5:$A$104,0)),"Código no encontrado"))</f>
      </c>
      <c r="D168" s="13"/>
      <c r="E168" s="17"/>
      <c r="F168" s="13"/>
      <c r="G168" s="16"/>
      <c r="H168" s="13"/>
      <c r="I168" s="13"/>
      <c r="J168" s="11">
        <f>IF(OR(B168="",E168=""),"",SUMIFS($E$5:$E168,$B$5:$B168,B168,$D$5:$D168,"Entrada")-SUMIFS($E$5:$E168,$B$5:$B168,B168,$D$5:$D168,"Salida"))</f>
      </c>
      <c r="K168" s="12">
        <f>IF(J168="","",IF(J168&lt;0,"Saldo negativo: revisa",IFERROR(IF(J168&lt;=INDEX(Productos!$D$5:$D$104,MATCH(B168,Productos!$A$5:$A$104,0)),"En el mínimo o por debajo",""),"")))</f>
      </c>
      <c r="L168" s="13"/>
    </row>
    <row r="169" spans="1:12" x14ac:dyDescent="0.25">
      <c r="A169" s="16"/>
      <c r="B169" s="13"/>
      <c r="C169" s="12">
        <f>IF(B169="","",IFERROR(INDEX(Productos!$B$5:$B$104,MATCH(B169,Productos!$A$5:$A$104,0)),"Código no encontrado"))</f>
      </c>
      <c r="D169" s="13"/>
      <c r="E169" s="17"/>
      <c r="F169" s="13"/>
      <c r="G169" s="16"/>
      <c r="H169" s="13"/>
      <c r="I169" s="13"/>
      <c r="J169" s="11">
        <f>IF(OR(B169="",E169=""),"",SUMIFS($E$5:$E169,$B$5:$B169,B169,$D$5:$D169,"Entrada")-SUMIFS($E$5:$E169,$B$5:$B169,B169,$D$5:$D169,"Salida"))</f>
      </c>
      <c r="K169" s="12">
        <f>IF(J169="","",IF(J169&lt;0,"Saldo negativo: revisa",IFERROR(IF(J169&lt;=INDEX(Productos!$D$5:$D$104,MATCH(B169,Productos!$A$5:$A$104,0)),"En el mínimo o por debajo",""),"")))</f>
      </c>
      <c r="L169" s="13"/>
    </row>
    <row r="170" spans="1:12" x14ac:dyDescent="0.25">
      <c r="A170" s="16"/>
      <c r="B170" s="13"/>
      <c r="C170" s="12">
        <f>IF(B170="","",IFERROR(INDEX(Productos!$B$5:$B$104,MATCH(B170,Productos!$A$5:$A$104,0)),"Código no encontrado"))</f>
      </c>
      <c r="D170" s="13"/>
      <c r="E170" s="17"/>
      <c r="F170" s="13"/>
      <c r="G170" s="16"/>
      <c r="H170" s="13"/>
      <c r="I170" s="13"/>
      <c r="J170" s="11">
        <f>IF(OR(B170="",E170=""),"",SUMIFS($E$5:$E170,$B$5:$B170,B170,$D$5:$D170,"Entrada")-SUMIFS($E$5:$E170,$B$5:$B170,B170,$D$5:$D170,"Salida"))</f>
      </c>
      <c r="K170" s="12">
        <f>IF(J170="","",IF(J170&lt;0,"Saldo negativo: revisa",IFERROR(IF(J170&lt;=INDEX(Productos!$D$5:$D$104,MATCH(B170,Productos!$A$5:$A$104,0)),"En el mínimo o por debajo",""),"")))</f>
      </c>
      <c r="L170" s="13"/>
    </row>
    <row r="171" spans="1:12" x14ac:dyDescent="0.25">
      <c r="A171" s="16"/>
      <c r="B171" s="13"/>
      <c r="C171" s="12">
        <f>IF(B171="","",IFERROR(INDEX(Productos!$B$5:$B$104,MATCH(B171,Productos!$A$5:$A$104,0)),"Código no encontrado"))</f>
      </c>
      <c r="D171" s="13"/>
      <c r="E171" s="17"/>
      <c r="F171" s="13"/>
      <c r="G171" s="16"/>
      <c r="H171" s="13"/>
      <c r="I171" s="13"/>
      <c r="J171" s="11">
        <f>IF(OR(B171="",E171=""),"",SUMIFS($E$5:$E171,$B$5:$B171,B171,$D$5:$D171,"Entrada")-SUMIFS($E$5:$E171,$B$5:$B171,B171,$D$5:$D171,"Salida"))</f>
      </c>
      <c r="K171" s="12">
        <f>IF(J171="","",IF(J171&lt;0,"Saldo negativo: revisa",IFERROR(IF(J171&lt;=INDEX(Productos!$D$5:$D$104,MATCH(B171,Productos!$A$5:$A$104,0)),"En el mínimo o por debajo",""),"")))</f>
      </c>
      <c r="L171" s="13"/>
    </row>
    <row r="172" spans="1:12" x14ac:dyDescent="0.25">
      <c r="A172" s="16"/>
      <c r="B172" s="13"/>
      <c r="C172" s="12">
        <f>IF(B172="","",IFERROR(INDEX(Productos!$B$5:$B$104,MATCH(B172,Productos!$A$5:$A$104,0)),"Código no encontrado"))</f>
      </c>
      <c r="D172" s="13"/>
      <c r="E172" s="17"/>
      <c r="F172" s="13"/>
      <c r="G172" s="16"/>
      <c r="H172" s="13"/>
      <c r="I172" s="13"/>
      <c r="J172" s="11">
        <f>IF(OR(B172="",E172=""),"",SUMIFS($E$5:$E172,$B$5:$B172,B172,$D$5:$D172,"Entrada")-SUMIFS($E$5:$E172,$B$5:$B172,B172,$D$5:$D172,"Salida"))</f>
      </c>
      <c r="K172" s="12">
        <f>IF(J172="","",IF(J172&lt;0,"Saldo negativo: revisa",IFERROR(IF(J172&lt;=INDEX(Productos!$D$5:$D$104,MATCH(B172,Productos!$A$5:$A$104,0)),"En el mínimo o por debajo",""),"")))</f>
      </c>
      <c r="L172" s="13"/>
    </row>
    <row r="173" spans="1:12" x14ac:dyDescent="0.25">
      <c r="A173" s="16"/>
      <c r="B173" s="13"/>
      <c r="C173" s="12">
        <f>IF(B173="","",IFERROR(INDEX(Productos!$B$5:$B$104,MATCH(B173,Productos!$A$5:$A$104,0)),"Código no encontrado"))</f>
      </c>
      <c r="D173" s="13"/>
      <c r="E173" s="17"/>
      <c r="F173" s="13"/>
      <c r="G173" s="16"/>
      <c r="H173" s="13"/>
      <c r="I173" s="13"/>
      <c r="J173" s="11">
        <f>IF(OR(B173="",E173=""),"",SUMIFS($E$5:$E173,$B$5:$B173,B173,$D$5:$D173,"Entrada")-SUMIFS($E$5:$E173,$B$5:$B173,B173,$D$5:$D173,"Salida"))</f>
      </c>
      <c r="K173" s="12">
        <f>IF(J173="","",IF(J173&lt;0,"Saldo negativo: revisa",IFERROR(IF(J173&lt;=INDEX(Productos!$D$5:$D$104,MATCH(B173,Productos!$A$5:$A$104,0)),"En el mínimo o por debajo",""),"")))</f>
      </c>
      <c r="L173" s="13"/>
    </row>
    <row r="174" spans="1:12" x14ac:dyDescent="0.25">
      <c r="A174" s="16"/>
      <c r="B174" s="13"/>
      <c r="C174" s="12">
        <f>IF(B174="","",IFERROR(INDEX(Productos!$B$5:$B$104,MATCH(B174,Productos!$A$5:$A$104,0)),"Código no encontrado"))</f>
      </c>
      <c r="D174" s="13"/>
      <c r="E174" s="17"/>
      <c r="F174" s="13"/>
      <c r="G174" s="16"/>
      <c r="H174" s="13"/>
      <c r="I174" s="13"/>
      <c r="J174" s="11">
        <f>IF(OR(B174="",E174=""),"",SUMIFS($E$5:$E174,$B$5:$B174,B174,$D$5:$D174,"Entrada")-SUMIFS($E$5:$E174,$B$5:$B174,B174,$D$5:$D174,"Salida"))</f>
      </c>
      <c r="K174" s="12">
        <f>IF(J174="","",IF(J174&lt;0,"Saldo negativo: revisa",IFERROR(IF(J174&lt;=INDEX(Productos!$D$5:$D$104,MATCH(B174,Productos!$A$5:$A$104,0)),"En el mínimo o por debajo",""),"")))</f>
      </c>
      <c r="L174" s="13"/>
    </row>
    <row r="175" spans="1:12" x14ac:dyDescent="0.25">
      <c r="A175" s="16"/>
      <c r="B175" s="13"/>
      <c r="C175" s="12">
        <f>IF(B175="","",IFERROR(INDEX(Productos!$B$5:$B$104,MATCH(B175,Productos!$A$5:$A$104,0)),"Código no encontrado"))</f>
      </c>
      <c r="D175" s="13"/>
      <c r="E175" s="17"/>
      <c r="F175" s="13"/>
      <c r="G175" s="16"/>
      <c r="H175" s="13"/>
      <c r="I175" s="13"/>
      <c r="J175" s="11">
        <f>IF(OR(B175="",E175=""),"",SUMIFS($E$5:$E175,$B$5:$B175,B175,$D$5:$D175,"Entrada")-SUMIFS($E$5:$E175,$B$5:$B175,B175,$D$5:$D175,"Salida"))</f>
      </c>
      <c r="K175" s="12">
        <f>IF(J175="","",IF(J175&lt;0,"Saldo negativo: revisa",IFERROR(IF(J175&lt;=INDEX(Productos!$D$5:$D$104,MATCH(B175,Productos!$A$5:$A$104,0)),"En el mínimo o por debajo",""),"")))</f>
      </c>
      <c r="L175" s="13"/>
    </row>
    <row r="176" spans="1:12" x14ac:dyDescent="0.25">
      <c r="A176" s="16"/>
      <c r="B176" s="13"/>
      <c r="C176" s="12">
        <f>IF(B176="","",IFERROR(INDEX(Productos!$B$5:$B$104,MATCH(B176,Productos!$A$5:$A$104,0)),"Código no encontrado"))</f>
      </c>
      <c r="D176" s="13"/>
      <c r="E176" s="17"/>
      <c r="F176" s="13"/>
      <c r="G176" s="16"/>
      <c r="H176" s="13"/>
      <c r="I176" s="13"/>
      <c r="J176" s="11">
        <f>IF(OR(B176="",E176=""),"",SUMIFS($E$5:$E176,$B$5:$B176,B176,$D$5:$D176,"Entrada")-SUMIFS($E$5:$E176,$B$5:$B176,B176,$D$5:$D176,"Salida"))</f>
      </c>
      <c r="K176" s="12">
        <f>IF(J176="","",IF(J176&lt;0,"Saldo negativo: revisa",IFERROR(IF(J176&lt;=INDEX(Productos!$D$5:$D$104,MATCH(B176,Productos!$A$5:$A$104,0)),"En el mínimo o por debajo",""),"")))</f>
      </c>
      <c r="L176" s="13"/>
    </row>
    <row r="177" spans="1:12" x14ac:dyDescent="0.25">
      <c r="A177" s="16"/>
      <c r="B177" s="13"/>
      <c r="C177" s="12">
        <f>IF(B177="","",IFERROR(INDEX(Productos!$B$5:$B$104,MATCH(B177,Productos!$A$5:$A$104,0)),"Código no encontrado"))</f>
      </c>
      <c r="D177" s="13"/>
      <c r="E177" s="17"/>
      <c r="F177" s="13"/>
      <c r="G177" s="16"/>
      <c r="H177" s="13"/>
      <c r="I177" s="13"/>
      <c r="J177" s="11">
        <f>IF(OR(B177="",E177=""),"",SUMIFS($E$5:$E177,$B$5:$B177,B177,$D$5:$D177,"Entrada")-SUMIFS($E$5:$E177,$B$5:$B177,B177,$D$5:$D177,"Salida"))</f>
      </c>
      <c r="K177" s="12">
        <f>IF(J177="","",IF(J177&lt;0,"Saldo negativo: revisa",IFERROR(IF(J177&lt;=INDEX(Productos!$D$5:$D$104,MATCH(B177,Productos!$A$5:$A$104,0)),"En el mínimo o por debajo",""),"")))</f>
      </c>
      <c r="L177" s="13"/>
    </row>
    <row r="178" spans="1:12" x14ac:dyDescent="0.25">
      <c r="A178" s="16"/>
      <c r="B178" s="13"/>
      <c r="C178" s="12">
        <f>IF(B178="","",IFERROR(INDEX(Productos!$B$5:$B$104,MATCH(B178,Productos!$A$5:$A$104,0)),"Código no encontrado"))</f>
      </c>
      <c r="D178" s="13"/>
      <c r="E178" s="17"/>
      <c r="F178" s="13"/>
      <c r="G178" s="16"/>
      <c r="H178" s="13"/>
      <c r="I178" s="13"/>
      <c r="J178" s="11">
        <f>IF(OR(B178="",E178=""),"",SUMIFS($E$5:$E178,$B$5:$B178,B178,$D$5:$D178,"Entrada")-SUMIFS($E$5:$E178,$B$5:$B178,B178,$D$5:$D178,"Salida"))</f>
      </c>
      <c r="K178" s="12">
        <f>IF(J178="","",IF(J178&lt;0,"Saldo negativo: revisa",IFERROR(IF(J178&lt;=INDEX(Productos!$D$5:$D$104,MATCH(B178,Productos!$A$5:$A$104,0)),"En el mínimo o por debajo",""),"")))</f>
      </c>
      <c r="L178" s="13"/>
    </row>
    <row r="179" spans="1:12" x14ac:dyDescent="0.25">
      <c r="A179" s="16"/>
      <c r="B179" s="13"/>
      <c r="C179" s="12">
        <f>IF(B179="","",IFERROR(INDEX(Productos!$B$5:$B$104,MATCH(B179,Productos!$A$5:$A$104,0)),"Código no encontrado"))</f>
      </c>
      <c r="D179" s="13"/>
      <c r="E179" s="17"/>
      <c r="F179" s="13"/>
      <c r="G179" s="16"/>
      <c r="H179" s="13"/>
      <c r="I179" s="13"/>
      <c r="J179" s="11">
        <f>IF(OR(B179="",E179=""),"",SUMIFS($E$5:$E179,$B$5:$B179,B179,$D$5:$D179,"Entrada")-SUMIFS($E$5:$E179,$B$5:$B179,B179,$D$5:$D179,"Salida"))</f>
      </c>
      <c r="K179" s="12">
        <f>IF(J179="","",IF(J179&lt;0,"Saldo negativo: revisa",IFERROR(IF(J179&lt;=INDEX(Productos!$D$5:$D$104,MATCH(B179,Productos!$A$5:$A$104,0)),"En el mínimo o por debajo",""),"")))</f>
      </c>
      <c r="L179" s="13"/>
    </row>
    <row r="180" spans="1:12" x14ac:dyDescent="0.25">
      <c r="A180" s="16"/>
      <c r="B180" s="13"/>
      <c r="C180" s="12">
        <f>IF(B180="","",IFERROR(INDEX(Productos!$B$5:$B$104,MATCH(B180,Productos!$A$5:$A$104,0)),"Código no encontrado"))</f>
      </c>
      <c r="D180" s="13"/>
      <c r="E180" s="17"/>
      <c r="F180" s="13"/>
      <c r="G180" s="16"/>
      <c r="H180" s="13"/>
      <c r="I180" s="13"/>
      <c r="J180" s="11">
        <f>IF(OR(B180="",E180=""),"",SUMIFS($E$5:$E180,$B$5:$B180,B180,$D$5:$D180,"Entrada")-SUMIFS($E$5:$E180,$B$5:$B180,B180,$D$5:$D180,"Salida"))</f>
      </c>
      <c r="K180" s="12">
        <f>IF(J180="","",IF(J180&lt;0,"Saldo negativo: revisa",IFERROR(IF(J180&lt;=INDEX(Productos!$D$5:$D$104,MATCH(B180,Productos!$A$5:$A$104,0)),"En el mínimo o por debajo",""),"")))</f>
      </c>
      <c r="L180" s="13"/>
    </row>
    <row r="181" spans="1:12" x14ac:dyDescent="0.25">
      <c r="A181" s="16"/>
      <c r="B181" s="13"/>
      <c r="C181" s="12">
        <f>IF(B181="","",IFERROR(INDEX(Productos!$B$5:$B$104,MATCH(B181,Productos!$A$5:$A$104,0)),"Código no encontrado"))</f>
      </c>
      <c r="D181" s="13"/>
      <c r="E181" s="17"/>
      <c r="F181" s="13"/>
      <c r="G181" s="16"/>
      <c r="H181" s="13"/>
      <c r="I181" s="13"/>
      <c r="J181" s="11">
        <f>IF(OR(B181="",E181=""),"",SUMIFS($E$5:$E181,$B$5:$B181,B181,$D$5:$D181,"Entrada")-SUMIFS($E$5:$E181,$B$5:$B181,B181,$D$5:$D181,"Salida"))</f>
      </c>
      <c r="K181" s="12">
        <f>IF(J181="","",IF(J181&lt;0,"Saldo negativo: revisa",IFERROR(IF(J181&lt;=INDEX(Productos!$D$5:$D$104,MATCH(B181,Productos!$A$5:$A$104,0)),"En el mínimo o por debajo",""),"")))</f>
      </c>
      <c r="L181" s="13"/>
    </row>
    <row r="182" spans="1:12" x14ac:dyDescent="0.25">
      <c r="A182" s="16"/>
      <c r="B182" s="13"/>
      <c r="C182" s="12">
        <f>IF(B182="","",IFERROR(INDEX(Productos!$B$5:$B$104,MATCH(B182,Productos!$A$5:$A$104,0)),"Código no encontrado"))</f>
      </c>
      <c r="D182" s="13"/>
      <c r="E182" s="17"/>
      <c r="F182" s="13"/>
      <c r="G182" s="16"/>
      <c r="H182" s="13"/>
      <c r="I182" s="13"/>
      <c r="J182" s="11">
        <f>IF(OR(B182="",E182=""),"",SUMIFS($E$5:$E182,$B$5:$B182,B182,$D$5:$D182,"Entrada")-SUMIFS($E$5:$E182,$B$5:$B182,B182,$D$5:$D182,"Salida"))</f>
      </c>
      <c r="K182" s="12">
        <f>IF(J182="","",IF(J182&lt;0,"Saldo negativo: revisa",IFERROR(IF(J182&lt;=INDEX(Productos!$D$5:$D$104,MATCH(B182,Productos!$A$5:$A$104,0)),"En el mínimo o por debajo",""),"")))</f>
      </c>
      <c r="L182" s="13"/>
    </row>
    <row r="183" spans="1:12" x14ac:dyDescent="0.25">
      <c r="A183" s="16"/>
      <c r="B183" s="13"/>
      <c r="C183" s="12">
        <f>IF(B183="","",IFERROR(INDEX(Productos!$B$5:$B$104,MATCH(B183,Productos!$A$5:$A$104,0)),"Código no encontrado"))</f>
      </c>
      <c r="D183" s="13"/>
      <c r="E183" s="17"/>
      <c r="F183" s="13"/>
      <c r="G183" s="16"/>
      <c r="H183" s="13"/>
      <c r="I183" s="13"/>
      <c r="J183" s="11">
        <f>IF(OR(B183="",E183=""),"",SUMIFS($E$5:$E183,$B$5:$B183,B183,$D$5:$D183,"Entrada")-SUMIFS($E$5:$E183,$B$5:$B183,B183,$D$5:$D183,"Salida"))</f>
      </c>
      <c r="K183" s="12">
        <f>IF(J183="","",IF(J183&lt;0,"Saldo negativo: revisa",IFERROR(IF(J183&lt;=INDEX(Productos!$D$5:$D$104,MATCH(B183,Productos!$A$5:$A$104,0)),"En el mínimo o por debajo",""),"")))</f>
      </c>
      <c r="L183" s="13"/>
    </row>
    <row r="184" spans="1:12" x14ac:dyDescent="0.25">
      <c r="A184" s="16"/>
      <c r="B184" s="13"/>
      <c r="C184" s="12">
        <f>IF(B184="","",IFERROR(INDEX(Productos!$B$5:$B$104,MATCH(B184,Productos!$A$5:$A$104,0)),"Código no encontrado"))</f>
      </c>
      <c r="D184" s="13"/>
      <c r="E184" s="17"/>
      <c r="F184" s="13"/>
      <c r="G184" s="16"/>
      <c r="H184" s="13"/>
      <c r="I184" s="13"/>
      <c r="J184" s="11">
        <f>IF(OR(B184="",E184=""),"",SUMIFS($E$5:$E184,$B$5:$B184,B184,$D$5:$D184,"Entrada")-SUMIFS($E$5:$E184,$B$5:$B184,B184,$D$5:$D184,"Salida"))</f>
      </c>
      <c r="K184" s="12">
        <f>IF(J184="","",IF(J184&lt;0,"Saldo negativo: revisa",IFERROR(IF(J184&lt;=INDEX(Productos!$D$5:$D$104,MATCH(B184,Productos!$A$5:$A$104,0)),"En el mínimo o por debajo",""),"")))</f>
      </c>
      <c r="L184" s="13"/>
    </row>
    <row r="185" spans="1:12" x14ac:dyDescent="0.25">
      <c r="A185" s="16"/>
      <c r="B185" s="13"/>
      <c r="C185" s="12">
        <f>IF(B185="","",IFERROR(INDEX(Productos!$B$5:$B$104,MATCH(B185,Productos!$A$5:$A$104,0)),"Código no encontrado"))</f>
      </c>
      <c r="D185" s="13"/>
      <c r="E185" s="17"/>
      <c r="F185" s="13"/>
      <c r="G185" s="16"/>
      <c r="H185" s="13"/>
      <c r="I185" s="13"/>
      <c r="J185" s="11">
        <f>IF(OR(B185="",E185=""),"",SUMIFS($E$5:$E185,$B$5:$B185,B185,$D$5:$D185,"Entrada")-SUMIFS($E$5:$E185,$B$5:$B185,B185,$D$5:$D185,"Salida"))</f>
      </c>
      <c r="K185" s="12">
        <f>IF(J185="","",IF(J185&lt;0,"Saldo negativo: revisa",IFERROR(IF(J185&lt;=INDEX(Productos!$D$5:$D$104,MATCH(B185,Productos!$A$5:$A$104,0)),"En el mínimo o por debajo",""),"")))</f>
      </c>
      <c r="L185" s="13"/>
    </row>
    <row r="186" spans="1:12" x14ac:dyDescent="0.25">
      <c r="A186" s="16"/>
      <c r="B186" s="13"/>
      <c r="C186" s="12">
        <f>IF(B186="","",IFERROR(INDEX(Productos!$B$5:$B$104,MATCH(B186,Productos!$A$5:$A$104,0)),"Código no encontrado"))</f>
      </c>
      <c r="D186" s="13"/>
      <c r="E186" s="17"/>
      <c r="F186" s="13"/>
      <c r="G186" s="16"/>
      <c r="H186" s="13"/>
      <c r="I186" s="13"/>
      <c r="J186" s="11">
        <f>IF(OR(B186="",E186=""),"",SUMIFS($E$5:$E186,$B$5:$B186,B186,$D$5:$D186,"Entrada")-SUMIFS($E$5:$E186,$B$5:$B186,B186,$D$5:$D186,"Salida"))</f>
      </c>
      <c r="K186" s="12">
        <f>IF(J186="","",IF(J186&lt;0,"Saldo negativo: revisa",IFERROR(IF(J186&lt;=INDEX(Productos!$D$5:$D$104,MATCH(B186,Productos!$A$5:$A$104,0)),"En el mínimo o por debajo",""),"")))</f>
      </c>
      <c r="L186" s="13"/>
    </row>
    <row r="187" spans="1:12" x14ac:dyDescent="0.25">
      <c r="A187" s="16"/>
      <c r="B187" s="13"/>
      <c r="C187" s="12">
        <f>IF(B187="","",IFERROR(INDEX(Productos!$B$5:$B$104,MATCH(B187,Productos!$A$5:$A$104,0)),"Código no encontrado"))</f>
      </c>
      <c r="D187" s="13"/>
      <c r="E187" s="17"/>
      <c r="F187" s="13"/>
      <c r="G187" s="16"/>
      <c r="H187" s="13"/>
      <c r="I187" s="13"/>
      <c r="J187" s="11">
        <f>IF(OR(B187="",E187=""),"",SUMIFS($E$5:$E187,$B$5:$B187,B187,$D$5:$D187,"Entrada")-SUMIFS($E$5:$E187,$B$5:$B187,B187,$D$5:$D187,"Salida"))</f>
      </c>
      <c r="K187" s="12">
        <f>IF(J187="","",IF(J187&lt;0,"Saldo negativo: revisa",IFERROR(IF(J187&lt;=INDEX(Productos!$D$5:$D$104,MATCH(B187,Productos!$A$5:$A$104,0)),"En el mínimo o por debajo",""),"")))</f>
      </c>
      <c r="L187" s="13"/>
    </row>
    <row r="188" spans="1:12" x14ac:dyDescent="0.25">
      <c r="A188" s="16"/>
      <c r="B188" s="13"/>
      <c r="C188" s="12">
        <f>IF(B188="","",IFERROR(INDEX(Productos!$B$5:$B$104,MATCH(B188,Productos!$A$5:$A$104,0)),"Código no encontrado"))</f>
      </c>
      <c r="D188" s="13"/>
      <c r="E188" s="17"/>
      <c r="F188" s="13"/>
      <c r="G188" s="16"/>
      <c r="H188" s="13"/>
      <c r="I188" s="13"/>
      <c r="J188" s="11">
        <f>IF(OR(B188="",E188=""),"",SUMIFS($E$5:$E188,$B$5:$B188,B188,$D$5:$D188,"Entrada")-SUMIFS($E$5:$E188,$B$5:$B188,B188,$D$5:$D188,"Salida"))</f>
      </c>
      <c r="K188" s="12">
        <f>IF(J188="","",IF(J188&lt;0,"Saldo negativo: revisa",IFERROR(IF(J188&lt;=INDEX(Productos!$D$5:$D$104,MATCH(B188,Productos!$A$5:$A$104,0)),"En el mínimo o por debajo",""),"")))</f>
      </c>
      <c r="L188" s="13"/>
    </row>
    <row r="189" spans="1:12" x14ac:dyDescent="0.25">
      <c r="A189" s="16"/>
      <c r="B189" s="13"/>
      <c r="C189" s="12">
        <f>IF(B189="","",IFERROR(INDEX(Productos!$B$5:$B$104,MATCH(B189,Productos!$A$5:$A$104,0)),"Código no encontrado"))</f>
      </c>
      <c r="D189" s="13"/>
      <c r="E189" s="17"/>
      <c r="F189" s="13"/>
      <c r="G189" s="16"/>
      <c r="H189" s="13"/>
      <c r="I189" s="13"/>
      <c r="J189" s="11">
        <f>IF(OR(B189="",E189=""),"",SUMIFS($E$5:$E189,$B$5:$B189,B189,$D$5:$D189,"Entrada")-SUMIFS($E$5:$E189,$B$5:$B189,B189,$D$5:$D189,"Salida"))</f>
      </c>
      <c r="K189" s="12">
        <f>IF(J189="","",IF(J189&lt;0,"Saldo negativo: revisa",IFERROR(IF(J189&lt;=INDEX(Productos!$D$5:$D$104,MATCH(B189,Productos!$A$5:$A$104,0)),"En el mínimo o por debajo",""),"")))</f>
      </c>
      <c r="L189" s="13"/>
    </row>
    <row r="190" spans="1:12" x14ac:dyDescent="0.25">
      <c r="A190" s="16"/>
      <c r="B190" s="13"/>
      <c r="C190" s="12">
        <f>IF(B190="","",IFERROR(INDEX(Productos!$B$5:$B$104,MATCH(B190,Productos!$A$5:$A$104,0)),"Código no encontrado"))</f>
      </c>
      <c r="D190" s="13"/>
      <c r="E190" s="17"/>
      <c r="F190" s="13"/>
      <c r="G190" s="16"/>
      <c r="H190" s="13"/>
      <c r="I190" s="13"/>
      <c r="J190" s="11">
        <f>IF(OR(B190="",E190=""),"",SUMIFS($E$5:$E190,$B$5:$B190,B190,$D$5:$D190,"Entrada")-SUMIFS($E$5:$E190,$B$5:$B190,B190,$D$5:$D190,"Salida"))</f>
      </c>
      <c r="K190" s="12">
        <f>IF(J190="","",IF(J190&lt;0,"Saldo negativo: revisa",IFERROR(IF(J190&lt;=INDEX(Productos!$D$5:$D$104,MATCH(B190,Productos!$A$5:$A$104,0)),"En el mínimo o por debajo",""),"")))</f>
      </c>
      <c r="L190" s="13"/>
    </row>
    <row r="191" spans="1:12" x14ac:dyDescent="0.25">
      <c r="A191" s="16"/>
      <c r="B191" s="13"/>
      <c r="C191" s="12">
        <f>IF(B191="","",IFERROR(INDEX(Productos!$B$5:$B$104,MATCH(B191,Productos!$A$5:$A$104,0)),"Código no encontrado"))</f>
      </c>
      <c r="D191" s="13"/>
      <c r="E191" s="17"/>
      <c r="F191" s="13"/>
      <c r="G191" s="16"/>
      <c r="H191" s="13"/>
      <c r="I191" s="13"/>
      <c r="J191" s="11">
        <f>IF(OR(B191="",E191=""),"",SUMIFS($E$5:$E191,$B$5:$B191,B191,$D$5:$D191,"Entrada")-SUMIFS($E$5:$E191,$B$5:$B191,B191,$D$5:$D191,"Salida"))</f>
      </c>
      <c r="K191" s="12">
        <f>IF(J191="","",IF(J191&lt;0,"Saldo negativo: revisa",IFERROR(IF(J191&lt;=INDEX(Productos!$D$5:$D$104,MATCH(B191,Productos!$A$5:$A$104,0)),"En el mínimo o por debajo",""),"")))</f>
      </c>
      <c r="L191" s="13"/>
    </row>
    <row r="192" spans="1:12" x14ac:dyDescent="0.25">
      <c r="A192" s="16"/>
      <c r="B192" s="13"/>
      <c r="C192" s="12">
        <f>IF(B192="","",IFERROR(INDEX(Productos!$B$5:$B$104,MATCH(B192,Productos!$A$5:$A$104,0)),"Código no encontrado"))</f>
      </c>
      <c r="D192" s="13"/>
      <c r="E192" s="17"/>
      <c r="F192" s="13"/>
      <c r="G192" s="16"/>
      <c r="H192" s="13"/>
      <c r="I192" s="13"/>
      <c r="J192" s="11">
        <f>IF(OR(B192="",E192=""),"",SUMIFS($E$5:$E192,$B$5:$B192,B192,$D$5:$D192,"Entrada")-SUMIFS($E$5:$E192,$B$5:$B192,B192,$D$5:$D192,"Salida"))</f>
      </c>
      <c r="K192" s="12">
        <f>IF(J192="","",IF(J192&lt;0,"Saldo negativo: revisa",IFERROR(IF(J192&lt;=INDEX(Productos!$D$5:$D$104,MATCH(B192,Productos!$A$5:$A$104,0)),"En el mínimo o por debajo",""),"")))</f>
      </c>
      <c r="L192" s="13"/>
    </row>
    <row r="193" spans="1:12" x14ac:dyDescent="0.25">
      <c r="A193" s="16"/>
      <c r="B193" s="13"/>
      <c r="C193" s="12">
        <f>IF(B193="","",IFERROR(INDEX(Productos!$B$5:$B$104,MATCH(B193,Productos!$A$5:$A$104,0)),"Código no encontrado"))</f>
      </c>
      <c r="D193" s="13"/>
      <c r="E193" s="17"/>
      <c r="F193" s="13"/>
      <c r="G193" s="16"/>
      <c r="H193" s="13"/>
      <c r="I193" s="13"/>
      <c r="J193" s="11">
        <f>IF(OR(B193="",E193=""),"",SUMIFS($E$5:$E193,$B$5:$B193,B193,$D$5:$D193,"Entrada")-SUMIFS($E$5:$E193,$B$5:$B193,B193,$D$5:$D193,"Salida"))</f>
      </c>
      <c r="K193" s="12">
        <f>IF(J193="","",IF(J193&lt;0,"Saldo negativo: revisa",IFERROR(IF(J193&lt;=INDEX(Productos!$D$5:$D$104,MATCH(B193,Productos!$A$5:$A$104,0)),"En el mínimo o por debajo",""),"")))</f>
      </c>
      <c r="L193" s="13"/>
    </row>
    <row r="194" spans="1:12" x14ac:dyDescent="0.25">
      <c r="A194" s="16"/>
      <c r="B194" s="13"/>
      <c r="C194" s="12">
        <f>IF(B194="","",IFERROR(INDEX(Productos!$B$5:$B$104,MATCH(B194,Productos!$A$5:$A$104,0)),"Código no encontrado"))</f>
      </c>
      <c r="D194" s="13"/>
      <c r="E194" s="17"/>
      <c r="F194" s="13"/>
      <c r="G194" s="16"/>
      <c r="H194" s="13"/>
      <c r="I194" s="13"/>
      <c r="J194" s="11">
        <f>IF(OR(B194="",E194=""),"",SUMIFS($E$5:$E194,$B$5:$B194,B194,$D$5:$D194,"Entrada")-SUMIFS($E$5:$E194,$B$5:$B194,B194,$D$5:$D194,"Salida"))</f>
      </c>
      <c r="K194" s="12">
        <f>IF(J194="","",IF(J194&lt;0,"Saldo negativo: revisa",IFERROR(IF(J194&lt;=INDEX(Productos!$D$5:$D$104,MATCH(B194,Productos!$A$5:$A$104,0)),"En el mínimo o por debajo",""),"")))</f>
      </c>
      <c r="L194" s="13"/>
    </row>
    <row r="195" spans="1:12" x14ac:dyDescent="0.25">
      <c r="A195" s="16"/>
      <c r="B195" s="13"/>
      <c r="C195" s="12">
        <f>IF(B195="","",IFERROR(INDEX(Productos!$B$5:$B$104,MATCH(B195,Productos!$A$5:$A$104,0)),"Código no encontrado"))</f>
      </c>
      <c r="D195" s="13"/>
      <c r="E195" s="17"/>
      <c r="F195" s="13"/>
      <c r="G195" s="16"/>
      <c r="H195" s="13"/>
      <c r="I195" s="13"/>
      <c r="J195" s="11">
        <f>IF(OR(B195="",E195=""),"",SUMIFS($E$5:$E195,$B$5:$B195,B195,$D$5:$D195,"Entrada")-SUMIFS($E$5:$E195,$B$5:$B195,B195,$D$5:$D195,"Salida"))</f>
      </c>
      <c r="K195" s="12">
        <f>IF(J195="","",IF(J195&lt;0,"Saldo negativo: revisa",IFERROR(IF(J195&lt;=INDEX(Productos!$D$5:$D$104,MATCH(B195,Productos!$A$5:$A$104,0)),"En el mínimo o por debajo",""),"")))</f>
      </c>
      <c r="L195" s="13"/>
    </row>
    <row r="196" spans="1:12" x14ac:dyDescent="0.25">
      <c r="A196" s="16"/>
      <c r="B196" s="13"/>
      <c r="C196" s="12">
        <f>IF(B196="","",IFERROR(INDEX(Productos!$B$5:$B$104,MATCH(B196,Productos!$A$5:$A$104,0)),"Código no encontrado"))</f>
      </c>
      <c r="D196" s="13"/>
      <c r="E196" s="17"/>
      <c r="F196" s="13"/>
      <c r="G196" s="16"/>
      <c r="H196" s="13"/>
      <c r="I196" s="13"/>
      <c r="J196" s="11">
        <f>IF(OR(B196="",E196=""),"",SUMIFS($E$5:$E196,$B$5:$B196,B196,$D$5:$D196,"Entrada")-SUMIFS($E$5:$E196,$B$5:$B196,B196,$D$5:$D196,"Salida"))</f>
      </c>
      <c r="K196" s="12">
        <f>IF(J196="","",IF(J196&lt;0,"Saldo negativo: revisa",IFERROR(IF(J196&lt;=INDEX(Productos!$D$5:$D$104,MATCH(B196,Productos!$A$5:$A$104,0)),"En el mínimo o por debajo",""),"")))</f>
      </c>
      <c r="L196" s="13"/>
    </row>
    <row r="197" spans="1:12" x14ac:dyDescent="0.25">
      <c r="A197" s="16"/>
      <c r="B197" s="13"/>
      <c r="C197" s="12">
        <f>IF(B197="","",IFERROR(INDEX(Productos!$B$5:$B$104,MATCH(B197,Productos!$A$5:$A$104,0)),"Código no encontrado"))</f>
      </c>
      <c r="D197" s="13"/>
      <c r="E197" s="17"/>
      <c r="F197" s="13"/>
      <c r="G197" s="16"/>
      <c r="H197" s="13"/>
      <c r="I197" s="13"/>
      <c r="J197" s="11">
        <f>IF(OR(B197="",E197=""),"",SUMIFS($E$5:$E197,$B$5:$B197,B197,$D$5:$D197,"Entrada")-SUMIFS($E$5:$E197,$B$5:$B197,B197,$D$5:$D197,"Salida"))</f>
      </c>
      <c r="K197" s="12">
        <f>IF(J197="","",IF(J197&lt;0,"Saldo negativo: revisa",IFERROR(IF(J197&lt;=INDEX(Productos!$D$5:$D$104,MATCH(B197,Productos!$A$5:$A$104,0)),"En el mínimo o por debajo",""),"")))</f>
      </c>
      <c r="L197" s="13"/>
    </row>
    <row r="198" spans="1:12" x14ac:dyDescent="0.25">
      <c r="A198" s="16"/>
      <c r="B198" s="13"/>
      <c r="C198" s="12">
        <f>IF(B198="","",IFERROR(INDEX(Productos!$B$5:$B$104,MATCH(B198,Productos!$A$5:$A$104,0)),"Código no encontrado"))</f>
      </c>
      <c r="D198" s="13"/>
      <c r="E198" s="17"/>
      <c r="F198" s="13"/>
      <c r="G198" s="16"/>
      <c r="H198" s="13"/>
      <c r="I198" s="13"/>
      <c r="J198" s="11">
        <f>IF(OR(B198="",E198=""),"",SUMIFS($E$5:$E198,$B$5:$B198,B198,$D$5:$D198,"Entrada")-SUMIFS($E$5:$E198,$B$5:$B198,B198,$D$5:$D198,"Salida"))</f>
      </c>
      <c r="K198" s="12">
        <f>IF(J198="","",IF(J198&lt;0,"Saldo negativo: revisa",IFERROR(IF(J198&lt;=INDEX(Productos!$D$5:$D$104,MATCH(B198,Productos!$A$5:$A$104,0)),"En el mínimo o por debajo",""),"")))</f>
      </c>
      <c r="L198" s="13"/>
    </row>
    <row r="199" spans="1:12" x14ac:dyDescent="0.25">
      <c r="A199" s="16"/>
      <c r="B199" s="13"/>
      <c r="C199" s="12">
        <f>IF(B199="","",IFERROR(INDEX(Productos!$B$5:$B$104,MATCH(B199,Productos!$A$5:$A$104,0)),"Código no encontrado"))</f>
      </c>
      <c r="D199" s="13"/>
      <c r="E199" s="17"/>
      <c r="F199" s="13"/>
      <c r="G199" s="16"/>
      <c r="H199" s="13"/>
      <c r="I199" s="13"/>
      <c r="J199" s="11">
        <f>IF(OR(B199="",E199=""),"",SUMIFS($E$5:$E199,$B$5:$B199,B199,$D$5:$D199,"Entrada")-SUMIFS($E$5:$E199,$B$5:$B199,B199,$D$5:$D199,"Salida"))</f>
      </c>
      <c r="K199" s="12">
        <f>IF(J199="","",IF(J199&lt;0,"Saldo negativo: revisa",IFERROR(IF(J199&lt;=INDEX(Productos!$D$5:$D$104,MATCH(B199,Productos!$A$5:$A$104,0)),"En el mínimo o por debajo",""),"")))</f>
      </c>
      <c r="L199" s="13"/>
    </row>
    <row r="200" spans="1:12" x14ac:dyDescent="0.25">
      <c r="A200" s="16"/>
      <c r="B200" s="13"/>
      <c r="C200" s="12">
        <f>IF(B200="","",IFERROR(INDEX(Productos!$B$5:$B$104,MATCH(B200,Productos!$A$5:$A$104,0)),"Código no encontrado"))</f>
      </c>
      <c r="D200" s="13"/>
      <c r="E200" s="17"/>
      <c r="F200" s="13"/>
      <c r="G200" s="16"/>
      <c r="H200" s="13"/>
      <c r="I200" s="13"/>
      <c r="J200" s="11">
        <f>IF(OR(B200="",E200=""),"",SUMIFS($E$5:$E200,$B$5:$B200,B200,$D$5:$D200,"Entrada")-SUMIFS($E$5:$E200,$B$5:$B200,B200,$D$5:$D200,"Salida"))</f>
      </c>
      <c r="K200" s="12">
        <f>IF(J200="","",IF(J200&lt;0,"Saldo negativo: revisa",IFERROR(IF(J200&lt;=INDEX(Productos!$D$5:$D$104,MATCH(B200,Productos!$A$5:$A$104,0)),"En el mínimo o por debajo",""),"")))</f>
      </c>
      <c r="L200" s="13"/>
    </row>
    <row r="201" spans="1:12" x14ac:dyDescent="0.25">
      <c r="A201" s="16"/>
      <c r="B201" s="13"/>
      <c r="C201" s="12">
        <f>IF(B201="","",IFERROR(INDEX(Productos!$B$5:$B$104,MATCH(B201,Productos!$A$5:$A$104,0)),"Código no encontrado"))</f>
      </c>
      <c r="D201" s="13"/>
      <c r="E201" s="17"/>
      <c r="F201" s="13"/>
      <c r="G201" s="16"/>
      <c r="H201" s="13"/>
      <c r="I201" s="13"/>
      <c r="J201" s="11">
        <f>IF(OR(B201="",E201=""),"",SUMIFS($E$5:$E201,$B$5:$B201,B201,$D$5:$D201,"Entrada")-SUMIFS($E$5:$E201,$B$5:$B201,B201,$D$5:$D201,"Salida"))</f>
      </c>
      <c r="K201" s="12">
        <f>IF(J201="","",IF(J201&lt;0,"Saldo negativo: revisa",IFERROR(IF(J201&lt;=INDEX(Productos!$D$5:$D$104,MATCH(B201,Productos!$A$5:$A$104,0)),"En el mínimo o por debajo",""),"")))</f>
      </c>
      <c r="L201" s="13"/>
    </row>
    <row r="202" spans="1:12" x14ac:dyDescent="0.25">
      <c r="A202" s="16"/>
      <c r="B202" s="13"/>
      <c r="C202" s="12">
        <f>IF(B202="","",IFERROR(INDEX(Productos!$B$5:$B$104,MATCH(B202,Productos!$A$5:$A$104,0)),"Código no encontrado"))</f>
      </c>
      <c r="D202" s="13"/>
      <c r="E202" s="17"/>
      <c r="F202" s="13"/>
      <c r="G202" s="16"/>
      <c r="H202" s="13"/>
      <c r="I202" s="13"/>
      <c r="J202" s="11">
        <f>IF(OR(B202="",E202=""),"",SUMIFS($E$5:$E202,$B$5:$B202,B202,$D$5:$D202,"Entrada")-SUMIFS($E$5:$E202,$B$5:$B202,B202,$D$5:$D202,"Salida"))</f>
      </c>
      <c r="K202" s="12">
        <f>IF(J202="","",IF(J202&lt;0,"Saldo negativo: revisa",IFERROR(IF(J202&lt;=INDEX(Productos!$D$5:$D$104,MATCH(B202,Productos!$A$5:$A$104,0)),"En el mínimo o por debajo",""),"")))</f>
      </c>
      <c r="L202" s="13"/>
    </row>
    <row r="203" spans="1:12" x14ac:dyDescent="0.25">
      <c r="A203" s="16"/>
      <c r="B203" s="13"/>
      <c r="C203" s="12">
        <f>IF(B203="","",IFERROR(INDEX(Productos!$B$5:$B$104,MATCH(B203,Productos!$A$5:$A$104,0)),"Código no encontrado"))</f>
      </c>
      <c r="D203" s="13"/>
      <c r="E203" s="17"/>
      <c r="F203" s="13"/>
      <c r="G203" s="16"/>
      <c r="H203" s="13"/>
      <c r="I203" s="13"/>
      <c r="J203" s="11">
        <f>IF(OR(B203="",E203=""),"",SUMIFS($E$5:$E203,$B$5:$B203,B203,$D$5:$D203,"Entrada")-SUMIFS($E$5:$E203,$B$5:$B203,B203,$D$5:$D203,"Salida"))</f>
      </c>
      <c r="K203" s="12">
        <f>IF(J203="","",IF(J203&lt;0,"Saldo negativo: revisa",IFERROR(IF(J203&lt;=INDEX(Productos!$D$5:$D$104,MATCH(B203,Productos!$A$5:$A$104,0)),"En el mínimo o por debajo",""),"")))</f>
      </c>
      <c r="L203" s="13"/>
    </row>
    <row r="204" spans="1:12" x14ac:dyDescent="0.25">
      <c r="A204" s="16"/>
      <c r="B204" s="13"/>
      <c r="C204" s="12">
        <f>IF(B204="","",IFERROR(INDEX(Productos!$B$5:$B$104,MATCH(B204,Productos!$A$5:$A$104,0)),"Código no encontrado"))</f>
      </c>
      <c r="D204" s="13"/>
      <c r="E204" s="17"/>
      <c r="F204" s="13"/>
      <c r="G204" s="16"/>
      <c r="H204" s="13"/>
      <c r="I204" s="13"/>
      <c r="J204" s="11">
        <f>IF(OR(B204="",E204=""),"",SUMIFS($E$5:$E204,$B$5:$B204,B204,$D$5:$D204,"Entrada")-SUMIFS($E$5:$E204,$B$5:$B204,B204,$D$5:$D204,"Salida"))</f>
      </c>
      <c r="K204" s="12">
        <f>IF(J204="","",IF(J204&lt;0,"Saldo negativo: revisa",IFERROR(IF(J204&lt;=INDEX(Productos!$D$5:$D$104,MATCH(B204,Productos!$A$5:$A$104,0)),"En el mínimo o por debajo",""),"")))</f>
      </c>
      <c r="L204" s="13"/>
    </row>
    <row r="205" spans="1:12" x14ac:dyDescent="0.25">
      <c r="A205" s="16"/>
      <c r="B205" s="13"/>
      <c r="C205" s="12">
        <f>IF(B205="","",IFERROR(INDEX(Productos!$B$5:$B$104,MATCH(B205,Productos!$A$5:$A$104,0)),"Código no encontrado"))</f>
      </c>
      <c r="D205" s="13"/>
      <c r="E205" s="17"/>
      <c r="F205" s="13"/>
      <c r="G205" s="16"/>
      <c r="H205" s="13"/>
      <c r="I205" s="13"/>
      <c r="J205" s="11">
        <f>IF(OR(B205="",E205=""),"",SUMIFS($E$5:$E205,$B$5:$B205,B205,$D$5:$D205,"Entrada")-SUMIFS($E$5:$E205,$B$5:$B205,B205,$D$5:$D205,"Salida"))</f>
      </c>
      <c r="K205" s="12">
        <f>IF(J205="","",IF(J205&lt;0,"Saldo negativo: revisa",IFERROR(IF(J205&lt;=INDEX(Productos!$D$5:$D$104,MATCH(B205,Productos!$A$5:$A$104,0)),"En el mínimo o por debajo",""),"")))</f>
      </c>
      <c r="L205" s="13"/>
    </row>
    <row r="206" spans="1:12" x14ac:dyDescent="0.25">
      <c r="A206" s="16"/>
      <c r="B206" s="13"/>
      <c r="C206" s="12">
        <f>IF(B206="","",IFERROR(INDEX(Productos!$B$5:$B$104,MATCH(B206,Productos!$A$5:$A$104,0)),"Código no encontrado"))</f>
      </c>
      <c r="D206" s="13"/>
      <c r="E206" s="17"/>
      <c r="F206" s="13"/>
      <c r="G206" s="16"/>
      <c r="H206" s="13"/>
      <c r="I206" s="13"/>
      <c r="J206" s="11">
        <f>IF(OR(B206="",E206=""),"",SUMIFS($E$5:$E206,$B$5:$B206,B206,$D$5:$D206,"Entrada")-SUMIFS($E$5:$E206,$B$5:$B206,B206,$D$5:$D206,"Salida"))</f>
      </c>
      <c r="K206" s="12">
        <f>IF(J206="","",IF(J206&lt;0,"Saldo negativo: revisa",IFERROR(IF(J206&lt;=INDEX(Productos!$D$5:$D$104,MATCH(B206,Productos!$A$5:$A$104,0)),"En el mínimo o por debajo",""),"")))</f>
      </c>
      <c r="L206" s="13"/>
    </row>
    <row r="207" spans="1:12" x14ac:dyDescent="0.25">
      <c r="A207" s="16"/>
      <c r="B207" s="13"/>
      <c r="C207" s="12">
        <f>IF(B207="","",IFERROR(INDEX(Productos!$B$5:$B$104,MATCH(B207,Productos!$A$5:$A$104,0)),"Código no encontrado"))</f>
      </c>
      <c r="D207" s="13"/>
      <c r="E207" s="17"/>
      <c r="F207" s="13"/>
      <c r="G207" s="16"/>
      <c r="H207" s="13"/>
      <c r="I207" s="13"/>
      <c r="J207" s="11">
        <f>IF(OR(B207="",E207=""),"",SUMIFS($E$5:$E207,$B$5:$B207,B207,$D$5:$D207,"Entrada")-SUMIFS($E$5:$E207,$B$5:$B207,B207,$D$5:$D207,"Salida"))</f>
      </c>
      <c r="K207" s="12">
        <f>IF(J207="","",IF(J207&lt;0,"Saldo negativo: revisa",IFERROR(IF(J207&lt;=INDEX(Productos!$D$5:$D$104,MATCH(B207,Productos!$A$5:$A$104,0)),"En el mínimo o por debajo",""),"")))</f>
      </c>
      <c r="L207" s="13"/>
    </row>
    <row r="208" spans="1:12" x14ac:dyDescent="0.25">
      <c r="A208" s="16"/>
      <c r="B208" s="13"/>
      <c r="C208" s="12">
        <f>IF(B208="","",IFERROR(INDEX(Productos!$B$5:$B$104,MATCH(B208,Productos!$A$5:$A$104,0)),"Código no encontrado"))</f>
      </c>
      <c r="D208" s="13"/>
      <c r="E208" s="17"/>
      <c r="F208" s="13"/>
      <c r="G208" s="16"/>
      <c r="H208" s="13"/>
      <c r="I208" s="13"/>
      <c r="J208" s="11">
        <f>IF(OR(B208="",E208=""),"",SUMIFS($E$5:$E208,$B$5:$B208,B208,$D$5:$D208,"Entrada")-SUMIFS($E$5:$E208,$B$5:$B208,B208,$D$5:$D208,"Salida"))</f>
      </c>
      <c r="K208" s="12">
        <f>IF(J208="","",IF(J208&lt;0,"Saldo negativo: revisa",IFERROR(IF(J208&lt;=INDEX(Productos!$D$5:$D$104,MATCH(B208,Productos!$A$5:$A$104,0)),"En el mínimo o por debajo",""),"")))</f>
      </c>
      <c r="L208" s="13"/>
    </row>
    <row r="209" spans="1:12" x14ac:dyDescent="0.25">
      <c r="A209" s="16"/>
      <c r="B209" s="13"/>
      <c r="C209" s="12">
        <f>IF(B209="","",IFERROR(INDEX(Productos!$B$5:$B$104,MATCH(B209,Productos!$A$5:$A$104,0)),"Código no encontrado"))</f>
      </c>
      <c r="D209" s="13"/>
      <c r="E209" s="17"/>
      <c r="F209" s="13"/>
      <c r="G209" s="16"/>
      <c r="H209" s="13"/>
      <c r="I209" s="13"/>
      <c r="J209" s="11">
        <f>IF(OR(B209="",E209=""),"",SUMIFS($E$5:$E209,$B$5:$B209,B209,$D$5:$D209,"Entrada")-SUMIFS($E$5:$E209,$B$5:$B209,B209,$D$5:$D209,"Salida"))</f>
      </c>
      <c r="K209" s="12">
        <f>IF(J209="","",IF(J209&lt;0,"Saldo negativo: revisa",IFERROR(IF(J209&lt;=INDEX(Productos!$D$5:$D$104,MATCH(B209,Productos!$A$5:$A$104,0)),"En el mínimo o por debajo",""),"")))</f>
      </c>
      <c r="L209" s="13"/>
    </row>
    <row r="210" spans="1:12" x14ac:dyDescent="0.25">
      <c r="A210" s="16"/>
      <c r="B210" s="13"/>
      <c r="C210" s="12">
        <f>IF(B210="","",IFERROR(INDEX(Productos!$B$5:$B$104,MATCH(B210,Productos!$A$5:$A$104,0)),"Código no encontrado"))</f>
      </c>
      <c r="D210" s="13"/>
      <c r="E210" s="17"/>
      <c r="F210" s="13"/>
      <c r="G210" s="16"/>
      <c r="H210" s="13"/>
      <c r="I210" s="13"/>
      <c r="J210" s="11">
        <f>IF(OR(B210="",E210=""),"",SUMIFS($E$5:$E210,$B$5:$B210,B210,$D$5:$D210,"Entrada")-SUMIFS($E$5:$E210,$B$5:$B210,B210,$D$5:$D210,"Salida"))</f>
      </c>
      <c r="K210" s="12">
        <f>IF(J210="","",IF(J210&lt;0,"Saldo negativo: revisa",IFERROR(IF(J210&lt;=INDEX(Productos!$D$5:$D$104,MATCH(B210,Productos!$A$5:$A$104,0)),"En el mínimo o por debajo",""),"")))</f>
      </c>
      <c r="L210" s="13"/>
    </row>
    <row r="211" spans="1:12" x14ac:dyDescent="0.25">
      <c r="A211" s="16"/>
      <c r="B211" s="13"/>
      <c r="C211" s="12">
        <f>IF(B211="","",IFERROR(INDEX(Productos!$B$5:$B$104,MATCH(B211,Productos!$A$5:$A$104,0)),"Código no encontrado"))</f>
      </c>
      <c r="D211" s="13"/>
      <c r="E211" s="17"/>
      <c r="F211" s="13"/>
      <c r="G211" s="16"/>
      <c r="H211" s="13"/>
      <c r="I211" s="13"/>
      <c r="J211" s="11">
        <f>IF(OR(B211="",E211=""),"",SUMIFS($E$5:$E211,$B$5:$B211,B211,$D$5:$D211,"Entrada")-SUMIFS($E$5:$E211,$B$5:$B211,B211,$D$5:$D211,"Salida"))</f>
      </c>
      <c r="K211" s="12">
        <f>IF(J211="","",IF(J211&lt;0,"Saldo negativo: revisa",IFERROR(IF(J211&lt;=INDEX(Productos!$D$5:$D$104,MATCH(B211,Productos!$A$5:$A$104,0)),"En el mínimo o por debajo",""),"")))</f>
      </c>
      <c r="L211" s="13"/>
    </row>
    <row r="212" spans="1:12" x14ac:dyDescent="0.25">
      <c r="A212" s="16"/>
      <c r="B212" s="13"/>
      <c r="C212" s="12">
        <f>IF(B212="","",IFERROR(INDEX(Productos!$B$5:$B$104,MATCH(B212,Productos!$A$5:$A$104,0)),"Código no encontrado"))</f>
      </c>
      <c r="D212" s="13"/>
      <c r="E212" s="17"/>
      <c r="F212" s="13"/>
      <c r="G212" s="16"/>
      <c r="H212" s="13"/>
      <c r="I212" s="13"/>
      <c r="J212" s="11">
        <f>IF(OR(B212="",E212=""),"",SUMIFS($E$5:$E212,$B$5:$B212,B212,$D$5:$D212,"Entrada")-SUMIFS($E$5:$E212,$B$5:$B212,B212,$D$5:$D212,"Salida"))</f>
      </c>
      <c r="K212" s="12">
        <f>IF(J212="","",IF(J212&lt;0,"Saldo negativo: revisa",IFERROR(IF(J212&lt;=INDEX(Productos!$D$5:$D$104,MATCH(B212,Productos!$A$5:$A$104,0)),"En el mínimo o por debajo",""),"")))</f>
      </c>
      <c r="L212" s="13"/>
    </row>
    <row r="213" spans="1:12" x14ac:dyDescent="0.25">
      <c r="A213" s="16"/>
      <c r="B213" s="13"/>
      <c r="C213" s="12">
        <f>IF(B213="","",IFERROR(INDEX(Productos!$B$5:$B$104,MATCH(B213,Productos!$A$5:$A$104,0)),"Código no encontrado"))</f>
      </c>
      <c r="D213" s="13"/>
      <c r="E213" s="17"/>
      <c r="F213" s="13"/>
      <c r="G213" s="16"/>
      <c r="H213" s="13"/>
      <c r="I213" s="13"/>
      <c r="J213" s="11">
        <f>IF(OR(B213="",E213=""),"",SUMIFS($E$5:$E213,$B$5:$B213,B213,$D$5:$D213,"Entrada")-SUMIFS($E$5:$E213,$B$5:$B213,B213,$D$5:$D213,"Salida"))</f>
      </c>
      <c r="K213" s="12">
        <f>IF(J213="","",IF(J213&lt;0,"Saldo negativo: revisa",IFERROR(IF(J213&lt;=INDEX(Productos!$D$5:$D$104,MATCH(B213,Productos!$A$5:$A$104,0)),"En el mínimo o por debajo",""),"")))</f>
      </c>
      <c r="L213" s="13"/>
    </row>
    <row r="214" spans="1:12" x14ac:dyDescent="0.25">
      <c r="A214" s="16"/>
      <c r="B214" s="13"/>
      <c r="C214" s="12">
        <f>IF(B214="","",IFERROR(INDEX(Productos!$B$5:$B$104,MATCH(B214,Productos!$A$5:$A$104,0)),"Código no encontrado"))</f>
      </c>
      <c r="D214" s="13"/>
      <c r="E214" s="17"/>
      <c r="F214" s="13"/>
      <c r="G214" s="16"/>
      <c r="H214" s="13"/>
      <c r="I214" s="13"/>
      <c r="J214" s="11">
        <f>IF(OR(B214="",E214=""),"",SUMIFS($E$5:$E214,$B$5:$B214,B214,$D$5:$D214,"Entrada")-SUMIFS($E$5:$E214,$B$5:$B214,B214,$D$5:$D214,"Salida"))</f>
      </c>
      <c r="K214" s="12">
        <f>IF(J214="","",IF(J214&lt;0,"Saldo negativo: revisa",IFERROR(IF(J214&lt;=INDEX(Productos!$D$5:$D$104,MATCH(B214,Productos!$A$5:$A$104,0)),"En el mínimo o por debajo",""),"")))</f>
      </c>
      <c r="L214" s="13"/>
    </row>
    <row r="215" spans="1:12" x14ac:dyDescent="0.25">
      <c r="A215" s="16"/>
      <c r="B215" s="13"/>
      <c r="C215" s="12">
        <f>IF(B215="","",IFERROR(INDEX(Productos!$B$5:$B$104,MATCH(B215,Productos!$A$5:$A$104,0)),"Código no encontrado"))</f>
      </c>
      <c r="D215" s="13"/>
      <c r="E215" s="17"/>
      <c r="F215" s="13"/>
      <c r="G215" s="16"/>
      <c r="H215" s="13"/>
      <c r="I215" s="13"/>
      <c r="J215" s="11">
        <f>IF(OR(B215="",E215=""),"",SUMIFS($E$5:$E215,$B$5:$B215,B215,$D$5:$D215,"Entrada")-SUMIFS($E$5:$E215,$B$5:$B215,B215,$D$5:$D215,"Salida"))</f>
      </c>
      <c r="K215" s="12">
        <f>IF(J215="","",IF(J215&lt;0,"Saldo negativo: revisa",IFERROR(IF(J215&lt;=INDEX(Productos!$D$5:$D$104,MATCH(B215,Productos!$A$5:$A$104,0)),"En el mínimo o por debajo",""),"")))</f>
      </c>
      <c r="L215" s="13"/>
    </row>
    <row r="216" spans="1:12" x14ac:dyDescent="0.25">
      <c r="A216" s="16"/>
      <c r="B216" s="13"/>
      <c r="C216" s="12">
        <f>IF(B216="","",IFERROR(INDEX(Productos!$B$5:$B$104,MATCH(B216,Productos!$A$5:$A$104,0)),"Código no encontrado"))</f>
      </c>
      <c r="D216" s="13"/>
      <c r="E216" s="17"/>
      <c r="F216" s="13"/>
      <c r="G216" s="16"/>
      <c r="H216" s="13"/>
      <c r="I216" s="13"/>
      <c r="J216" s="11">
        <f>IF(OR(B216="",E216=""),"",SUMIFS($E$5:$E216,$B$5:$B216,B216,$D$5:$D216,"Entrada")-SUMIFS($E$5:$E216,$B$5:$B216,B216,$D$5:$D216,"Salida"))</f>
      </c>
      <c r="K216" s="12">
        <f>IF(J216="","",IF(J216&lt;0,"Saldo negativo: revisa",IFERROR(IF(J216&lt;=INDEX(Productos!$D$5:$D$104,MATCH(B216,Productos!$A$5:$A$104,0)),"En el mínimo o por debajo",""),"")))</f>
      </c>
      <c r="L216" s="13"/>
    </row>
    <row r="217" spans="1:12" x14ac:dyDescent="0.25">
      <c r="A217" s="16"/>
      <c r="B217" s="13"/>
      <c r="C217" s="12">
        <f>IF(B217="","",IFERROR(INDEX(Productos!$B$5:$B$104,MATCH(B217,Productos!$A$5:$A$104,0)),"Código no encontrado"))</f>
      </c>
      <c r="D217" s="13"/>
      <c r="E217" s="17"/>
      <c r="F217" s="13"/>
      <c r="G217" s="16"/>
      <c r="H217" s="13"/>
      <c r="I217" s="13"/>
      <c r="J217" s="11">
        <f>IF(OR(B217="",E217=""),"",SUMIFS($E$5:$E217,$B$5:$B217,B217,$D$5:$D217,"Entrada")-SUMIFS($E$5:$E217,$B$5:$B217,B217,$D$5:$D217,"Salida"))</f>
      </c>
      <c r="K217" s="12">
        <f>IF(J217="","",IF(J217&lt;0,"Saldo negativo: revisa",IFERROR(IF(J217&lt;=INDEX(Productos!$D$5:$D$104,MATCH(B217,Productos!$A$5:$A$104,0)),"En el mínimo o por debajo",""),"")))</f>
      </c>
      <c r="L217" s="13"/>
    </row>
    <row r="218" spans="1:12" x14ac:dyDescent="0.25">
      <c r="A218" s="16"/>
      <c r="B218" s="13"/>
      <c r="C218" s="12">
        <f>IF(B218="","",IFERROR(INDEX(Productos!$B$5:$B$104,MATCH(B218,Productos!$A$5:$A$104,0)),"Código no encontrado"))</f>
      </c>
      <c r="D218" s="13"/>
      <c r="E218" s="17"/>
      <c r="F218" s="13"/>
      <c r="G218" s="16"/>
      <c r="H218" s="13"/>
      <c r="I218" s="13"/>
      <c r="J218" s="11">
        <f>IF(OR(B218="",E218=""),"",SUMIFS($E$5:$E218,$B$5:$B218,B218,$D$5:$D218,"Entrada")-SUMIFS($E$5:$E218,$B$5:$B218,B218,$D$5:$D218,"Salida"))</f>
      </c>
      <c r="K218" s="12">
        <f>IF(J218="","",IF(J218&lt;0,"Saldo negativo: revisa",IFERROR(IF(J218&lt;=INDEX(Productos!$D$5:$D$104,MATCH(B218,Productos!$A$5:$A$104,0)),"En el mínimo o por debajo",""),"")))</f>
      </c>
      <c r="L218" s="13"/>
    </row>
    <row r="219" spans="1:12" x14ac:dyDescent="0.25">
      <c r="A219" s="16"/>
      <c r="B219" s="13"/>
      <c r="C219" s="12">
        <f>IF(B219="","",IFERROR(INDEX(Productos!$B$5:$B$104,MATCH(B219,Productos!$A$5:$A$104,0)),"Código no encontrado"))</f>
      </c>
      <c r="D219" s="13"/>
      <c r="E219" s="17"/>
      <c r="F219" s="13"/>
      <c r="G219" s="16"/>
      <c r="H219" s="13"/>
      <c r="I219" s="13"/>
      <c r="J219" s="11">
        <f>IF(OR(B219="",E219=""),"",SUMIFS($E$5:$E219,$B$5:$B219,B219,$D$5:$D219,"Entrada")-SUMIFS($E$5:$E219,$B$5:$B219,B219,$D$5:$D219,"Salida"))</f>
      </c>
      <c r="K219" s="12">
        <f>IF(J219="","",IF(J219&lt;0,"Saldo negativo: revisa",IFERROR(IF(J219&lt;=INDEX(Productos!$D$5:$D$104,MATCH(B219,Productos!$A$5:$A$104,0)),"En el mínimo o por debajo",""),"")))</f>
      </c>
      <c r="L219" s="13"/>
    </row>
    <row r="220" spans="1:12" x14ac:dyDescent="0.25">
      <c r="A220" s="16"/>
      <c r="B220" s="13"/>
      <c r="C220" s="12">
        <f>IF(B220="","",IFERROR(INDEX(Productos!$B$5:$B$104,MATCH(B220,Productos!$A$5:$A$104,0)),"Código no encontrado"))</f>
      </c>
      <c r="D220" s="13"/>
      <c r="E220" s="17"/>
      <c r="F220" s="13"/>
      <c r="G220" s="16"/>
      <c r="H220" s="13"/>
      <c r="I220" s="13"/>
      <c r="J220" s="11">
        <f>IF(OR(B220="",E220=""),"",SUMIFS($E$5:$E220,$B$5:$B220,B220,$D$5:$D220,"Entrada")-SUMIFS($E$5:$E220,$B$5:$B220,B220,$D$5:$D220,"Salida"))</f>
      </c>
      <c r="K220" s="12">
        <f>IF(J220="","",IF(J220&lt;0,"Saldo negativo: revisa",IFERROR(IF(J220&lt;=INDEX(Productos!$D$5:$D$104,MATCH(B220,Productos!$A$5:$A$104,0)),"En el mínimo o por debajo",""),"")))</f>
      </c>
      <c r="L220" s="13"/>
    </row>
    <row r="221" spans="1:12" x14ac:dyDescent="0.25">
      <c r="A221" s="16"/>
      <c r="B221" s="13"/>
      <c r="C221" s="12">
        <f>IF(B221="","",IFERROR(INDEX(Productos!$B$5:$B$104,MATCH(B221,Productos!$A$5:$A$104,0)),"Código no encontrado"))</f>
      </c>
      <c r="D221" s="13"/>
      <c r="E221" s="17"/>
      <c r="F221" s="13"/>
      <c r="G221" s="16"/>
      <c r="H221" s="13"/>
      <c r="I221" s="13"/>
      <c r="J221" s="11">
        <f>IF(OR(B221="",E221=""),"",SUMIFS($E$5:$E221,$B$5:$B221,B221,$D$5:$D221,"Entrada")-SUMIFS($E$5:$E221,$B$5:$B221,B221,$D$5:$D221,"Salida"))</f>
      </c>
      <c r="K221" s="12">
        <f>IF(J221="","",IF(J221&lt;0,"Saldo negativo: revisa",IFERROR(IF(J221&lt;=INDEX(Productos!$D$5:$D$104,MATCH(B221,Productos!$A$5:$A$104,0)),"En el mínimo o por debajo",""),"")))</f>
      </c>
      <c r="L221" s="13"/>
    </row>
    <row r="222" spans="1:12" x14ac:dyDescent="0.25">
      <c r="A222" s="16"/>
      <c r="B222" s="13"/>
      <c r="C222" s="12">
        <f>IF(B222="","",IFERROR(INDEX(Productos!$B$5:$B$104,MATCH(B222,Productos!$A$5:$A$104,0)),"Código no encontrado"))</f>
      </c>
      <c r="D222" s="13"/>
      <c r="E222" s="17"/>
      <c r="F222" s="13"/>
      <c r="G222" s="16"/>
      <c r="H222" s="13"/>
      <c r="I222" s="13"/>
      <c r="J222" s="11">
        <f>IF(OR(B222="",E222=""),"",SUMIFS($E$5:$E222,$B$5:$B222,B222,$D$5:$D222,"Entrada")-SUMIFS($E$5:$E222,$B$5:$B222,B222,$D$5:$D222,"Salida"))</f>
      </c>
      <c r="K222" s="12">
        <f>IF(J222="","",IF(J222&lt;0,"Saldo negativo: revisa",IFERROR(IF(J222&lt;=INDEX(Productos!$D$5:$D$104,MATCH(B222,Productos!$A$5:$A$104,0)),"En el mínimo o por debajo",""),"")))</f>
      </c>
      <c r="L222" s="13"/>
    </row>
    <row r="223" spans="1:12" x14ac:dyDescent="0.25">
      <c r="A223" s="16"/>
      <c r="B223" s="13"/>
      <c r="C223" s="12">
        <f>IF(B223="","",IFERROR(INDEX(Productos!$B$5:$B$104,MATCH(B223,Productos!$A$5:$A$104,0)),"Código no encontrado"))</f>
      </c>
      <c r="D223" s="13"/>
      <c r="E223" s="17"/>
      <c r="F223" s="13"/>
      <c r="G223" s="16"/>
      <c r="H223" s="13"/>
      <c r="I223" s="13"/>
      <c r="J223" s="11">
        <f>IF(OR(B223="",E223=""),"",SUMIFS($E$5:$E223,$B$5:$B223,B223,$D$5:$D223,"Entrada")-SUMIFS($E$5:$E223,$B$5:$B223,B223,$D$5:$D223,"Salida"))</f>
      </c>
      <c r="K223" s="12">
        <f>IF(J223="","",IF(J223&lt;0,"Saldo negativo: revisa",IFERROR(IF(J223&lt;=INDEX(Productos!$D$5:$D$104,MATCH(B223,Productos!$A$5:$A$104,0)),"En el mínimo o por debajo",""),"")))</f>
      </c>
      <c r="L223" s="13"/>
    </row>
    <row r="224" spans="1:12" x14ac:dyDescent="0.25">
      <c r="A224" s="16"/>
      <c r="B224" s="13"/>
      <c r="C224" s="12">
        <f>IF(B224="","",IFERROR(INDEX(Productos!$B$5:$B$104,MATCH(B224,Productos!$A$5:$A$104,0)),"Código no encontrado"))</f>
      </c>
      <c r="D224" s="13"/>
      <c r="E224" s="17"/>
      <c r="F224" s="13"/>
      <c r="G224" s="16"/>
      <c r="H224" s="13"/>
      <c r="I224" s="13"/>
      <c r="J224" s="11">
        <f>IF(OR(B224="",E224=""),"",SUMIFS($E$5:$E224,$B$5:$B224,B224,$D$5:$D224,"Entrada")-SUMIFS($E$5:$E224,$B$5:$B224,B224,$D$5:$D224,"Salida"))</f>
      </c>
      <c r="K224" s="12">
        <f>IF(J224="","",IF(J224&lt;0,"Saldo negativo: revisa",IFERROR(IF(J224&lt;=INDEX(Productos!$D$5:$D$104,MATCH(B224,Productos!$A$5:$A$104,0)),"En el mínimo o por debajo",""),"")))</f>
      </c>
      <c r="L224" s="13"/>
    </row>
    <row r="225" spans="1:12" x14ac:dyDescent="0.25">
      <c r="A225" s="16"/>
      <c r="B225" s="13"/>
      <c r="C225" s="12">
        <f>IF(B225="","",IFERROR(INDEX(Productos!$B$5:$B$104,MATCH(B225,Productos!$A$5:$A$104,0)),"Código no encontrado"))</f>
      </c>
      <c r="D225" s="13"/>
      <c r="E225" s="17"/>
      <c r="F225" s="13"/>
      <c r="G225" s="16"/>
      <c r="H225" s="13"/>
      <c r="I225" s="13"/>
      <c r="J225" s="11">
        <f>IF(OR(B225="",E225=""),"",SUMIFS($E$5:$E225,$B$5:$B225,B225,$D$5:$D225,"Entrada")-SUMIFS($E$5:$E225,$B$5:$B225,B225,$D$5:$D225,"Salida"))</f>
      </c>
      <c r="K225" s="12">
        <f>IF(J225="","",IF(J225&lt;0,"Saldo negativo: revisa",IFERROR(IF(J225&lt;=INDEX(Productos!$D$5:$D$104,MATCH(B225,Productos!$A$5:$A$104,0)),"En el mínimo o por debajo",""),"")))</f>
      </c>
      <c r="L225" s="13"/>
    </row>
    <row r="226" spans="1:12" x14ac:dyDescent="0.25">
      <c r="A226" s="16"/>
      <c r="B226" s="13"/>
      <c r="C226" s="12">
        <f>IF(B226="","",IFERROR(INDEX(Productos!$B$5:$B$104,MATCH(B226,Productos!$A$5:$A$104,0)),"Código no encontrado"))</f>
      </c>
      <c r="D226" s="13"/>
      <c r="E226" s="17"/>
      <c r="F226" s="13"/>
      <c r="G226" s="16"/>
      <c r="H226" s="13"/>
      <c r="I226" s="13"/>
      <c r="J226" s="11">
        <f>IF(OR(B226="",E226=""),"",SUMIFS($E$5:$E226,$B$5:$B226,B226,$D$5:$D226,"Entrada")-SUMIFS($E$5:$E226,$B$5:$B226,B226,$D$5:$D226,"Salida"))</f>
      </c>
      <c r="K226" s="12">
        <f>IF(J226="","",IF(J226&lt;0,"Saldo negativo: revisa",IFERROR(IF(J226&lt;=INDEX(Productos!$D$5:$D$104,MATCH(B226,Productos!$A$5:$A$104,0)),"En el mínimo o por debajo",""),"")))</f>
      </c>
      <c r="L226" s="13"/>
    </row>
    <row r="227" spans="1:12" x14ac:dyDescent="0.25">
      <c r="A227" s="16"/>
      <c r="B227" s="13"/>
      <c r="C227" s="12">
        <f>IF(B227="","",IFERROR(INDEX(Productos!$B$5:$B$104,MATCH(B227,Productos!$A$5:$A$104,0)),"Código no encontrado"))</f>
      </c>
      <c r="D227" s="13"/>
      <c r="E227" s="17"/>
      <c r="F227" s="13"/>
      <c r="G227" s="16"/>
      <c r="H227" s="13"/>
      <c r="I227" s="13"/>
      <c r="J227" s="11">
        <f>IF(OR(B227="",E227=""),"",SUMIFS($E$5:$E227,$B$5:$B227,B227,$D$5:$D227,"Entrada")-SUMIFS($E$5:$E227,$B$5:$B227,B227,$D$5:$D227,"Salida"))</f>
      </c>
      <c r="K227" s="12">
        <f>IF(J227="","",IF(J227&lt;0,"Saldo negativo: revisa",IFERROR(IF(J227&lt;=INDEX(Productos!$D$5:$D$104,MATCH(B227,Productos!$A$5:$A$104,0)),"En el mínimo o por debajo",""),"")))</f>
      </c>
      <c r="L227" s="13"/>
    </row>
    <row r="228" spans="1:12" x14ac:dyDescent="0.25">
      <c r="A228" s="16"/>
      <c r="B228" s="13"/>
      <c r="C228" s="12">
        <f>IF(B228="","",IFERROR(INDEX(Productos!$B$5:$B$104,MATCH(B228,Productos!$A$5:$A$104,0)),"Código no encontrado"))</f>
      </c>
      <c r="D228" s="13"/>
      <c r="E228" s="17"/>
      <c r="F228" s="13"/>
      <c r="G228" s="16"/>
      <c r="H228" s="13"/>
      <c r="I228" s="13"/>
      <c r="J228" s="11">
        <f>IF(OR(B228="",E228=""),"",SUMIFS($E$5:$E228,$B$5:$B228,B228,$D$5:$D228,"Entrada")-SUMIFS($E$5:$E228,$B$5:$B228,B228,$D$5:$D228,"Salida"))</f>
      </c>
      <c r="K228" s="12">
        <f>IF(J228="","",IF(J228&lt;0,"Saldo negativo: revisa",IFERROR(IF(J228&lt;=INDEX(Productos!$D$5:$D$104,MATCH(B228,Productos!$A$5:$A$104,0)),"En el mínimo o por debajo",""),"")))</f>
      </c>
      <c r="L228" s="13"/>
    </row>
    <row r="229" spans="1:12" x14ac:dyDescent="0.25">
      <c r="A229" s="16"/>
      <c r="B229" s="13"/>
      <c r="C229" s="12">
        <f>IF(B229="","",IFERROR(INDEX(Productos!$B$5:$B$104,MATCH(B229,Productos!$A$5:$A$104,0)),"Código no encontrado"))</f>
      </c>
      <c r="D229" s="13"/>
      <c r="E229" s="17"/>
      <c r="F229" s="13"/>
      <c r="G229" s="16"/>
      <c r="H229" s="13"/>
      <c r="I229" s="13"/>
      <c r="J229" s="11">
        <f>IF(OR(B229="",E229=""),"",SUMIFS($E$5:$E229,$B$5:$B229,B229,$D$5:$D229,"Entrada")-SUMIFS($E$5:$E229,$B$5:$B229,B229,$D$5:$D229,"Salida"))</f>
      </c>
      <c r="K229" s="12">
        <f>IF(J229="","",IF(J229&lt;0,"Saldo negativo: revisa",IFERROR(IF(J229&lt;=INDEX(Productos!$D$5:$D$104,MATCH(B229,Productos!$A$5:$A$104,0)),"En el mínimo o por debajo",""),"")))</f>
      </c>
      <c r="L229" s="13"/>
    </row>
    <row r="230" spans="1:12" x14ac:dyDescent="0.25">
      <c r="A230" s="16"/>
      <c r="B230" s="13"/>
      <c r="C230" s="12">
        <f>IF(B230="","",IFERROR(INDEX(Productos!$B$5:$B$104,MATCH(B230,Productos!$A$5:$A$104,0)),"Código no encontrado"))</f>
      </c>
      <c r="D230" s="13"/>
      <c r="E230" s="17"/>
      <c r="F230" s="13"/>
      <c r="G230" s="16"/>
      <c r="H230" s="13"/>
      <c r="I230" s="13"/>
      <c r="J230" s="11">
        <f>IF(OR(B230="",E230=""),"",SUMIFS($E$5:$E230,$B$5:$B230,B230,$D$5:$D230,"Entrada")-SUMIFS($E$5:$E230,$B$5:$B230,B230,$D$5:$D230,"Salida"))</f>
      </c>
      <c r="K230" s="12">
        <f>IF(J230="","",IF(J230&lt;0,"Saldo negativo: revisa",IFERROR(IF(J230&lt;=INDEX(Productos!$D$5:$D$104,MATCH(B230,Productos!$A$5:$A$104,0)),"En el mínimo o por debajo",""),"")))</f>
      </c>
      <c r="L230" s="13"/>
    </row>
    <row r="231" spans="1:12" x14ac:dyDescent="0.25">
      <c r="A231" s="16"/>
      <c r="B231" s="13"/>
      <c r="C231" s="12">
        <f>IF(B231="","",IFERROR(INDEX(Productos!$B$5:$B$104,MATCH(B231,Productos!$A$5:$A$104,0)),"Código no encontrado"))</f>
      </c>
      <c r="D231" s="13"/>
      <c r="E231" s="17"/>
      <c r="F231" s="13"/>
      <c r="G231" s="16"/>
      <c r="H231" s="13"/>
      <c r="I231" s="13"/>
      <c r="J231" s="11">
        <f>IF(OR(B231="",E231=""),"",SUMIFS($E$5:$E231,$B$5:$B231,B231,$D$5:$D231,"Entrada")-SUMIFS($E$5:$E231,$B$5:$B231,B231,$D$5:$D231,"Salida"))</f>
      </c>
      <c r="K231" s="12">
        <f>IF(J231="","",IF(J231&lt;0,"Saldo negativo: revisa",IFERROR(IF(J231&lt;=INDEX(Productos!$D$5:$D$104,MATCH(B231,Productos!$A$5:$A$104,0)),"En el mínimo o por debajo",""),"")))</f>
      </c>
      <c r="L231" s="13"/>
    </row>
    <row r="232" spans="1:12" x14ac:dyDescent="0.25">
      <c r="A232" s="16"/>
      <c r="B232" s="13"/>
      <c r="C232" s="12">
        <f>IF(B232="","",IFERROR(INDEX(Productos!$B$5:$B$104,MATCH(B232,Productos!$A$5:$A$104,0)),"Código no encontrado"))</f>
      </c>
      <c r="D232" s="13"/>
      <c r="E232" s="17"/>
      <c r="F232" s="13"/>
      <c r="G232" s="16"/>
      <c r="H232" s="13"/>
      <c r="I232" s="13"/>
      <c r="J232" s="11">
        <f>IF(OR(B232="",E232=""),"",SUMIFS($E$5:$E232,$B$5:$B232,B232,$D$5:$D232,"Entrada")-SUMIFS($E$5:$E232,$B$5:$B232,B232,$D$5:$D232,"Salida"))</f>
      </c>
      <c r="K232" s="12">
        <f>IF(J232="","",IF(J232&lt;0,"Saldo negativo: revisa",IFERROR(IF(J232&lt;=INDEX(Productos!$D$5:$D$104,MATCH(B232,Productos!$A$5:$A$104,0)),"En el mínimo o por debajo",""),"")))</f>
      </c>
      <c r="L232" s="13"/>
    </row>
    <row r="233" spans="1:12" x14ac:dyDescent="0.25">
      <c r="A233" s="16"/>
      <c r="B233" s="13"/>
      <c r="C233" s="12">
        <f>IF(B233="","",IFERROR(INDEX(Productos!$B$5:$B$104,MATCH(B233,Productos!$A$5:$A$104,0)),"Código no encontrado"))</f>
      </c>
      <c r="D233" s="13"/>
      <c r="E233" s="17"/>
      <c r="F233" s="13"/>
      <c r="G233" s="16"/>
      <c r="H233" s="13"/>
      <c r="I233" s="13"/>
      <c r="J233" s="11">
        <f>IF(OR(B233="",E233=""),"",SUMIFS($E$5:$E233,$B$5:$B233,B233,$D$5:$D233,"Entrada")-SUMIFS($E$5:$E233,$B$5:$B233,B233,$D$5:$D233,"Salida"))</f>
      </c>
      <c r="K233" s="12">
        <f>IF(J233="","",IF(J233&lt;0,"Saldo negativo: revisa",IFERROR(IF(J233&lt;=INDEX(Productos!$D$5:$D$104,MATCH(B233,Productos!$A$5:$A$104,0)),"En el mínimo o por debajo",""),"")))</f>
      </c>
      <c r="L233" s="13"/>
    </row>
    <row r="234" spans="1:12" x14ac:dyDescent="0.25">
      <c r="A234" s="16"/>
      <c r="B234" s="13"/>
      <c r="C234" s="12">
        <f>IF(B234="","",IFERROR(INDEX(Productos!$B$5:$B$104,MATCH(B234,Productos!$A$5:$A$104,0)),"Código no encontrado"))</f>
      </c>
      <c r="D234" s="13"/>
      <c r="E234" s="17"/>
      <c r="F234" s="13"/>
      <c r="G234" s="16"/>
      <c r="H234" s="13"/>
      <c r="I234" s="13"/>
      <c r="J234" s="11">
        <f>IF(OR(B234="",E234=""),"",SUMIFS($E$5:$E234,$B$5:$B234,B234,$D$5:$D234,"Entrada")-SUMIFS($E$5:$E234,$B$5:$B234,B234,$D$5:$D234,"Salida"))</f>
      </c>
      <c r="K234" s="12">
        <f>IF(J234="","",IF(J234&lt;0,"Saldo negativo: revisa",IFERROR(IF(J234&lt;=INDEX(Productos!$D$5:$D$104,MATCH(B234,Productos!$A$5:$A$104,0)),"En el mínimo o por debajo",""),"")))</f>
      </c>
      <c r="L234" s="13"/>
    </row>
    <row r="235" spans="1:12" x14ac:dyDescent="0.25">
      <c r="A235" s="16"/>
      <c r="B235" s="13"/>
      <c r="C235" s="12">
        <f>IF(B235="","",IFERROR(INDEX(Productos!$B$5:$B$104,MATCH(B235,Productos!$A$5:$A$104,0)),"Código no encontrado"))</f>
      </c>
      <c r="D235" s="13"/>
      <c r="E235" s="17"/>
      <c r="F235" s="13"/>
      <c r="G235" s="16"/>
      <c r="H235" s="13"/>
      <c r="I235" s="13"/>
      <c r="J235" s="11">
        <f>IF(OR(B235="",E235=""),"",SUMIFS($E$5:$E235,$B$5:$B235,B235,$D$5:$D235,"Entrada")-SUMIFS($E$5:$E235,$B$5:$B235,B235,$D$5:$D235,"Salida"))</f>
      </c>
      <c r="K235" s="12">
        <f>IF(J235="","",IF(J235&lt;0,"Saldo negativo: revisa",IFERROR(IF(J235&lt;=INDEX(Productos!$D$5:$D$104,MATCH(B235,Productos!$A$5:$A$104,0)),"En el mínimo o por debajo",""),"")))</f>
      </c>
      <c r="L235" s="13"/>
    </row>
    <row r="236" spans="1:12" x14ac:dyDescent="0.25">
      <c r="A236" s="16"/>
      <c r="B236" s="13"/>
      <c r="C236" s="12">
        <f>IF(B236="","",IFERROR(INDEX(Productos!$B$5:$B$104,MATCH(B236,Productos!$A$5:$A$104,0)),"Código no encontrado"))</f>
      </c>
      <c r="D236" s="13"/>
      <c r="E236" s="17"/>
      <c r="F236" s="13"/>
      <c r="G236" s="16"/>
      <c r="H236" s="13"/>
      <c r="I236" s="13"/>
      <c r="J236" s="11">
        <f>IF(OR(B236="",E236=""),"",SUMIFS($E$5:$E236,$B$5:$B236,B236,$D$5:$D236,"Entrada")-SUMIFS($E$5:$E236,$B$5:$B236,B236,$D$5:$D236,"Salida"))</f>
      </c>
      <c r="K236" s="12">
        <f>IF(J236="","",IF(J236&lt;0,"Saldo negativo: revisa",IFERROR(IF(J236&lt;=INDEX(Productos!$D$5:$D$104,MATCH(B236,Productos!$A$5:$A$104,0)),"En el mínimo o por debajo",""),"")))</f>
      </c>
      <c r="L236" s="13"/>
    </row>
    <row r="237" spans="1:12" x14ac:dyDescent="0.25">
      <c r="A237" s="16"/>
      <c r="B237" s="13"/>
      <c r="C237" s="12">
        <f>IF(B237="","",IFERROR(INDEX(Productos!$B$5:$B$104,MATCH(B237,Productos!$A$5:$A$104,0)),"Código no encontrado"))</f>
      </c>
      <c r="D237" s="13"/>
      <c r="E237" s="17"/>
      <c r="F237" s="13"/>
      <c r="G237" s="16"/>
      <c r="H237" s="13"/>
      <c r="I237" s="13"/>
      <c r="J237" s="11">
        <f>IF(OR(B237="",E237=""),"",SUMIFS($E$5:$E237,$B$5:$B237,B237,$D$5:$D237,"Entrada")-SUMIFS($E$5:$E237,$B$5:$B237,B237,$D$5:$D237,"Salida"))</f>
      </c>
      <c r="K237" s="12">
        <f>IF(J237="","",IF(J237&lt;0,"Saldo negativo: revisa",IFERROR(IF(J237&lt;=INDEX(Productos!$D$5:$D$104,MATCH(B237,Productos!$A$5:$A$104,0)),"En el mínimo o por debajo",""),"")))</f>
      </c>
      <c r="L237" s="13"/>
    </row>
    <row r="238" spans="1:12" x14ac:dyDescent="0.25">
      <c r="A238" s="16"/>
      <c r="B238" s="13"/>
      <c r="C238" s="12">
        <f>IF(B238="","",IFERROR(INDEX(Productos!$B$5:$B$104,MATCH(B238,Productos!$A$5:$A$104,0)),"Código no encontrado"))</f>
      </c>
      <c r="D238" s="13"/>
      <c r="E238" s="17"/>
      <c r="F238" s="13"/>
      <c r="G238" s="16"/>
      <c r="H238" s="13"/>
      <c r="I238" s="13"/>
      <c r="J238" s="11">
        <f>IF(OR(B238="",E238=""),"",SUMIFS($E$5:$E238,$B$5:$B238,B238,$D$5:$D238,"Entrada")-SUMIFS($E$5:$E238,$B$5:$B238,B238,$D$5:$D238,"Salida"))</f>
      </c>
      <c r="K238" s="12">
        <f>IF(J238="","",IF(J238&lt;0,"Saldo negativo: revisa",IFERROR(IF(J238&lt;=INDEX(Productos!$D$5:$D$104,MATCH(B238,Productos!$A$5:$A$104,0)),"En el mínimo o por debajo",""),"")))</f>
      </c>
      <c r="L238" s="13"/>
    </row>
    <row r="239" spans="1:12" x14ac:dyDescent="0.25">
      <c r="A239" s="16"/>
      <c r="B239" s="13"/>
      <c r="C239" s="12">
        <f>IF(B239="","",IFERROR(INDEX(Productos!$B$5:$B$104,MATCH(B239,Productos!$A$5:$A$104,0)),"Código no encontrado"))</f>
      </c>
      <c r="D239" s="13"/>
      <c r="E239" s="17"/>
      <c r="F239" s="13"/>
      <c r="G239" s="16"/>
      <c r="H239" s="13"/>
      <c r="I239" s="13"/>
      <c r="J239" s="11">
        <f>IF(OR(B239="",E239=""),"",SUMIFS($E$5:$E239,$B$5:$B239,B239,$D$5:$D239,"Entrada")-SUMIFS($E$5:$E239,$B$5:$B239,B239,$D$5:$D239,"Salida"))</f>
      </c>
      <c r="K239" s="12">
        <f>IF(J239="","",IF(J239&lt;0,"Saldo negativo: revisa",IFERROR(IF(J239&lt;=INDEX(Productos!$D$5:$D$104,MATCH(B239,Productos!$A$5:$A$104,0)),"En el mínimo o por debajo",""),"")))</f>
      </c>
      <c r="L239" s="13"/>
    </row>
    <row r="240" spans="1:12" x14ac:dyDescent="0.25">
      <c r="A240" s="16"/>
      <c r="B240" s="13"/>
      <c r="C240" s="12">
        <f>IF(B240="","",IFERROR(INDEX(Productos!$B$5:$B$104,MATCH(B240,Productos!$A$5:$A$104,0)),"Código no encontrado"))</f>
      </c>
      <c r="D240" s="13"/>
      <c r="E240" s="17"/>
      <c r="F240" s="13"/>
      <c r="G240" s="16"/>
      <c r="H240" s="13"/>
      <c r="I240" s="13"/>
      <c r="J240" s="11">
        <f>IF(OR(B240="",E240=""),"",SUMIFS($E$5:$E240,$B$5:$B240,B240,$D$5:$D240,"Entrada")-SUMIFS($E$5:$E240,$B$5:$B240,B240,$D$5:$D240,"Salida"))</f>
      </c>
      <c r="K240" s="12">
        <f>IF(J240="","",IF(J240&lt;0,"Saldo negativo: revisa",IFERROR(IF(J240&lt;=INDEX(Productos!$D$5:$D$104,MATCH(B240,Productos!$A$5:$A$104,0)),"En el mínimo o por debajo",""),"")))</f>
      </c>
      <c r="L240" s="13"/>
    </row>
    <row r="241" spans="1:12" x14ac:dyDescent="0.25">
      <c r="A241" s="16"/>
      <c r="B241" s="13"/>
      <c r="C241" s="12">
        <f>IF(B241="","",IFERROR(INDEX(Productos!$B$5:$B$104,MATCH(B241,Productos!$A$5:$A$104,0)),"Código no encontrado"))</f>
      </c>
      <c r="D241" s="13"/>
      <c r="E241" s="17"/>
      <c r="F241" s="13"/>
      <c r="G241" s="16"/>
      <c r="H241" s="13"/>
      <c r="I241" s="13"/>
      <c r="J241" s="11">
        <f>IF(OR(B241="",E241=""),"",SUMIFS($E$5:$E241,$B$5:$B241,B241,$D$5:$D241,"Entrada")-SUMIFS($E$5:$E241,$B$5:$B241,B241,$D$5:$D241,"Salida"))</f>
      </c>
      <c r="K241" s="12">
        <f>IF(J241="","",IF(J241&lt;0,"Saldo negativo: revisa",IFERROR(IF(J241&lt;=INDEX(Productos!$D$5:$D$104,MATCH(B241,Productos!$A$5:$A$104,0)),"En el mínimo o por debajo",""),"")))</f>
      </c>
      <c r="L241" s="13"/>
    </row>
    <row r="242" spans="1:12" x14ac:dyDescent="0.25">
      <c r="A242" s="16"/>
      <c r="B242" s="13"/>
      <c r="C242" s="12">
        <f>IF(B242="","",IFERROR(INDEX(Productos!$B$5:$B$104,MATCH(B242,Productos!$A$5:$A$104,0)),"Código no encontrado"))</f>
      </c>
      <c r="D242" s="13"/>
      <c r="E242" s="17"/>
      <c r="F242" s="13"/>
      <c r="G242" s="16"/>
      <c r="H242" s="13"/>
      <c r="I242" s="13"/>
      <c r="J242" s="11">
        <f>IF(OR(B242="",E242=""),"",SUMIFS($E$5:$E242,$B$5:$B242,B242,$D$5:$D242,"Entrada")-SUMIFS($E$5:$E242,$B$5:$B242,B242,$D$5:$D242,"Salida"))</f>
      </c>
      <c r="K242" s="12">
        <f>IF(J242="","",IF(J242&lt;0,"Saldo negativo: revisa",IFERROR(IF(J242&lt;=INDEX(Productos!$D$5:$D$104,MATCH(B242,Productos!$A$5:$A$104,0)),"En el mínimo o por debajo",""),"")))</f>
      </c>
      <c r="L242" s="13"/>
    </row>
    <row r="243" spans="1:12" x14ac:dyDescent="0.25">
      <c r="A243" s="16"/>
      <c r="B243" s="13"/>
      <c r="C243" s="12">
        <f>IF(B243="","",IFERROR(INDEX(Productos!$B$5:$B$104,MATCH(B243,Productos!$A$5:$A$104,0)),"Código no encontrado"))</f>
      </c>
      <c r="D243" s="13"/>
      <c r="E243" s="17"/>
      <c r="F243" s="13"/>
      <c r="G243" s="16"/>
      <c r="H243" s="13"/>
      <c r="I243" s="13"/>
      <c r="J243" s="11">
        <f>IF(OR(B243="",E243=""),"",SUMIFS($E$5:$E243,$B$5:$B243,B243,$D$5:$D243,"Entrada")-SUMIFS($E$5:$E243,$B$5:$B243,B243,$D$5:$D243,"Salida"))</f>
      </c>
      <c r="K243" s="12">
        <f>IF(J243="","",IF(J243&lt;0,"Saldo negativo: revisa",IFERROR(IF(J243&lt;=INDEX(Productos!$D$5:$D$104,MATCH(B243,Productos!$A$5:$A$104,0)),"En el mínimo o por debajo",""),"")))</f>
      </c>
      <c r="L243" s="13"/>
    </row>
    <row r="244" spans="1:12" x14ac:dyDescent="0.25">
      <c r="A244" s="16"/>
      <c r="B244" s="13"/>
      <c r="C244" s="12">
        <f>IF(B244="","",IFERROR(INDEX(Productos!$B$5:$B$104,MATCH(B244,Productos!$A$5:$A$104,0)),"Código no encontrado"))</f>
      </c>
      <c r="D244" s="13"/>
      <c r="E244" s="17"/>
      <c r="F244" s="13"/>
      <c r="G244" s="16"/>
      <c r="H244" s="13"/>
      <c r="I244" s="13"/>
      <c r="J244" s="11">
        <f>IF(OR(B244="",E244=""),"",SUMIFS($E$5:$E244,$B$5:$B244,B244,$D$5:$D244,"Entrada")-SUMIFS($E$5:$E244,$B$5:$B244,B244,$D$5:$D244,"Salida"))</f>
      </c>
      <c r="K244" s="12">
        <f>IF(J244="","",IF(J244&lt;0,"Saldo negativo: revisa",IFERROR(IF(J244&lt;=INDEX(Productos!$D$5:$D$104,MATCH(B244,Productos!$A$5:$A$104,0)),"En el mínimo o por debajo",""),"")))</f>
      </c>
      <c r="L244" s="13"/>
    </row>
    <row r="245" spans="1:12" x14ac:dyDescent="0.25">
      <c r="A245" s="16"/>
      <c r="B245" s="13"/>
      <c r="C245" s="12">
        <f>IF(B245="","",IFERROR(INDEX(Productos!$B$5:$B$104,MATCH(B245,Productos!$A$5:$A$104,0)),"Código no encontrado"))</f>
      </c>
      <c r="D245" s="13"/>
      <c r="E245" s="17"/>
      <c r="F245" s="13"/>
      <c r="G245" s="16"/>
      <c r="H245" s="13"/>
      <c r="I245" s="13"/>
      <c r="J245" s="11">
        <f>IF(OR(B245="",E245=""),"",SUMIFS($E$5:$E245,$B$5:$B245,B245,$D$5:$D245,"Entrada")-SUMIFS($E$5:$E245,$B$5:$B245,B245,$D$5:$D245,"Salida"))</f>
      </c>
      <c r="K245" s="12">
        <f>IF(J245="","",IF(J245&lt;0,"Saldo negativo: revisa",IFERROR(IF(J245&lt;=INDEX(Productos!$D$5:$D$104,MATCH(B245,Productos!$A$5:$A$104,0)),"En el mínimo o por debajo",""),"")))</f>
      </c>
      <c r="L245" s="13"/>
    </row>
    <row r="246" spans="1:12" x14ac:dyDescent="0.25">
      <c r="A246" s="16"/>
      <c r="B246" s="13"/>
      <c r="C246" s="12">
        <f>IF(B246="","",IFERROR(INDEX(Productos!$B$5:$B$104,MATCH(B246,Productos!$A$5:$A$104,0)),"Código no encontrado"))</f>
      </c>
      <c r="D246" s="13"/>
      <c r="E246" s="17"/>
      <c r="F246" s="13"/>
      <c r="G246" s="16"/>
      <c r="H246" s="13"/>
      <c r="I246" s="13"/>
      <c r="J246" s="11">
        <f>IF(OR(B246="",E246=""),"",SUMIFS($E$5:$E246,$B$5:$B246,B246,$D$5:$D246,"Entrada")-SUMIFS($E$5:$E246,$B$5:$B246,B246,$D$5:$D246,"Salida"))</f>
      </c>
      <c r="K246" s="12">
        <f>IF(J246="","",IF(J246&lt;0,"Saldo negativo: revisa",IFERROR(IF(J246&lt;=INDEX(Productos!$D$5:$D$104,MATCH(B246,Productos!$A$5:$A$104,0)),"En el mínimo o por debajo",""),"")))</f>
      </c>
      <c r="L246" s="13"/>
    </row>
    <row r="247" spans="1:12" x14ac:dyDescent="0.25">
      <c r="A247" s="16"/>
      <c r="B247" s="13"/>
      <c r="C247" s="12">
        <f>IF(B247="","",IFERROR(INDEX(Productos!$B$5:$B$104,MATCH(B247,Productos!$A$5:$A$104,0)),"Código no encontrado"))</f>
      </c>
      <c r="D247" s="13"/>
      <c r="E247" s="17"/>
      <c r="F247" s="13"/>
      <c r="G247" s="16"/>
      <c r="H247" s="13"/>
      <c r="I247" s="13"/>
      <c r="J247" s="11">
        <f>IF(OR(B247="",E247=""),"",SUMIFS($E$5:$E247,$B$5:$B247,B247,$D$5:$D247,"Entrada")-SUMIFS($E$5:$E247,$B$5:$B247,B247,$D$5:$D247,"Salida"))</f>
      </c>
      <c r="K247" s="12">
        <f>IF(J247="","",IF(J247&lt;0,"Saldo negativo: revisa",IFERROR(IF(J247&lt;=INDEX(Productos!$D$5:$D$104,MATCH(B247,Productos!$A$5:$A$104,0)),"En el mínimo o por debajo",""),"")))</f>
      </c>
      <c r="L247" s="13"/>
    </row>
    <row r="248" spans="1:12" x14ac:dyDescent="0.25">
      <c r="A248" s="16"/>
      <c r="B248" s="13"/>
      <c r="C248" s="12">
        <f>IF(B248="","",IFERROR(INDEX(Productos!$B$5:$B$104,MATCH(B248,Productos!$A$5:$A$104,0)),"Código no encontrado"))</f>
      </c>
      <c r="D248" s="13"/>
      <c r="E248" s="17"/>
      <c r="F248" s="13"/>
      <c r="G248" s="16"/>
      <c r="H248" s="13"/>
      <c r="I248" s="13"/>
      <c r="J248" s="11">
        <f>IF(OR(B248="",E248=""),"",SUMIFS($E$5:$E248,$B$5:$B248,B248,$D$5:$D248,"Entrada")-SUMIFS($E$5:$E248,$B$5:$B248,B248,$D$5:$D248,"Salida"))</f>
      </c>
      <c r="K248" s="12">
        <f>IF(J248="","",IF(J248&lt;0,"Saldo negativo: revisa",IFERROR(IF(J248&lt;=INDEX(Productos!$D$5:$D$104,MATCH(B248,Productos!$A$5:$A$104,0)),"En el mínimo o por debajo",""),"")))</f>
      </c>
      <c r="L248" s="13"/>
    </row>
    <row r="249" spans="1:12" x14ac:dyDescent="0.25">
      <c r="A249" s="16"/>
      <c r="B249" s="13"/>
      <c r="C249" s="12">
        <f>IF(B249="","",IFERROR(INDEX(Productos!$B$5:$B$104,MATCH(B249,Productos!$A$5:$A$104,0)),"Código no encontrado"))</f>
      </c>
      <c r="D249" s="13"/>
      <c r="E249" s="17"/>
      <c r="F249" s="13"/>
      <c r="G249" s="16"/>
      <c r="H249" s="13"/>
      <c r="I249" s="13"/>
      <c r="J249" s="11">
        <f>IF(OR(B249="",E249=""),"",SUMIFS($E$5:$E249,$B$5:$B249,B249,$D$5:$D249,"Entrada")-SUMIFS($E$5:$E249,$B$5:$B249,B249,$D$5:$D249,"Salida"))</f>
      </c>
      <c r="K249" s="12">
        <f>IF(J249="","",IF(J249&lt;0,"Saldo negativo: revisa",IFERROR(IF(J249&lt;=INDEX(Productos!$D$5:$D$104,MATCH(B249,Productos!$A$5:$A$104,0)),"En el mínimo o por debajo",""),"")))</f>
      </c>
      <c r="L249" s="13"/>
    </row>
    <row r="250" spans="1:12" x14ac:dyDescent="0.25">
      <c r="A250" s="16"/>
      <c r="B250" s="13"/>
      <c r="C250" s="12">
        <f>IF(B250="","",IFERROR(INDEX(Productos!$B$5:$B$104,MATCH(B250,Productos!$A$5:$A$104,0)),"Código no encontrado"))</f>
      </c>
      <c r="D250" s="13"/>
      <c r="E250" s="17"/>
      <c r="F250" s="13"/>
      <c r="G250" s="16"/>
      <c r="H250" s="13"/>
      <c r="I250" s="13"/>
      <c r="J250" s="11">
        <f>IF(OR(B250="",E250=""),"",SUMIFS($E$5:$E250,$B$5:$B250,B250,$D$5:$D250,"Entrada")-SUMIFS($E$5:$E250,$B$5:$B250,B250,$D$5:$D250,"Salida"))</f>
      </c>
      <c r="K250" s="12">
        <f>IF(J250="","",IF(J250&lt;0,"Saldo negativo: revisa",IFERROR(IF(J250&lt;=INDEX(Productos!$D$5:$D$104,MATCH(B250,Productos!$A$5:$A$104,0)),"En el mínimo o por debajo",""),"")))</f>
      </c>
      <c r="L250" s="13"/>
    </row>
    <row r="251" spans="1:12" x14ac:dyDescent="0.25">
      <c r="A251" s="16"/>
      <c r="B251" s="13"/>
      <c r="C251" s="12">
        <f>IF(B251="","",IFERROR(INDEX(Productos!$B$5:$B$104,MATCH(B251,Productos!$A$5:$A$104,0)),"Código no encontrado"))</f>
      </c>
      <c r="D251" s="13"/>
      <c r="E251" s="17"/>
      <c r="F251" s="13"/>
      <c r="G251" s="16"/>
      <c r="H251" s="13"/>
      <c r="I251" s="13"/>
      <c r="J251" s="11">
        <f>IF(OR(B251="",E251=""),"",SUMIFS($E$5:$E251,$B$5:$B251,B251,$D$5:$D251,"Entrada")-SUMIFS($E$5:$E251,$B$5:$B251,B251,$D$5:$D251,"Salida"))</f>
      </c>
      <c r="K251" s="12">
        <f>IF(J251="","",IF(J251&lt;0,"Saldo negativo: revisa",IFERROR(IF(J251&lt;=INDEX(Productos!$D$5:$D$104,MATCH(B251,Productos!$A$5:$A$104,0)),"En el mínimo o por debajo",""),"")))</f>
      </c>
      <c r="L251" s="13"/>
    </row>
    <row r="252" spans="1:12" x14ac:dyDescent="0.25">
      <c r="A252" s="16"/>
      <c r="B252" s="13"/>
      <c r="C252" s="12">
        <f>IF(B252="","",IFERROR(INDEX(Productos!$B$5:$B$104,MATCH(B252,Productos!$A$5:$A$104,0)),"Código no encontrado"))</f>
      </c>
      <c r="D252" s="13"/>
      <c r="E252" s="17"/>
      <c r="F252" s="13"/>
      <c r="G252" s="16"/>
      <c r="H252" s="13"/>
      <c r="I252" s="13"/>
      <c r="J252" s="11">
        <f>IF(OR(B252="",E252=""),"",SUMIFS($E$5:$E252,$B$5:$B252,B252,$D$5:$D252,"Entrada")-SUMIFS($E$5:$E252,$B$5:$B252,B252,$D$5:$D252,"Salida"))</f>
      </c>
      <c r="K252" s="12">
        <f>IF(J252="","",IF(J252&lt;0,"Saldo negativo: revisa",IFERROR(IF(J252&lt;=INDEX(Productos!$D$5:$D$104,MATCH(B252,Productos!$A$5:$A$104,0)),"En el mínimo o por debajo",""),"")))</f>
      </c>
      <c r="L252" s="13"/>
    </row>
    <row r="253" spans="1:12" x14ac:dyDescent="0.25">
      <c r="A253" s="16"/>
      <c r="B253" s="13"/>
      <c r="C253" s="12">
        <f>IF(B253="","",IFERROR(INDEX(Productos!$B$5:$B$104,MATCH(B253,Productos!$A$5:$A$104,0)),"Código no encontrado"))</f>
      </c>
      <c r="D253" s="13"/>
      <c r="E253" s="17"/>
      <c r="F253" s="13"/>
      <c r="G253" s="16"/>
      <c r="H253" s="13"/>
      <c r="I253" s="13"/>
      <c r="J253" s="11">
        <f>IF(OR(B253="",E253=""),"",SUMIFS($E$5:$E253,$B$5:$B253,B253,$D$5:$D253,"Entrada")-SUMIFS($E$5:$E253,$B$5:$B253,B253,$D$5:$D253,"Salida"))</f>
      </c>
      <c r="K253" s="12">
        <f>IF(J253="","",IF(J253&lt;0,"Saldo negativo: revisa",IFERROR(IF(J253&lt;=INDEX(Productos!$D$5:$D$104,MATCH(B253,Productos!$A$5:$A$104,0)),"En el mínimo o por debajo",""),"")))</f>
      </c>
      <c r="L253" s="13"/>
    </row>
    <row r="254" spans="1:12" x14ac:dyDescent="0.25">
      <c r="A254" s="16"/>
      <c r="B254" s="13"/>
      <c r="C254" s="12">
        <f>IF(B254="","",IFERROR(INDEX(Productos!$B$5:$B$104,MATCH(B254,Productos!$A$5:$A$104,0)),"Código no encontrado"))</f>
      </c>
      <c r="D254" s="13"/>
      <c r="E254" s="17"/>
      <c r="F254" s="13"/>
      <c r="G254" s="16"/>
      <c r="H254" s="13"/>
      <c r="I254" s="13"/>
      <c r="J254" s="11">
        <f>IF(OR(B254="",E254=""),"",SUMIFS($E$5:$E254,$B$5:$B254,B254,$D$5:$D254,"Entrada")-SUMIFS($E$5:$E254,$B$5:$B254,B254,$D$5:$D254,"Salida"))</f>
      </c>
      <c r="K254" s="12">
        <f>IF(J254="","",IF(J254&lt;0,"Saldo negativo: revisa",IFERROR(IF(J254&lt;=INDEX(Productos!$D$5:$D$104,MATCH(B254,Productos!$A$5:$A$104,0)),"En el mínimo o por debajo",""),"")))</f>
      </c>
      <c r="L254" s="13"/>
    </row>
    <row r="255" spans="1:12" x14ac:dyDescent="0.25">
      <c r="A255" s="16"/>
      <c r="B255" s="13"/>
      <c r="C255" s="12">
        <f>IF(B255="","",IFERROR(INDEX(Productos!$B$5:$B$104,MATCH(B255,Productos!$A$5:$A$104,0)),"Código no encontrado"))</f>
      </c>
      <c r="D255" s="13"/>
      <c r="E255" s="17"/>
      <c r="F255" s="13"/>
      <c r="G255" s="16"/>
      <c r="H255" s="13"/>
      <c r="I255" s="13"/>
      <c r="J255" s="11">
        <f>IF(OR(B255="",E255=""),"",SUMIFS($E$5:$E255,$B$5:$B255,B255,$D$5:$D255,"Entrada")-SUMIFS($E$5:$E255,$B$5:$B255,B255,$D$5:$D255,"Salida"))</f>
      </c>
      <c r="K255" s="12">
        <f>IF(J255="","",IF(J255&lt;0,"Saldo negativo: revisa",IFERROR(IF(J255&lt;=INDEX(Productos!$D$5:$D$104,MATCH(B255,Productos!$A$5:$A$104,0)),"En el mínimo o por debajo",""),"")))</f>
      </c>
      <c r="L255" s="13"/>
    </row>
    <row r="256" spans="1:12" x14ac:dyDescent="0.25">
      <c r="A256" s="16"/>
      <c r="B256" s="13"/>
      <c r="C256" s="12">
        <f>IF(B256="","",IFERROR(INDEX(Productos!$B$5:$B$104,MATCH(B256,Productos!$A$5:$A$104,0)),"Código no encontrado"))</f>
      </c>
      <c r="D256" s="13"/>
      <c r="E256" s="17"/>
      <c r="F256" s="13"/>
      <c r="G256" s="16"/>
      <c r="H256" s="13"/>
      <c r="I256" s="13"/>
      <c r="J256" s="11">
        <f>IF(OR(B256="",E256=""),"",SUMIFS($E$5:$E256,$B$5:$B256,B256,$D$5:$D256,"Entrada")-SUMIFS($E$5:$E256,$B$5:$B256,B256,$D$5:$D256,"Salida"))</f>
      </c>
      <c r="K256" s="12">
        <f>IF(J256="","",IF(J256&lt;0,"Saldo negativo: revisa",IFERROR(IF(J256&lt;=INDEX(Productos!$D$5:$D$104,MATCH(B256,Productos!$A$5:$A$104,0)),"En el mínimo o por debajo",""),"")))</f>
      </c>
      <c r="L256" s="13"/>
    </row>
    <row r="257" spans="1:12" x14ac:dyDescent="0.25">
      <c r="A257" s="16"/>
      <c r="B257" s="13"/>
      <c r="C257" s="12">
        <f>IF(B257="","",IFERROR(INDEX(Productos!$B$5:$B$104,MATCH(B257,Productos!$A$5:$A$104,0)),"Código no encontrado"))</f>
      </c>
      <c r="D257" s="13"/>
      <c r="E257" s="17"/>
      <c r="F257" s="13"/>
      <c r="G257" s="16"/>
      <c r="H257" s="13"/>
      <c r="I257" s="13"/>
      <c r="J257" s="11">
        <f>IF(OR(B257="",E257=""),"",SUMIFS($E$5:$E257,$B$5:$B257,B257,$D$5:$D257,"Entrada")-SUMIFS($E$5:$E257,$B$5:$B257,B257,$D$5:$D257,"Salida"))</f>
      </c>
      <c r="K257" s="12">
        <f>IF(J257="","",IF(J257&lt;0,"Saldo negativo: revisa",IFERROR(IF(J257&lt;=INDEX(Productos!$D$5:$D$104,MATCH(B257,Productos!$A$5:$A$104,0)),"En el mínimo o por debajo",""),"")))</f>
      </c>
      <c r="L257" s="13"/>
    </row>
    <row r="258" spans="1:12" x14ac:dyDescent="0.25">
      <c r="A258" s="16"/>
      <c r="B258" s="13"/>
      <c r="C258" s="12">
        <f>IF(B258="","",IFERROR(INDEX(Productos!$B$5:$B$104,MATCH(B258,Productos!$A$5:$A$104,0)),"Código no encontrado"))</f>
      </c>
      <c r="D258" s="13"/>
      <c r="E258" s="17"/>
      <c r="F258" s="13"/>
      <c r="G258" s="16"/>
      <c r="H258" s="13"/>
      <c r="I258" s="13"/>
      <c r="J258" s="11">
        <f>IF(OR(B258="",E258=""),"",SUMIFS($E$5:$E258,$B$5:$B258,B258,$D$5:$D258,"Entrada")-SUMIFS($E$5:$E258,$B$5:$B258,B258,$D$5:$D258,"Salida"))</f>
      </c>
      <c r="K258" s="12">
        <f>IF(J258="","",IF(J258&lt;0,"Saldo negativo: revisa",IFERROR(IF(J258&lt;=INDEX(Productos!$D$5:$D$104,MATCH(B258,Productos!$A$5:$A$104,0)),"En el mínimo o por debajo",""),"")))</f>
      </c>
      <c r="L258" s="13"/>
    </row>
    <row r="259" spans="1:12" x14ac:dyDescent="0.25">
      <c r="A259" s="16"/>
      <c r="B259" s="13"/>
      <c r="C259" s="12">
        <f>IF(B259="","",IFERROR(INDEX(Productos!$B$5:$B$104,MATCH(B259,Productos!$A$5:$A$104,0)),"Código no encontrado"))</f>
      </c>
      <c r="D259" s="13"/>
      <c r="E259" s="17"/>
      <c r="F259" s="13"/>
      <c r="G259" s="16"/>
      <c r="H259" s="13"/>
      <c r="I259" s="13"/>
      <c r="J259" s="11">
        <f>IF(OR(B259="",E259=""),"",SUMIFS($E$5:$E259,$B$5:$B259,B259,$D$5:$D259,"Entrada")-SUMIFS($E$5:$E259,$B$5:$B259,B259,$D$5:$D259,"Salida"))</f>
      </c>
      <c r="K259" s="12">
        <f>IF(J259="","",IF(J259&lt;0,"Saldo negativo: revisa",IFERROR(IF(J259&lt;=INDEX(Productos!$D$5:$D$104,MATCH(B259,Productos!$A$5:$A$104,0)),"En el mínimo o por debajo",""),"")))</f>
      </c>
      <c r="L259" s="13"/>
    </row>
    <row r="260" spans="1:12" x14ac:dyDescent="0.25">
      <c r="A260" s="16"/>
      <c r="B260" s="13"/>
      <c r="C260" s="12">
        <f>IF(B260="","",IFERROR(INDEX(Productos!$B$5:$B$104,MATCH(B260,Productos!$A$5:$A$104,0)),"Código no encontrado"))</f>
      </c>
      <c r="D260" s="13"/>
      <c r="E260" s="17"/>
      <c r="F260" s="13"/>
      <c r="G260" s="16"/>
      <c r="H260" s="13"/>
      <c r="I260" s="13"/>
      <c r="J260" s="11">
        <f>IF(OR(B260="",E260=""),"",SUMIFS($E$5:$E260,$B$5:$B260,B260,$D$5:$D260,"Entrada")-SUMIFS($E$5:$E260,$B$5:$B260,B260,$D$5:$D260,"Salida"))</f>
      </c>
      <c r="K260" s="12">
        <f>IF(J260="","",IF(J260&lt;0,"Saldo negativo: revisa",IFERROR(IF(J260&lt;=INDEX(Productos!$D$5:$D$104,MATCH(B260,Productos!$A$5:$A$104,0)),"En el mínimo o por debajo",""),"")))</f>
      </c>
      <c r="L260" s="13"/>
    </row>
    <row r="261" spans="1:12" x14ac:dyDescent="0.25">
      <c r="A261" s="16"/>
      <c r="B261" s="13"/>
      <c r="C261" s="12">
        <f>IF(B261="","",IFERROR(INDEX(Productos!$B$5:$B$104,MATCH(B261,Productos!$A$5:$A$104,0)),"Código no encontrado"))</f>
      </c>
      <c r="D261" s="13"/>
      <c r="E261" s="17"/>
      <c r="F261" s="13"/>
      <c r="G261" s="16"/>
      <c r="H261" s="13"/>
      <c r="I261" s="13"/>
      <c r="J261" s="11">
        <f>IF(OR(B261="",E261=""),"",SUMIFS($E$5:$E261,$B$5:$B261,B261,$D$5:$D261,"Entrada")-SUMIFS($E$5:$E261,$B$5:$B261,B261,$D$5:$D261,"Salida"))</f>
      </c>
      <c r="K261" s="12">
        <f>IF(J261="","",IF(J261&lt;0,"Saldo negativo: revisa",IFERROR(IF(J261&lt;=INDEX(Productos!$D$5:$D$104,MATCH(B261,Productos!$A$5:$A$104,0)),"En el mínimo o por debajo",""),"")))</f>
      </c>
      <c r="L261" s="13"/>
    </row>
    <row r="262" spans="1:12" x14ac:dyDescent="0.25">
      <c r="A262" s="16"/>
      <c r="B262" s="13"/>
      <c r="C262" s="12">
        <f>IF(B262="","",IFERROR(INDEX(Productos!$B$5:$B$104,MATCH(B262,Productos!$A$5:$A$104,0)),"Código no encontrado"))</f>
      </c>
      <c r="D262" s="13"/>
      <c r="E262" s="17"/>
      <c r="F262" s="13"/>
      <c r="G262" s="16"/>
      <c r="H262" s="13"/>
      <c r="I262" s="13"/>
      <c r="J262" s="11">
        <f>IF(OR(B262="",E262=""),"",SUMIFS($E$5:$E262,$B$5:$B262,B262,$D$5:$D262,"Entrada")-SUMIFS($E$5:$E262,$B$5:$B262,B262,$D$5:$D262,"Salida"))</f>
      </c>
      <c r="K262" s="12">
        <f>IF(J262="","",IF(J262&lt;0,"Saldo negativo: revisa",IFERROR(IF(J262&lt;=INDEX(Productos!$D$5:$D$104,MATCH(B262,Productos!$A$5:$A$104,0)),"En el mínimo o por debajo",""),"")))</f>
      </c>
      <c r="L262" s="13"/>
    </row>
    <row r="263" spans="1:12" x14ac:dyDescent="0.25">
      <c r="A263" s="16"/>
      <c r="B263" s="13"/>
      <c r="C263" s="12">
        <f>IF(B263="","",IFERROR(INDEX(Productos!$B$5:$B$104,MATCH(B263,Productos!$A$5:$A$104,0)),"Código no encontrado"))</f>
      </c>
      <c r="D263" s="13"/>
      <c r="E263" s="17"/>
      <c r="F263" s="13"/>
      <c r="G263" s="16"/>
      <c r="H263" s="13"/>
      <c r="I263" s="13"/>
      <c r="J263" s="11">
        <f>IF(OR(B263="",E263=""),"",SUMIFS($E$5:$E263,$B$5:$B263,B263,$D$5:$D263,"Entrada")-SUMIFS($E$5:$E263,$B$5:$B263,B263,$D$5:$D263,"Salida"))</f>
      </c>
      <c r="K263" s="12">
        <f>IF(J263="","",IF(J263&lt;0,"Saldo negativo: revisa",IFERROR(IF(J263&lt;=INDEX(Productos!$D$5:$D$104,MATCH(B263,Productos!$A$5:$A$104,0)),"En el mínimo o por debajo",""),"")))</f>
      </c>
      <c r="L263" s="13"/>
    </row>
    <row r="264" spans="1:12" x14ac:dyDescent="0.25">
      <c r="A264" s="16"/>
      <c r="B264" s="13"/>
      <c r="C264" s="12">
        <f>IF(B264="","",IFERROR(INDEX(Productos!$B$5:$B$104,MATCH(B264,Productos!$A$5:$A$104,0)),"Código no encontrado"))</f>
      </c>
      <c r="D264" s="13"/>
      <c r="E264" s="17"/>
      <c r="F264" s="13"/>
      <c r="G264" s="16"/>
      <c r="H264" s="13"/>
      <c r="I264" s="13"/>
      <c r="J264" s="11">
        <f>IF(OR(B264="",E264=""),"",SUMIFS($E$5:$E264,$B$5:$B264,B264,$D$5:$D264,"Entrada")-SUMIFS($E$5:$E264,$B$5:$B264,B264,$D$5:$D264,"Salida"))</f>
      </c>
      <c r="K264" s="12">
        <f>IF(J264="","",IF(J264&lt;0,"Saldo negativo: revisa",IFERROR(IF(J264&lt;=INDEX(Productos!$D$5:$D$104,MATCH(B264,Productos!$A$5:$A$104,0)),"En el mínimo o por debajo",""),"")))</f>
      </c>
      <c r="L264" s="13"/>
    </row>
    <row r="265" spans="1:12" x14ac:dyDescent="0.25">
      <c r="A265" s="16"/>
      <c r="B265" s="13"/>
      <c r="C265" s="12">
        <f>IF(B265="","",IFERROR(INDEX(Productos!$B$5:$B$104,MATCH(B265,Productos!$A$5:$A$104,0)),"Código no encontrado"))</f>
      </c>
      <c r="D265" s="13"/>
      <c r="E265" s="17"/>
      <c r="F265" s="13"/>
      <c r="G265" s="16"/>
      <c r="H265" s="13"/>
      <c r="I265" s="13"/>
      <c r="J265" s="11">
        <f>IF(OR(B265="",E265=""),"",SUMIFS($E$5:$E265,$B$5:$B265,B265,$D$5:$D265,"Entrada")-SUMIFS($E$5:$E265,$B$5:$B265,B265,$D$5:$D265,"Salida"))</f>
      </c>
      <c r="K265" s="12">
        <f>IF(J265="","",IF(J265&lt;0,"Saldo negativo: revisa",IFERROR(IF(J265&lt;=INDEX(Productos!$D$5:$D$104,MATCH(B265,Productos!$A$5:$A$104,0)),"En el mínimo o por debajo",""),"")))</f>
      </c>
      <c r="L265" s="13"/>
    </row>
    <row r="266" spans="1:12" x14ac:dyDescent="0.25">
      <c r="A266" s="16"/>
      <c r="B266" s="13"/>
      <c r="C266" s="12">
        <f>IF(B266="","",IFERROR(INDEX(Productos!$B$5:$B$104,MATCH(B266,Productos!$A$5:$A$104,0)),"Código no encontrado"))</f>
      </c>
      <c r="D266" s="13"/>
      <c r="E266" s="17"/>
      <c r="F266" s="13"/>
      <c r="G266" s="16"/>
      <c r="H266" s="13"/>
      <c r="I266" s="13"/>
      <c r="J266" s="11">
        <f>IF(OR(B266="",E266=""),"",SUMIFS($E$5:$E266,$B$5:$B266,B266,$D$5:$D266,"Entrada")-SUMIFS($E$5:$E266,$B$5:$B266,B266,$D$5:$D266,"Salida"))</f>
      </c>
      <c r="K266" s="12">
        <f>IF(J266="","",IF(J266&lt;0,"Saldo negativo: revisa",IFERROR(IF(J266&lt;=INDEX(Productos!$D$5:$D$104,MATCH(B266,Productos!$A$5:$A$104,0)),"En el mínimo o por debajo",""),"")))</f>
      </c>
      <c r="L266" s="13"/>
    </row>
    <row r="267" spans="1:12" x14ac:dyDescent="0.25">
      <c r="A267" s="16"/>
      <c r="B267" s="13"/>
      <c r="C267" s="12">
        <f>IF(B267="","",IFERROR(INDEX(Productos!$B$5:$B$104,MATCH(B267,Productos!$A$5:$A$104,0)),"Código no encontrado"))</f>
      </c>
      <c r="D267" s="13"/>
      <c r="E267" s="17"/>
      <c r="F267" s="13"/>
      <c r="G267" s="16"/>
      <c r="H267" s="13"/>
      <c r="I267" s="13"/>
      <c r="J267" s="11">
        <f>IF(OR(B267="",E267=""),"",SUMIFS($E$5:$E267,$B$5:$B267,B267,$D$5:$D267,"Entrada")-SUMIFS($E$5:$E267,$B$5:$B267,B267,$D$5:$D267,"Salida"))</f>
      </c>
      <c r="K267" s="12">
        <f>IF(J267="","",IF(J267&lt;0,"Saldo negativo: revisa",IFERROR(IF(J267&lt;=INDEX(Productos!$D$5:$D$104,MATCH(B267,Productos!$A$5:$A$104,0)),"En el mínimo o por debajo",""),"")))</f>
      </c>
      <c r="L267" s="13"/>
    </row>
    <row r="268" spans="1:12" x14ac:dyDescent="0.25">
      <c r="A268" s="16"/>
      <c r="B268" s="13"/>
      <c r="C268" s="12">
        <f>IF(B268="","",IFERROR(INDEX(Productos!$B$5:$B$104,MATCH(B268,Productos!$A$5:$A$104,0)),"Código no encontrado"))</f>
      </c>
      <c r="D268" s="13"/>
      <c r="E268" s="17"/>
      <c r="F268" s="13"/>
      <c r="G268" s="16"/>
      <c r="H268" s="13"/>
      <c r="I268" s="13"/>
      <c r="J268" s="11">
        <f>IF(OR(B268="",E268=""),"",SUMIFS($E$5:$E268,$B$5:$B268,B268,$D$5:$D268,"Entrada")-SUMIFS($E$5:$E268,$B$5:$B268,B268,$D$5:$D268,"Salida"))</f>
      </c>
      <c r="K268" s="12">
        <f>IF(J268="","",IF(J268&lt;0,"Saldo negativo: revisa",IFERROR(IF(J268&lt;=INDEX(Productos!$D$5:$D$104,MATCH(B268,Productos!$A$5:$A$104,0)),"En el mínimo o por debajo",""),"")))</f>
      </c>
      <c r="L268" s="13"/>
    </row>
    <row r="269" spans="1:12" x14ac:dyDescent="0.25">
      <c r="A269" s="16"/>
      <c r="B269" s="13"/>
      <c r="C269" s="12">
        <f>IF(B269="","",IFERROR(INDEX(Productos!$B$5:$B$104,MATCH(B269,Productos!$A$5:$A$104,0)),"Código no encontrado"))</f>
      </c>
      <c r="D269" s="13"/>
      <c r="E269" s="17"/>
      <c r="F269" s="13"/>
      <c r="G269" s="16"/>
      <c r="H269" s="13"/>
      <c r="I269" s="13"/>
      <c r="J269" s="11">
        <f>IF(OR(B269="",E269=""),"",SUMIFS($E$5:$E269,$B$5:$B269,B269,$D$5:$D269,"Entrada")-SUMIFS($E$5:$E269,$B$5:$B269,B269,$D$5:$D269,"Salida"))</f>
      </c>
      <c r="K269" s="12">
        <f>IF(J269="","",IF(J269&lt;0,"Saldo negativo: revisa",IFERROR(IF(J269&lt;=INDEX(Productos!$D$5:$D$104,MATCH(B269,Productos!$A$5:$A$104,0)),"En el mínimo o por debajo",""),"")))</f>
      </c>
      <c r="L269" s="13"/>
    </row>
    <row r="270" spans="1:12" x14ac:dyDescent="0.25">
      <c r="A270" s="16"/>
      <c r="B270" s="13"/>
      <c r="C270" s="12">
        <f>IF(B270="","",IFERROR(INDEX(Productos!$B$5:$B$104,MATCH(B270,Productos!$A$5:$A$104,0)),"Código no encontrado"))</f>
      </c>
      <c r="D270" s="13"/>
      <c r="E270" s="17"/>
      <c r="F270" s="13"/>
      <c r="G270" s="16"/>
      <c r="H270" s="13"/>
      <c r="I270" s="13"/>
      <c r="J270" s="11">
        <f>IF(OR(B270="",E270=""),"",SUMIFS($E$5:$E270,$B$5:$B270,B270,$D$5:$D270,"Entrada")-SUMIFS($E$5:$E270,$B$5:$B270,B270,$D$5:$D270,"Salida"))</f>
      </c>
      <c r="K270" s="12">
        <f>IF(J270="","",IF(J270&lt;0,"Saldo negativo: revisa",IFERROR(IF(J270&lt;=INDEX(Productos!$D$5:$D$104,MATCH(B270,Productos!$A$5:$A$104,0)),"En el mínimo o por debajo",""),"")))</f>
      </c>
      <c r="L270" s="13"/>
    </row>
    <row r="271" spans="1:12" x14ac:dyDescent="0.25">
      <c r="A271" s="16"/>
      <c r="B271" s="13"/>
      <c r="C271" s="12">
        <f>IF(B271="","",IFERROR(INDEX(Productos!$B$5:$B$104,MATCH(B271,Productos!$A$5:$A$104,0)),"Código no encontrado"))</f>
      </c>
      <c r="D271" s="13"/>
      <c r="E271" s="17"/>
      <c r="F271" s="13"/>
      <c r="G271" s="16"/>
      <c r="H271" s="13"/>
      <c r="I271" s="13"/>
      <c r="J271" s="11">
        <f>IF(OR(B271="",E271=""),"",SUMIFS($E$5:$E271,$B$5:$B271,B271,$D$5:$D271,"Entrada")-SUMIFS($E$5:$E271,$B$5:$B271,B271,$D$5:$D271,"Salida"))</f>
      </c>
      <c r="K271" s="12">
        <f>IF(J271="","",IF(J271&lt;0,"Saldo negativo: revisa",IFERROR(IF(J271&lt;=INDEX(Productos!$D$5:$D$104,MATCH(B271,Productos!$A$5:$A$104,0)),"En el mínimo o por debajo",""),"")))</f>
      </c>
      <c r="L271" s="13"/>
    </row>
    <row r="272" spans="1:12" x14ac:dyDescent="0.25">
      <c r="A272" s="16"/>
      <c r="B272" s="13"/>
      <c r="C272" s="12">
        <f>IF(B272="","",IFERROR(INDEX(Productos!$B$5:$B$104,MATCH(B272,Productos!$A$5:$A$104,0)),"Código no encontrado"))</f>
      </c>
      <c r="D272" s="13"/>
      <c r="E272" s="17"/>
      <c r="F272" s="13"/>
      <c r="G272" s="16"/>
      <c r="H272" s="13"/>
      <c r="I272" s="13"/>
      <c r="J272" s="11">
        <f>IF(OR(B272="",E272=""),"",SUMIFS($E$5:$E272,$B$5:$B272,B272,$D$5:$D272,"Entrada")-SUMIFS($E$5:$E272,$B$5:$B272,B272,$D$5:$D272,"Salida"))</f>
      </c>
      <c r="K272" s="12">
        <f>IF(J272="","",IF(J272&lt;0,"Saldo negativo: revisa",IFERROR(IF(J272&lt;=INDEX(Productos!$D$5:$D$104,MATCH(B272,Productos!$A$5:$A$104,0)),"En el mínimo o por debajo",""),"")))</f>
      </c>
      <c r="L272" s="13"/>
    </row>
    <row r="273" spans="1:12" x14ac:dyDescent="0.25">
      <c r="A273" s="16"/>
      <c r="B273" s="13"/>
      <c r="C273" s="12">
        <f>IF(B273="","",IFERROR(INDEX(Productos!$B$5:$B$104,MATCH(B273,Productos!$A$5:$A$104,0)),"Código no encontrado"))</f>
      </c>
      <c r="D273" s="13"/>
      <c r="E273" s="17"/>
      <c r="F273" s="13"/>
      <c r="G273" s="16"/>
      <c r="H273" s="13"/>
      <c r="I273" s="13"/>
      <c r="J273" s="11">
        <f>IF(OR(B273="",E273=""),"",SUMIFS($E$5:$E273,$B$5:$B273,B273,$D$5:$D273,"Entrada")-SUMIFS($E$5:$E273,$B$5:$B273,B273,$D$5:$D273,"Salida"))</f>
      </c>
      <c r="K273" s="12">
        <f>IF(J273="","",IF(J273&lt;0,"Saldo negativo: revisa",IFERROR(IF(J273&lt;=INDEX(Productos!$D$5:$D$104,MATCH(B273,Productos!$A$5:$A$104,0)),"En el mínimo o por debajo",""),"")))</f>
      </c>
      <c r="L273" s="13"/>
    </row>
    <row r="274" spans="1:12" x14ac:dyDescent="0.25">
      <c r="A274" s="16"/>
      <c r="B274" s="13"/>
      <c r="C274" s="12">
        <f>IF(B274="","",IFERROR(INDEX(Productos!$B$5:$B$104,MATCH(B274,Productos!$A$5:$A$104,0)),"Código no encontrado"))</f>
      </c>
      <c r="D274" s="13"/>
      <c r="E274" s="17"/>
      <c r="F274" s="13"/>
      <c r="G274" s="16"/>
      <c r="H274" s="13"/>
      <c r="I274" s="13"/>
      <c r="J274" s="11">
        <f>IF(OR(B274="",E274=""),"",SUMIFS($E$5:$E274,$B$5:$B274,B274,$D$5:$D274,"Entrada")-SUMIFS($E$5:$E274,$B$5:$B274,B274,$D$5:$D274,"Salida"))</f>
      </c>
      <c r="K274" s="12">
        <f>IF(J274="","",IF(J274&lt;0,"Saldo negativo: revisa",IFERROR(IF(J274&lt;=INDEX(Productos!$D$5:$D$104,MATCH(B274,Productos!$A$5:$A$104,0)),"En el mínimo o por debajo",""),"")))</f>
      </c>
      <c r="L274" s="13"/>
    </row>
    <row r="275" spans="1:12" x14ac:dyDescent="0.25">
      <c r="A275" s="16"/>
      <c r="B275" s="13"/>
      <c r="C275" s="12">
        <f>IF(B275="","",IFERROR(INDEX(Productos!$B$5:$B$104,MATCH(B275,Productos!$A$5:$A$104,0)),"Código no encontrado"))</f>
      </c>
      <c r="D275" s="13"/>
      <c r="E275" s="17"/>
      <c r="F275" s="13"/>
      <c r="G275" s="16"/>
      <c r="H275" s="13"/>
      <c r="I275" s="13"/>
      <c r="J275" s="11">
        <f>IF(OR(B275="",E275=""),"",SUMIFS($E$5:$E275,$B$5:$B275,B275,$D$5:$D275,"Entrada")-SUMIFS($E$5:$E275,$B$5:$B275,B275,$D$5:$D275,"Salida"))</f>
      </c>
      <c r="K275" s="12">
        <f>IF(J275="","",IF(J275&lt;0,"Saldo negativo: revisa",IFERROR(IF(J275&lt;=INDEX(Productos!$D$5:$D$104,MATCH(B275,Productos!$A$5:$A$104,0)),"En el mínimo o por debajo",""),"")))</f>
      </c>
      <c r="L275" s="13"/>
    </row>
    <row r="276" spans="1:12" x14ac:dyDescent="0.25">
      <c r="A276" s="16"/>
      <c r="B276" s="13"/>
      <c r="C276" s="12">
        <f>IF(B276="","",IFERROR(INDEX(Productos!$B$5:$B$104,MATCH(B276,Productos!$A$5:$A$104,0)),"Código no encontrado"))</f>
      </c>
      <c r="D276" s="13"/>
      <c r="E276" s="17"/>
      <c r="F276" s="13"/>
      <c r="G276" s="16"/>
      <c r="H276" s="13"/>
      <c r="I276" s="13"/>
      <c r="J276" s="11">
        <f>IF(OR(B276="",E276=""),"",SUMIFS($E$5:$E276,$B$5:$B276,B276,$D$5:$D276,"Entrada")-SUMIFS($E$5:$E276,$B$5:$B276,B276,$D$5:$D276,"Salida"))</f>
      </c>
      <c r="K276" s="12">
        <f>IF(J276="","",IF(J276&lt;0,"Saldo negativo: revisa",IFERROR(IF(J276&lt;=INDEX(Productos!$D$5:$D$104,MATCH(B276,Productos!$A$5:$A$104,0)),"En el mínimo o por debajo",""),"")))</f>
      </c>
      <c r="L276" s="13"/>
    </row>
    <row r="277" spans="1:12" x14ac:dyDescent="0.25">
      <c r="A277" s="16"/>
      <c r="B277" s="13"/>
      <c r="C277" s="12">
        <f>IF(B277="","",IFERROR(INDEX(Productos!$B$5:$B$104,MATCH(B277,Productos!$A$5:$A$104,0)),"Código no encontrado"))</f>
      </c>
      <c r="D277" s="13"/>
      <c r="E277" s="17"/>
      <c r="F277" s="13"/>
      <c r="G277" s="16"/>
      <c r="H277" s="13"/>
      <c r="I277" s="13"/>
      <c r="J277" s="11">
        <f>IF(OR(B277="",E277=""),"",SUMIFS($E$5:$E277,$B$5:$B277,B277,$D$5:$D277,"Entrada")-SUMIFS($E$5:$E277,$B$5:$B277,B277,$D$5:$D277,"Salida"))</f>
      </c>
      <c r="K277" s="12">
        <f>IF(J277="","",IF(J277&lt;0,"Saldo negativo: revisa",IFERROR(IF(J277&lt;=INDEX(Productos!$D$5:$D$104,MATCH(B277,Productos!$A$5:$A$104,0)),"En el mínimo o por debajo",""),"")))</f>
      </c>
      <c r="L277" s="13"/>
    </row>
    <row r="278" spans="1:12" x14ac:dyDescent="0.25">
      <c r="A278" s="16"/>
      <c r="B278" s="13"/>
      <c r="C278" s="12">
        <f>IF(B278="","",IFERROR(INDEX(Productos!$B$5:$B$104,MATCH(B278,Productos!$A$5:$A$104,0)),"Código no encontrado"))</f>
      </c>
      <c r="D278" s="13"/>
      <c r="E278" s="17"/>
      <c r="F278" s="13"/>
      <c r="G278" s="16"/>
      <c r="H278" s="13"/>
      <c r="I278" s="13"/>
      <c r="J278" s="11">
        <f>IF(OR(B278="",E278=""),"",SUMIFS($E$5:$E278,$B$5:$B278,B278,$D$5:$D278,"Entrada")-SUMIFS($E$5:$E278,$B$5:$B278,B278,$D$5:$D278,"Salida"))</f>
      </c>
      <c r="K278" s="12">
        <f>IF(J278="","",IF(J278&lt;0,"Saldo negativo: revisa",IFERROR(IF(J278&lt;=INDEX(Productos!$D$5:$D$104,MATCH(B278,Productos!$A$5:$A$104,0)),"En el mínimo o por debajo",""),"")))</f>
      </c>
      <c r="L278" s="13"/>
    </row>
    <row r="279" spans="1:12" x14ac:dyDescent="0.25">
      <c r="A279" s="16"/>
      <c r="B279" s="13"/>
      <c r="C279" s="12">
        <f>IF(B279="","",IFERROR(INDEX(Productos!$B$5:$B$104,MATCH(B279,Productos!$A$5:$A$104,0)),"Código no encontrado"))</f>
      </c>
      <c r="D279" s="13"/>
      <c r="E279" s="17"/>
      <c r="F279" s="13"/>
      <c r="G279" s="16"/>
      <c r="H279" s="13"/>
      <c r="I279" s="13"/>
      <c r="J279" s="11">
        <f>IF(OR(B279="",E279=""),"",SUMIFS($E$5:$E279,$B$5:$B279,B279,$D$5:$D279,"Entrada")-SUMIFS($E$5:$E279,$B$5:$B279,B279,$D$5:$D279,"Salida"))</f>
      </c>
      <c r="K279" s="12">
        <f>IF(J279="","",IF(J279&lt;0,"Saldo negativo: revisa",IFERROR(IF(J279&lt;=INDEX(Productos!$D$5:$D$104,MATCH(B279,Productos!$A$5:$A$104,0)),"En el mínimo o por debajo",""),"")))</f>
      </c>
      <c r="L279" s="13"/>
    </row>
    <row r="280" spans="1:12" x14ac:dyDescent="0.25">
      <c r="A280" s="16"/>
      <c r="B280" s="13"/>
      <c r="C280" s="12">
        <f>IF(B280="","",IFERROR(INDEX(Productos!$B$5:$B$104,MATCH(B280,Productos!$A$5:$A$104,0)),"Código no encontrado"))</f>
      </c>
      <c r="D280" s="13"/>
      <c r="E280" s="17"/>
      <c r="F280" s="13"/>
      <c r="G280" s="16"/>
      <c r="H280" s="13"/>
      <c r="I280" s="13"/>
      <c r="J280" s="11">
        <f>IF(OR(B280="",E280=""),"",SUMIFS($E$5:$E280,$B$5:$B280,B280,$D$5:$D280,"Entrada")-SUMIFS($E$5:$E280,$B$5:$B280,B280,$D$5:$D280,"Salida"))</f>
      </c>
      <c r="K280" s="12">
        <f>IF(J280="","",IF(J280&lt;0,"Saldo negativo: revisa",IFERROR(IF(J280&lt;=INDEX(Productos!$D$5:$D$104,MATCH(B280,Productos!$A$5:$A$104,0)),"En el mínimo o por debajo",""),"")))</f>
      </c>
      <c r="L280" s="13"/>
    </row>
    <row r="281" spans="1:12" x14ac:dyDescent="0.25">
      <c r="A281" s="16"/>
      <c r="B281" s="13"/>
      <c r="C281" s="12">
        <f>IF(B281="","",IFERROR(INDEX(Productos!$B$5:$B$104,MATCH(B281,Productos!$A$5:$A$104,0)),"Código no encontrado"))</f>
      </c>
      <c r="D281" s="13"/>
      <c r="E281" s="17"/>
      <c r="F281" s="13"/>
      <c r="G281" s="16"/>
      <c r="H281" s="13"/>
      <c r="I281" s="13"/>
      <c r="J281" s="11">
        <f>IF(OR(B281="",E281=""),"",SUMIFS($E$5:$E281,$B$5:$B281,B281,$D$5:$D281,"Entrada")-SUMIFS($E$5:$E281,$B$5:$B281,B281,$D$5:$D281,"Salida"))</f>
      </c>
      <c r="K281" s="12">
        <f>IF(J281="","",IF(J281&lt;0,"Saldo negativo: revisa",IFERROR(IF(J281&lt;=INDEX(Productos!$D$5:$D$104,MATCH(B281,Productos!$A$5:$A$104,0)),"En el mínimo o por debajo",""),"")))</f>
      </c>
      <c r="L281" s="13"/>
    </row>
    <row r="282" spans="1:12" x14ac:dyDescent="0.25">
      <c r="A282" s="16"/>
      <c r="B282" s="13"/>
      <c r="C282" s="12">
        <f>IF(B282="","",IFERROR(INDEX(Productos!$B$5:$B$104,MATCH(B282,Productos!$A$5:$A$104,0)),"Código no encontrado"))</f>
      </c>
      <c r="D282" s="13"/>
      <c r="E282" s="17"/>
      <c r="F282" s="13"/>
      <c r="G282" s="16"/>
      <c r="H282" s="13"/>
      <c r="I282" s="13"/>
      <c r="J282" s="11">
        <f>IF(OR(B282="",E282=""),"",SUMIFS($E$5:$E282,$B$5:$B282,B282,$D$5:$D282,"Entrada")-SUMIFS($E$5:$E282,$B$5:$B282,B282,$D$5:$D282,"Salida"))</f>
      </c>
      <c r="K282" s="12">
        <f>IF(J282="","",IF(J282&lt;0,"Saldo negativo: revisa",IFERROR(IF(J282&lt;=INDEX(Productos!$D$5:$D$104,MATCH(B282,Productos!$A$5:$A$104,0)),"En el mínimo o por debajo",""),"")))</f>
      </c>
      <c r="L282" s="13"/>
    </row>
    <row r="283" spans="1:12" x14ac:dyDescent="0.25">
      <c r="A283" s="16"/>
      <c r="B283" s="13"/>
      <c r="C283" s="12">
        <f>IF(B283="","",IFERROR(INDEX(Productos!$B$5:$B$104,MATCH(B283,Productos!$A$5:$A$104,0)),"Código no encontrado"))</f>
      </c>
      <c r="D283" s="13"/>
      <c r="E283" s="17"/>
      <c r="F283" s="13"/>
      <c r="G283" s="16"/>
      <c r="H283" s="13"/>
      <c r="I283" s="13"/>
      <c r="J283" s="11">
        <f>IF(OR(B283="",E283=""),"",SUMIFS($E$5:$E283,$B$5:$B283,B283,$D$5:$D283,"Entrada")-SUMIFS($E$5:$E283,$B$5:$B283,B283,$D$5:$D283,"Salida"))</f>
      </c>
      <c r="K283" s="12">
        <f>IF(J283="","",IF(J283&lt;0,"Saldo negativo: revisa",IFERROR(IF(J283&lt;=INDEX(Productos!$D$5:$D$104,MATCH(B283,Productos!$A$5:$A$104,0)),"En el mínimo o por debajo",""),"")))</f>
      </c>
      <c r="L283" s="13"/>
    </row>
    <row r="284" spans="1:12" x14ac:dyDescent="0.25">
      <c r="A284" s="16"/>
      <c r="B284" s="13"/>
      <c r="C284" s="12">
        <f>IF(B284="","",IFERROR(INDEX(Productos!$B$5:$B$104,MATCH(B284,Productos!$A$5:$A$104,0)),"Código no encontrado"))</f>
      </c>
      <c r="D284" s="13"/>
      <c r="E284" s="17"/>
      <c r="F284" s="13"/>
      <c r="G284" s="16"/>
      <c r="H284" s="13"/>
      <c r="I284" s="13"/>
      <c r="J284" s="11">
        <f>IF(OR(B284="",E284=""),"",SUMIFS($E$5:$E284,$B$5:$B284,B284,$D$5:$D284,"Entrada")-SUMIFS($E$5:$E284,$B$5:$B284,B284,$D$5:$D284,"Salida"))</f>
      </c>
      <c r="K284" s="12">
        <f>IF(J284="","",IF(J284&lt;0,"Saldo negativo: revisa",IFERROR(IF(J284&lt;=INDEX(Productos!$D$5:$D$104,MATCH(B284,Productos!$A$5:$A$104,0)),"En el mínimo o por debajo",""),"")))</f>
      </c>
      <c r="L284" s="13"/>
    </row>
    <row r="285" spans="1:12" x14ac:dyDescent="0.25">
      <c r="A285" s="16"/>
      <c r="B285" s="13"/>
      <c r="C285" s="12">
        <f>IF(B285="","",IFERROR(INDEX(Productos!$B$5:$B$104,MATCH(B285,Productos!$A$5:$A$104,0)),"Código no encontrado"))</f>
      </c>
      <c r="D285" s="13"/>
      <c r="E285" s="17"/>
      <c r="F285" s="13"/>
      <c r="G285" s="16"/>
      <c r="H285" s="13"/>
      <c r="I285" s="13"/>
      <c r="J285" s="11">
        <f>IF(OR(B285="",E285=""),"",SUMIFS($E$5:$E285,$B$5:$B285,B285,$D$5:$D285,"Entrada")-SUMIFS($E$5:$E285,$B$5:$B285,B285,$D$5:$D285,"Salida"))</f>
      </c>
      <c r="K285" s="12">
        <f>IF(J285="","",IF(J285&lt;0,"Saldo negativo: revisa",IFERROR(IF(J285&lt;=INDEX(Productos!$D$5:$D$104,MATCH(B285,Productos!$A$5:$A$104,0)),"En el mínimo o por debajo",""),"")))</f>
      </c>
      <c r="L285" s="13"/>
    </row>
    <row r="286" spans="1:12" x14ac:dyDescent="0.25">
      <c r="A286" s="16"/>
      <c r="B286" s="13"/>
      <c r="C286" s="12">
        <f>IF(B286="","",IFERROR(INDEX(Productos!$B$5:$B$104,MATCH(B286,Productos!$A$5:$A$104,0)),"Código no encontrado"))</f>
      </c>
      <c r="D286" s="13"/>
      <c r="E286" s="17"/>
      <c r="F286" s="13"/>
      <c r="G286" s="16"/>
      <c r="H286" s="13"/>
      <c r="I286" s="13"/>
      <c r="J286" s="11">
        <f>IF(OR(B286="",E286=""),"",SUMIFS($E$5:$E286,$B$5:$B286,B286,$D$5:$D286,"Entrada")-SUMIFS($E$5:$E286,$B$5:$B286,B286,$D$5:$D286,"Salida"))</f>
      </c>
      <c r="K286" s="12">
        <f>IF(J286="","",IF(J286&lt;0,"Saldo negativo: revisa",IFERROR(IF(J286&lt;=INDEX(Productos!$D$5:$D$104,MATCH(B286,Productos!$A$5:$A$104,0)),"En el mínimo o por debajo",""),"")))</f>
      </c>
      <c r="L286" s="13"/>
    </row>
    <row r="287" spans="1:12" x14ac:dyDescent="0.25">
      <c r="A287" s="16"/>
      <c r="B287" s="13"/>
      <c r="C287" s="12">
        <f>IF(B287="","",IFERROR(INDEX(Productos!$B$5:$B$104,MATCH(B287,Productos!$A$5:$A$104,0)),"Código no encontrado"))</f>
      </c>
      <c r="D287" s="13"/>
      <c r="E287" s="17"/>
      <c r="F287" s="13"/>
      <c r="G287" s="16"/>
      <c r="H287" s="13"/>
      <c r="I287" s="13"/>
      <c r="J287" s="11">
        <f>IF(OR(B287="",E287=""),"",SUMIFS($E$5:$E287,$B$5:$B287,B287,$D$5:$D287,"Entrada")-SUMIFS($E$5:$E287,$B$5:$B287,B287,$D$5:$D287,"Salida"))</f>
      </c>
      <c r="K287" s="12">
        <f>IF(J287="","",IF(J287&lt;0,"Saldo negativo: revisa",IFERROR(IF(J287&lt;=INDEX(Productos!$D$5:$D$104,MATCH(B287,Productos!$A$5:$A$104,0)),"En el mínimo o por debajo",""),"")))</f>
      </c>
      <c r="L287" s="13"/>
    </row>
    <row r="288" spans="1:12" x14ac:dyDescent="0.25">
      <c r="A288" s="16"/>
      <c r="B288" s="13"/>
      <c r="C288" s="12">
        <f>IF(B288="","",IFERROR(INDEX(Productos!$B$5:$B$104,MATCH(B288,Productos!$A$5:$A$104,0)),"Código no encontrado"))</f>
      </c>
      <c r="D288" s="13"/>
      <c r="E288" s="17"/>
      <c r="F288" s="13"/>
      <c r="G288" s="16"/>
      <c r="H288" s="13"/>
      <c r="I288" s="13"/>
      <c r="J288" s="11">
        <f>IF(OR(B288="",E288=""),"",SUMIFS($E$5:$E288,$B$5:$B288,B288,$D$5:$D288,"Entrada")-SUMIFS($E$5:$E288,$B$5:$B288,B288,$D$5:$D288,"Salida"))</f>
      </c>
      <c r="K288" s="12">
        <f>IF(J288="","",IF(J288&lt;0,"Saldo negativo: revisa",IFERROR(IF(J288&lt;=INDEX(Productos!$D$5:$D$104,MATCH(B288,Productos!$A$5:$A$104,0)),"En el mínimo o por debajo",""),"")))</f>
      </c>
      <c r="L288" s="13"/>
    </row>
    <row r="289" spans="1:12" x14ac:dyDescent="0.25">
      <c r="A289" s="16"/>
      <c r="B289" s="13"/>
      <c r="C289" s="12">
        <f>IF(B289="","",IFERROR(INDEX(Productos!$B$5:$B$104,MATCH(B289,Productos!$A$5:$A$104,0)),"Código no encontrado"))</f>
      </c>
      <c r="D289" s="13"/>
      <c r="E289" s="17"/>
      <c r="F289" s="13"/>
      <c r="G289" s="16"/>
      <c r="H289" s="13"/>
      <c r="I289" s="13"/>
      <c r="J289" s="11">
        <f>IF(OR(B289="",E289=""),"",SUMIFS($E$5:$E289,$B$5:$B289,B289,$D$5:$D289,"Entrada")-SUMIFS($E$5:$E289,$B$5:$B289,B289,$D$5:$D289,"Salida"))</f>
      </c>
      <c r="K289" s="12">
        <f>IF(J289="","",IF(J289&lt;0,"Saldo negativo: revisa",IFERROR(IF(J289&lt;=INDEX(Productos!$D$5:$D$104,MATCH(B289,Productos!$A$5:$A$104,0)),"En el mínimo o por debajo",""),"")))</f>
      </c>
      <c r="L289" s="13"/>
    </row>
    <row r="290" spans="1:12" x14ac:dyDescent="0.25">
      <c r="A290" s="16"/>
      <c r="B290" s="13"/>
      <c r="C290" s="12">
        <f>IF(B290="","",IFERROR(INDEX(Productos!$B$5:$B$104,MATCH(B290,Productos!$A$5:$A$104,0)),"Código no encontrado"))</f>
      </c>
      <c r="D290" s="13"/>
      <c r="E290" s="17"/>
      <c r="F290" s="13"/>
      <c r="G290" s="16"/>
      <c r="H290" s="13"/>
      <c r="I290" s="13"/>
      <c r="J290" s="11">
        <f>IF(OR(B290="",E290=""),"",SUMIFS($E$5:$E290,$B$5:$B290,B290,$D$5:$D290,"Entrada")-SUMIFS($E$5:$E290,$B$5:$B290,B290,$D$5:$D290,"Salida"))</f>
      </c>
      <c r="K290" s="12">
        <f>IF(J290="","",IF(J290&lt;0,"Saldo negativo: revisa",IFERROR(IF(J290&lt;=INDEX(Productos!$D$5:$D$104,MATCH(B290,Productos!$A$5:$A$104,0)),"En el mínimo o por debajo",""),"")))</f>
      </c>
      <c r="L290" s="13"/>
    </row>
    <row r="291" spans="1:12" x14ac:dyDescent="0.25">
      <c r="A291" s="16"/>
      <c r="B291" s="13"/>
      <c r="C291" s="12">
        <f>IF(B291="","",IFERROR(INDEX(Productos!$B$5:$B$104,MATCH(B291,Productos!$A$5:$A$104,0)),"Código no encontrado"))</f>
      </c>
      <c r="D291" s="13"/>
      <c r="E291" s="17"/>
      <c r="F291" s="13"/>
      <c r="G291" s="16"/>
      <c r="H291" s="13"/>
      <c r="I291" s="13"/>
      <c r="J291" s="11">
        <f>IF(OR(B291="",E291=""),"",SUMIFS($E$5:$E291,$B$5:$B291,B291,$D$5:$D291,"Entrada")-SUMIFS($E$5:$E291,$B$5:$B291,B291,$D$5:$D291,"Salida"))</f>
      </c>
      <c r="K291" s="12">
        <f>IF(J291="","",IF(J291&lt;0,"Saldo negativo: revisa",IFERROR(IF(J291&lt;=INDEX(Productos!$D$5:$D$104,MATCH(B291,Productos!$A$5:$A$104,0)),"En el mínimo o por debajo",""),"")))</f>
      </c>
      <c r="L291" s="13"/>
    </row>
    <row r="292" spans="1:12" x14ac:dyDescent="0.25">
      <c r="A292" s="16"/>
      <c r="B292" s="13"/>
      <c r="C292" s="12">
        <f>IF(B292="","",IFERROR(INDEX(Productos!$B$5:$B$104,MATCH(B292,Productos!$A$5:$A$104,0)),"Código no encontrado"))</f>
      </c>
      <c r="D292" s="13"/>
      <c r="E292" s="17"/>
      <c r="F292" s="13"/>
      <c r="G292" s="16"/>
      <c r="H292" s="13"/>
      <c r="I292" s="13"/>
      <c r="J292" s="11">
        <f>IF(OR(B292="",E292=""),"",SUMIFS($E$5:$E292,$B$5:$B292,B292,$D$5:$D292,"Entrada")-SUMIFS($E$5:$E292,$B$5:$B292,B292,$D$5:$D292,"Salida"))</f>
      </c>
      <c r="K292" s="12">
        <f>IF(J292="","",IF(J292&lt;0,"Saldo negativo: revisa",IFERROR(IF(J292&lt;=INDEX(Productos!$D$5:$D$104,MATCH(B292,Productos!$A$5:$A$104,0)),"En el mínimo o por debajo",""),"")))</f>
      </c>
      <c r="L292" s="13"/>
    </row>
    <row r="293" spans="1:12" x14ac:dyDescent="0.25">
      <c r="A293" s="16"/>
      <c r="B293" s="13"/>
      <c r="C293" s="12">
        <f>IF(B293="","",IFERROR(INDEX(Productos!$B$5:$B$104,MATCH(B293,Productos!$A$5:$A$104,0)),"Código no encontrado"))</f>
      </c>
      <c r="D293" s="13"/>
      <c r="E293" s="17"/>
      <c r="F293" s="13"/>
      <c r="G293" s="16"/>
      <c r="H293" s="13"/>
      <c r="I293" s="13"/>
      <c r="J293" s="11">
        <f>IF(OR(B293="",E293=""),"",SUMIFS($E$5:$E293,$B$5:$B293,B293,$D$5:$D293,"Entrada")-SUMIFS($E$5:$E293,$B$5:$B293,B293,$D$5:$D293,"Salida"))</f>
      </c>
      <c r="K293" s="12">
        <f>IF(J293="","",IF(J293&lt;0,"Saldo negativo: revisa",IFERROR(IF(J293&lt;=INDEX(Productos!$D$5:$D$104,MATCH(B293,Productos!$A$5:$A$104,0)),"En el mínimo o por debajo",""),"")))</f>
      </c>
      <c r="L293" s="13"/>
    </row>
    <row r="294" spans="1:12" x14ac:dyDescent="0.25">
      <c r="A294" s="16"/>
      <c r="B294" s="13"/>
      <c r="C294" s="12">
        <f>IF(B294="","",IFERROR(INDEX(Productos!$B$5:$B$104,MATCH(B294,Productos!$A$5:$A$104,0)),"Código no encontrado"))</f>
      </c>
      <c r="D294" s="13"/>
      <c r="E294" s="17"/>
      <c r="F294" s="13"/>
      <c r="G294" s="16"/>
      <c r="H294" s="13"/>
      <c r="I294" s="13"/>
      <c r="J294" s="11">
        <f>IF(OR(B294="",E294=""),"",SUMIFS($E$5:$E294,$B$5:$B294,B294,$D$5:$D294,"Entrada")-SUMIFS($E$5:$E294,$B$5:$B294,B294,$D$5:$D294,"Salida"))</f>
      </c>
      <c r="K294" s="12">
        <f>IF(J294="","",IF(J294&lt;0,"Saldo negativo: revisa",IFERROR(IF(J294&lt;=INDEX(Productos!$D$5:$D$104,MATCH(B294,Productos!$A$5:$A$104,0)),"En el mínimo o por debajo",""),"")))</f>
      </c>
      <c r="L294" s="13"/>
    </row>
    <row r="295" spans="1:12" x14ac:dyDescent="0.25">
      <c r="A295" s="16"/>
      <c r="B295" s="13"/>
      <c r="C295" s="12">
        <f>IF(B295="","",IFERROR(INDEX(Productos!$B$5:$B$104,MATCH(B295,Productos!$A$5:$A$104,0)),"Código no encontrado"))</f>
      </c>
      <c r="D295" s="13"/>
      <c r="E295" s="17"/>
      <c r="F295" s="13"/>
      <c r="G295" s="16"/>
      <c r="H295" s="13"/>
      <c r="I295" s="13"/>
      <c r="J295" s="11">
        <f>IF(OR(B295="",E295=""),"",SUMIFS($E$5:$E295,$B$5:$B295,B295,$D$5:$D295,"Entrada")-SUMIFS($E$5:$E295,$B$5:$B295,B295,$D$5:$D295,"Salida"))</f>
      </c>
      <c r="K295" s="12">
        <f>IF(J295="","",IF(J295&lt;0,"Saldo negativo: revisa",IFERROR(IF(J295&lt;=INDEX(Productos!$D$5:$D$104,MATCH(B295,Productos!$A$5:$A$104,0)),"En el mínimo o por debajo",""),"")))</f>
      </c>
      <c r="L295" s="13"/>
    </row>
    <row r="296" spans="1:12" x14ac:dyDescent="0.25">
      <c r="A296" s="16"/>
      <c r="B296" s="13"/>
      <c r="C296" s="12">
        <f>IF(B296="","",IFERROR(INDEX(Productos!$B$5:$B$104,MATCH(B296,Productos!$A$5:$A$104,0)),"Código no encontrado"))</f>
      </c>
      <c r="D296" s="13"/>
      <c r="E296" s="17"/>
      <c r="F296" s="13"/>
      <c r="G296" s="16"/>
      <c r="H296" s="13"/>
      <c r="I296" s="13"/>
      <c r="J296" s="11">
        <f>IF(OR(B296="",E296=""),"",SUMIFS($E$5:$E296,$B$5:$B296,B296,$D$5:$D296,"Entrada")-SUMIFS($E$5:$E296,$B$5:$B296,B296,$D$5:$D296,"Salida"))</f>
      </c>
      <c r="K296" s="12">
        <f>IF(J296="","",IF(J296&lt;0,"Saldo negativo: revisa",IFERROR(IF(J296&lt;=INDEX(Productos!$D$5:$D$104,MATCH(B296,Productos!$A$5:$A$104,0)),"En el mínimo o por debajo",""),"")))</f>
      </c>
      <c r="L296" s="13"/>
    </row>
    <row r="297" spans="1:12" x14ac:dyDescent="0.25">
      <c r="A297" s="16"/>
      <c r="B297" s="13"/>
      <c r="C297" s="12">
        <f>IF(B297="","",IFERROR(INDEX(Productos!$B$5:$B$104,MATCH(B297,Productos!$A$5:$A$104,0)),"Código no encontrado"))</f>
      </c>
      <c r="D297" s="13"/>
      <c r="E297" s="17"/>
      <c r="F297" s="13"/>
      <c r="G297" s="16"/>
      <c r="H297" s="13"/>
      <c r="I297" s="13"/>
      <c r="J297" s="11">
        <f>IF(OR(B297="",E297=""),"",SUMIFS($E$5:$E297,$B$5:$B297,B297,$D$5:$D297,"Entrada")-SUMIFS($E$5:$E297,$B$5:$B297,B297,$D$5:$D297,"Salida"))</f>
      </c>
      <c r="K297" s="12">
        <f>IF(J297="","",IF(J297&lt;0,"Saldo negativo: revisa",IFERROR(IF(J297&lt;=INDEX(Productos!$D$5:$D$104,MATCH(B297,Productos!$A$5:$A$104,0)),"En el mínimo o por debajo",""),"")))</f>
      </c>
      <c r="L297" s="13"/>
    </row>
    <row r="298" spans="1:12" x14ac:dyDescent="0.25">
      <c r="A298" s="16"/>
      <c r="B298" s="13"/>
      <c r="C298" s="12">
        <f>IF(B298="","",IFERROR(INDEX(Productos!$B$5:$B$104,MATCH(B298,Productos!$A$5:$A$104,0)),"Código no encontrado"))</f>
      </c>
      <c r="D298" s="13"/>
      <c r="E298" s="17"/>
      <c r="F298" s="13"/>
      <c r="G298" s="16"/>
      <c r="H298" s="13"/>
      <c r="I298" s="13"/>
      <c r="J298" s="11">
        <f>IF(OR(B298="",E298=""),"",SUMIFS($E$5:$E298,$B$5:$B298,B298,$D$5:$D298,"Entrada")-SUMIFS($E$5:$E298,$B$5:$B298,B298,$D$5:$D298,"Salida"))</f>
      </c>
      <c r="K298" s="12">
        <f>IF(J298="","",IF(J298&lt;0,"Saldo negativo: revisa",IFERROR(IF(J298&lt;=INDEX(Productos!$D$5:$D$104,MATCH(B298,Productos!$A$5:$A$104,0)),"En el mínimo o por debajo",""),"")))</f>
      </c>
      <c r="L298" s="13"/>
    </row>
    <row r="299" spans="1:12" x14ac:dyDescent="0.25">
      <c r="A299" s="16"/>
      <c r="B299" s="13"/>
      <c r="C299" s="12">
        <f>IF(B299="","",IFERROR(INDEX(Productos!$B$5:$B$104,MATCH(B299,Productos!$A$5:$A$104,0)),"Código no encontrado"))</f>
      </c>
      <c r="D299" s="13"/>
      <c r="E299" s="17"/>
      <c r="F299" s="13"/>
      <c r="G299" s="16"/>
      <c r="H299" s="13"/>
      <c r="I299" s="13"/>
      <c r="J299" s="11">
        <f>IF(OR(B299="",E299=""),"",SUMIFS($E$5:$E299,$B$5:$B299,B299,$D$5:$D299,"Entrada")-SUMIFS($E$5:$E299,$B$5:$B299,B299,$D$5:$D299,"Salida"))</f>
      </c>
      <c r="K299" s="12">
        <f>IF(J299="","",IF(J299&lt;0,"Saldo negativo: revisa",IFERROR(IF(J299&lt;=INDEX(Productos!$D$5:$D$104,MATCH(B299,Productos!$A$5:$A$104,0)),"En el mínimo o por debajo",""),"")))</f>
      </c>
      <c r="L299" s="13"/>
    </row>
    <row r="300" spans="1:12" x14ac:dyDescent="0.25">
      <c r="A300" s="16"/>
      <c r="B300" s="13"/>
      <c r="C300" s="12">
        <f>IF(B300="","",IFERROR(INDEX(Productos!$B$5:$B$104,MATCH(B300,Productos!$A$5:$A$104,0)),"Código no encontrado"))</f>
      </c>
      <c r="D300" s="13"/>
      <c r="E300" s="17"/>
      <c r="F300" s="13"/>
      <c r="G300" s="16"/>
      <c r="H300" s="13"/>
      <c r="I300" s="13"/>
      <c r="J300" s="11">
        <f>IF(OR(B300="",E300=""),"",SUMIFS($E$5:$E300,$B$5:$B300,B300,$D$5:$D300,"Entrada")-SUMIFS($E$5:$E300,$B$5:$B300,B300,$D$5:$D300,"Salida"))</f>
      </c>
      <c r="K300" s="12">
        <f>IF(J300="","",IF(J300&lt;0,"Saldo negativo: revisa",IFERROR(IF(J300&lt;=INDEX(Productos!$D$5:$D$104,MATCH(B300,Productos!$A$5:$A$104,0)),"En el mínimo o por debajo",""),"")))</f>
      </c>
      <c r="L300" s="13"/>
    </row>
    <row r="301" spans="1:12" x14ac:dyDescent="0.25">
      <c r="A301" s="16"/>
      <c r="B301" s="13"/>
      <c r="C301" s="12">
        <f>IF(B301="","",IFERROR(INDEX(Productos!$B$5:$B$104,MATCH(B301,Productos!$A$5:$A$104,0)),"Código no encontrado"))</f>
      </c>
      <c r="D301" s="13"/>
      <c r="E301" s="17"/>
      <c r="F301" s="13"/>
      <c r="G301" s="16"/>
      <c r="H301" s="13"/>
      <c r="I301" s="13"/>
      <c r="J301" s="11">
        <f>IF(OR(B301="",E301=""),"",SUMIFS($E$5:$E301,$B$5:$B301,B301,$D$5:$D301,"Entrada")-SUMIFS($E$5:$E301,$B$5:$B301,B301,$D$5:$D301,"Salida"))</f>
      </c>
      <c r="K301" s="12">
        <f>IF(J301="","",IF(J301&lt;0,"Saldo negativo: revisa",IFERROR(IF(J301&lt;=INDEX(Productos!$D$5:$D$104,MATCH(B301,Productos!$A$5:$A$104,0)),"En el mínimo o por debajo",""),"")))</f>
      </c>
      <c r="L301" s="13"/>
    </row>
    <row r="302" spans="1:12" x14ac:dyDescent="0.25">
      <c r="A302" s="16"/>
      <c r="B302" s="13"/>
      <c r="C302" s="12">
        <f>IF(B302="","",IFERROR(INDEX(Productos!$B$5:$B$104,MATCH(B302,Productos!$A$5:$A$104,0)),"Código no encontrado"))</f>
      </c>
      <c r="D302" s="13"/>
      <c r="E302" s="17"/>
      <c r="F302" s="13"/>
      <c r="G302" s="16"/>
      <c r="H302" s="13"/>
      <c r="I302" s="13"/>
      <c r="J302" s="11">
        <f>IF(OR(B302="",E302=""),"",SUMIFS($E$5:$E302,$B$5:$B302,B302,$D$5:$D302,"Entrada")-SUMIFS($E$5:$E302,$B$5:$B302,B302,$D$5:$D302,"Salida"))</f>
      </c>
      <c r="K302" s="12">
        <f>IF(J302="","",IF(J302&lt;0,"Saldo negativo: revisa",IFERROR(IF(J302&lt;=INDEX(Productos!$D$5:$D$104,MATCH(B302,Productos!$A$5:$A$104,0)),"En el mínimo o por debajo",""),"")))</f>
      </c>
      <c r="L302" s="13"/>
    </row>
    <row r="303" spans="1:12" x14ac:dyDescent="0.25">
      <c r="A303" s="16"/>
      <c r="B303" s="13"/>
      <c r="C303" s="12">
        <f>IF(B303="","",IFERROR(INDEX(Productos!$B$5:$B$104,MATCH(B303,Productos!$A$5:$A$104,0)),"Código no encontrado"))</f>
      </c>
      <c r="D303" s="13"/>
      <c r="E303" s="17"/>
      <c r="F303" s="13"/>
      <c r="G303" s="16"/>
      <c r="H303" s="13"/>
      <c r="I303" s="13"/>
      <c r="J303" s="11">
        <f>IF(OR(B303="",E303=""),"",SUMIFS($E$5:$E303,$B$5:$B303,B303,$D$5:$D303,"Entrada")-SUMIFS($E$5:$E303,$B$5:$B303,B303,$D$5:$D303,"Salida"))</f>
      </c>
      <c r="K303" s="12">
        <f>IF(J303="","",IF(J303&lt;0,"Saldo negativo: revisa",IFERROR(IF(J303&lt;=INDEX(Productos!$D$5:$D$104,MATCH(B303,Productos!$A$5:$A$104,0)),"En el mínimo o por debajo",""),"")))</f>
      </c>
      <c r="L303" s="13"/>
    </row>
    <row r="304" spans="1:12" x14ac:dyDescent="0.25">
      <c r="A304" s="16"/>
      <c r="B304" s="13"/>
      <c r="C304" s="12">
        <f>IF(B304="","",IFERROR(INDEX(Productos!$B$5:$B$104,MATCH(B304,Productos!$A$5:$A$104,0)),"Código no encontrado"))</f>
      </c>
      <c r="D304" s="13"/>
      <c r="E304" s="17"/>
      <c r="F304" s="13"/>
      <c r="G304" s="16"/>
      <c r="H304" s="13"/>
      <c r="I304" s="13"/>
      <c r="J304" s="11">
        <f>IF(OR(B304="",E304=""),"",SUMIFS($E$5:$E304,$B$5:$B304,B304,$D$5:$D304,"Entrada")-SUMIFS($E$5:$E304,$B$5:$B304,B304,$D$5:$D304,"Salida"))</f>
      </c>
      <c r="K304" s="12">
        <f>IF(J304="","",IF(J304&lt;0,"Saldo negativo: revisa",IFERROR(IF(J304&lt;=INDEX(Productos!$D$5:$D$104,MATCH(B304,Productos!$A$5:$A$104,0)),"En el mínimo o por debajo",""),"")))</f>
      </c>
      <c r="L304" s="13"/>
    </row>
    <row r="305" spans="1:12" x14ac:dyDescent="0.25">
      <c r="A305" s="16"/>
      <c r="B305" s="13"/>
      <c r="C305" s="12">
        <f>IF(B305="","",IFERROR(INDEX(Productos!$B$5:$B$104,MATCH(B305,Productos!$A$5:$A$104,0)),"Código no encontrado"))</f>
      </c>
      <c r="D305" s="13"/>
      <c r="E305" s="17"/>
      <c r="F305" s="13"/>
      <c r="G305" s="16"/>
      <c r="H305" s="13"/>
      <c r="I305" s="13"/>
      <c r="J305" s="11">
        <f>IF(OR(B305="",E305=""),"",SUMIFS($E$5:$E305,$B$5:$B305,B305,$D$5:$D305,"Entrada")-SUMIFS($E$5:$E305,$B$5:$B305,B305,$D$5:$D305,"Salida"))</f>
      </c>
      <c r="K305" s="12">
        <f>IF(J305="","",IF(J305&lt;0,"Saldo negativo: revisa",IFERROR(IF(J305&lt;=INDEX(Productos!$D$5:$D$104,MATCH(B305,Productos!$A$5:$A$104,0)),"En el mínimo o por debajo",""),"")))</f>
      </c>
      <c r="L305" s="13"/>
    </row>
    <row r="306" spans="1:12" x14ac:dyDescent="0.25">
      <c r="A306" s="16"/>
      <c r="B306" s="13"/>
      <c r="C306" s="12">
        <f>IF(B306="","",IFERROR(INDEX(Productos!$B$5:$B$104,MATCH(B306,Productos!$A$5:$A$104,0)),"Código no encontrado"))</f>
      </c>
      <c r="D306" s="13"/>
      <c r="E306" s="17"/>
      <c r="F306" s="13"/>
      <c r="G306" s="16"/>
      <c r="H306" s="13"/>
      <c r="I306" s="13"/>
      <c r="J306" s="11">
        <f>IF(OR(B306="",E306=""),"",SUMIFS($E$5:$E306,$B$5:$B306,B306,$D$5:$D306,"Entrada")-SUMIFS($E$5:$E306,$B$5:$B306,B306,$D$5:$D306,"Salida"))</f>
      </c>
      <c r="K306" s="12">
        <f>IF(J306="","",IF(J306&lt;0,"Saldo negativo: revisa",IFERROR(IF(J306&lt;=INDEX(Productos!$D$5:$D$104,MATCH(B306,Productos!$A$5:$A$104,0)),"En el mínimo o por debajo",""),"")))</f>
      </c>
      <c r="L306" s="13"/>
    </row>
    <row r="307" spans="1:12" x14ac:dyDescent="0.25">
      <c r="A307" s="16"/>
      <c r="B307" s="13"/>
      <c r="C307" s="12">
        <f>IF(B307="","",IFERROR(INDEX(Productos!$B$5:$B$104,MATCH(B307,Productos!$A$5:$A$104,0)),"Código no encontrado"))</f>
      </c>
      <c r="D307" s="13"/>
      <c r="E307" s="17"/>
      <c r="F307" s="13"/>
      <c r="G307" s="16"/>
      <c r="H307" s="13"/>
      <c r="I307" s="13"/>
      <c r="J307" s="11">
        <f>IF(OR(B307="",E307=""),"",SUMIFS($E$5:$E307,$B$5:$B307,B307,$D$5:$D307,"Entrada")-SUMIFS($E$5:$E307,$B$5:$B307,B307,$D$5:$D307,"Salida"))</f>
      </c>
      <c r="K307" s="12">
        <f>IF(J307="","",IF(J307&lt;0,"Saldo negativo: revisa",IFERROR(IF(J307&lt;=INDEX(Productos!$D$5:$D$104,MATCH(B307,Productos!$A$5:$A$104,0)),"En el mínimo o por debajo",""),"")))</f>
      </c>
      <c r="L307" s="13"/>
    </row>
    <row r="308" spans="1:12" x14ac:dyDescent="0.25">
      <c r="A308" s="16"/>
      <c r="B308" s="13"/>
      <c r="C308" s="12">
        <f>IF(B308="","",IFERROR(INDEX(Productos!$B$5:$B$104,MATCH(B308,Productos!$A$5:$A$104,0)),"Código no encontrado"))</f>
      </c>
      <c r="D308" s="13"/>
      <c r="E308" s="17"/>
      <c r="F308" s="13"/>
      <c r="G308" s="16"/>
      <c r="H308" s="13"/>
      <c r="I308" s="13"/>
      <c r="J308" s="11">
        <f>IF(OR(B308="",E308=""),"",SUMIFS($E$5:$E308,$B$5:$B308,B308,$D$5:$D308,"Entrada")-SUMIFS($E$5:$E308,$B$5:$B308,B308,$D$5:$D308,"Salida"))</f>
      </c>
      <c r="K308" s="12">
        <f>IF(J308="","",IF(J308&lt;0,"Saldo negativo: revisa",IFERROR(IF(J308&lt;=INDEX(Productos!$D$5:$D$104,MATCH(B308,Productos!$A$5:$A$104,0)),"En el mínimo o por debajo",""),"")))</f>
      </c>
      <c r="L308" s="13"/>
    </row>
    <row r="309" spans="1:12" x14ac:dyDescent="0.25">
      <c r="A309" s="16"/>
      <c r="B309" s="13"/>
      <c r="C309" s="12">
        <f>IF(B309="","",IFERROR(INDEX(Productos!$B$5:$B$104,MATCH(B309,Productos!$A$5:$A$104,0)),"Código no encontrado"))</f>
      </c>
      <c r="D309" s="13"/>
      <c r="E309" s="17"/>
      <c r="F309" s="13"/>
      <c r="G309" s="16"/>
      <c r="H309" s="13"/>
      <c r="I309" s="13"/>
      <c r="J309" s="11">
        <f>IF(OR(B309="",E309=""),"",SUMIFS($E$5:$E309,$B$5:$B309,B309,$D$5:$D309,"Entrada")-SUMIFS($E$5:$E309,$B$5:$B309,B309,$D$5:$D309,"Salida"))</f>
      </c>
      <c r="K309" s="12">
        <f>IF(J309="","",IF(J309&lt;0,"Saldo negativo: revisa",IFERROR(IF(J309&lt;=INDEX(Productos!$D$5:$D$104,MATCH(B309,Productos!$A$5:$A$104,0)),"En el mínimo o por debajo",""),"")))</f>
      </c>
      <c r="L309" s="13"/>
    </row>
    <row r="310" spans="1:12" x14ac:dyDescent="0.25">
      <c r="A310" s="16"/>
      <c r="B310" s="13"/>
      <c r="C310" s="12">
        <f>IF(B310="","",IFERROR(INDEX(Productos!$B$5:$B$104,MATCH(B310,Productos!$A$5:$A$104,0)),"Código no encontrado"))</f>
      </c>
      <c r="D310" s="13"/>
      <c r="E310" s="17"/>
      <c r="F310" s="13"/>
      <c r="G310" s="16"/>
      <c r="H310" s="13"/>
      <c r="I310" s="13"/>
      <c r="J310" s="11">
        <f>IF(OR(B310="",E310=""),"",SUMIFS($E$5:$E310,$B$5:$B310,B310,$D$5:$D310,"Entrada")-SUMIFS($E$5:$E310,$B$5:$B310,B310,$D$5:$D310,"Salida"))</f>
      </c>
      <c r="K310" s="12">
        <f>IF(J310="","",IF(J310&lt;0,"Saldo negativo: revisa",IFERROR(IF(J310&lt;=INDEX(Productos!$D$5:$D$104,MATCH(B310,Productos!$A$5:$A$104,0)),"En el mínimo o por debajo",""),"")))</f>
      </c>
      <c r="L310" s="13"/>
    </row>
    <row r="311" spans="1:12" x14ac:dyDescent="0.25">
      <c r="A311" s="16"/>
      <c r="B311" s="13"/>
      <c r="C311" s="12">
        <f>IF(B311="","",IFERROR(INDEX(Productos!$B$5:$B$104,MATCH(B311,Productos!$A$5:$A$104,0)),"Código no encontrado"))</f>
      </c>
      <c r="D311" s="13"/>
      <c r="E311" s="17"/>
      <c r="F311" s="13"/>
      <c r="G311" s="16"/>
      <c r="H311" s="13"/>
      <c r="I311" s="13"/>
      <c r="J311" s="11">
        <f>IF(OR(B311="",E311=""),"",SUMIFS($E$5:$E311,$B$5:$B311,B311,$D$5:$D311,"Entrada")-SUMIFS($E$5:$E311,$B$5:$B311,B311,$D$5:$D311,"Salida"))</f>
      </c>
      <c r="K311" s="12">
        <f>IF(J311="","",IF(J311&lt;0,"Saldo negativo: revisa",IFERROR(IF(J311&lt;=INDEX(Productos!$D$5:$D$104,MATCH(B311,Productos!$A$5:$A$104,0)),"En el mínimo o por debajo",""),"")))</f>
      </c>
      <c r="L311" s="13"/>
    </row>
    <row r="312" spans="1:12" x14ac:dyDescent="0.25">
      <c r="A312" s="16"/>
      <c r="B312" s="13"/>
      <c r="C312" s="12">
        <f>IF(B312="","",IFERROR(INDEX(Productos!$B$5:$B$104,MATCH(B312,Productos!$A$5:$A$104,0)),"Código no encontrado"))</f>
      </c>
      <c r="D312" s="13"/>
      <c r="E312" s="17"/>
      <c r="F312" s="13"/>
      <c r="G312" s="16"/>
      <c r="H312" s="13"/>
      <c r="I312" s="13"/>
      <c r="J312" s="11">
        <f>IF(OR(B312="",E312=""),"",SUMIFS($E$5:$E312,$B$5:$B312,B312,$D$5:$D312,"Entrada")-SUMIFS($E$5:$E312,$B$5:$B312,B312,$D$5:$D312,"Salida"))</f>
      </c>
      <c r="K312" s="12">
        <f>IF(J312="","",IF(J312&lt;0,"Saldo negativo: revisa",IFERROR(IF(J312&lt;=INDEX(Productos!$D$5:$D$104,MATCH(B312,Productos!$A$5:$A$104,0)),"En el mínimo o por debajo",""),"")))</f>
      </c>
      <c r="L312" s="13"/>
    </row>
    <row r="313" spans="1:12" x14ac:dyDescent="0.25">
      <c r="A313" s="16"/>
      <c r="B313" s="13"/>
      <c r="C313" s="12">
        <f>IF(B313="","",IFERROR(INDEX(Productos!$B$5:$B$104,MATCH(B313,Productos!$A$5:$A$104,0)),"Código no encontrado"))</f>
      </c>
      <c r="D313" s="13"/>
      <c r="E313" s="17"/>
      <c r="F313" s="13"/>
      <c r="G313" s="16"/>
      <c r="H313" s="13"/>
      <c r="I313" s="13"/>
      <c r="J313" s="11">
        <f>IF(OR(B313="",E313=""),"",SUMIFS($E$5:$E313,$B$5:$B313,B313,$D$5:$D313,"Entrada")-SUMIFS($E$5:$E313,$B$5:$B313,B313,$D$5:$D313,"Salida"))</f>
      </c>
      <c r="K313" s="12">
        <f>IF(J313="","",IF(J313&lt;0,"Saldo negativo: revisa",IFERROR(IF(J313&lt;=INDEX(Productos!$D$5:$D$104,MATCH(B313,Productos!$A$5:$A$104,0)),"En el mínimo o por debajo",""),"")))</f>
      </c>
      <c r="L313" s="13"/>
    </row>
    <row r="314" spans="1:12" x14ac:dyDescent="0.25">
      <c r="A314" s="16"/>
      <c r="B314" s="13"/>
      <c r="C314" s="12">
        <f>IF(B314="","",IFERROR(INDEX(Productos!$B$5:$B$104,MATCH(B314,Productos!$A$5:$A$104,0)),"Código no encontrado"))</f>
      </c>
      <c r="D314" s="13"/>
      <c r="E314" s="17"/>
      <c r="F314" s="13"/>
      <c r="G314" s="16"/>
      <c r="H314" s="13"/>
      <c r="I314" s="13"/>
      <c r="J314" s="11">
        <f>IF(OR(B314="",E314=""),"",SUMIFS($E$5:$E314,$B$5:$B314,B314,$D$5:$D314,"Entrada")-SUMIFS($E$5:$E314,$B$5:$B314,B314,$D$5:$D314,"Salida"))</f>
      </c>
      <c r="K314" s="12">
        <f>IF(J314="","",IF(J314&lt;0,"Saldo negativo: revisa",IFERROR(IF(J314&lt;=INDEX(Productos!$D$5:$D$104,MATCH(B314,Productos!$A$5:$A$104,0)),"En el mínimo o por debajo",""),"")))</f>
      </c>
      <c r="L314" s="13"/>
    </row>
    <row r="315" spans="1:12" x14ac:dyDescent="0.25">
      <c r="A315" s="16"/>
      <c r="B315" s="13"/>
      <c r="C315" s="12">
        <f>IF(B315="","",IFERROR(INDEX(Productos!$B$5:$B$104,MATCH(B315,Productos!$A$5:$A$104,0)),"Código no encontrado"))</f>
      </c>
      <c r="D315" s="13"/>
      <c r="E315" s="17"/>
      <c r="F315" s="13"/>
      <c r="G315" s="16"/>
      <c r="H315" s="13"/>
      <c r="I315" s="13"/>
      <c r="J315" s="11">
        <f>IF(OR(B315="",E315=""),"",SUMIFS($E$5:$E315,$B$5:$B315,B315,$D$5:$D315,"Entrada")-SUMIFS($E$5:$E315,$B$5:$B315,B315,$D$5:$D315,"Salida"))</f>
      </c>
      <c r="K315" s="12">
        <f>IF(J315="","",IF(J315&lt;0,"Saldo negativo: revisa",IFERROR(IF(J315&lt;=INDEX(Productos!$D$5:$D$104,MATCH(B315,Productos!$A$5:$A$104,0)),"En el mínimo o por debajo",""),"")))</f>
      </c>
      <c r="L315" s="13"/>
    </row>
    <row r="316" spans="1:12" x14ac:dyDescent="0.25">
      <c r="A316" s="16"/>
      <c r="B316" s="13"/>
      <c r="C316" s="12">
        <f>IF(B316="","",IFERROR(INDEX(Productos!$B$5:$B$104,MATCH(B316,Productos!$A$5:$A$104,0)),"Código no encontrado"))</f>
      </c>
      <c r="D316" s="13"/>
      <c r="E316" s="17"/>
      <c r="F316" s="13"/>
      <c r="G316" s="16"/>
      <c r="H316" s="13"/>
      <c r="I316" s="13"/>
      <c r="J316" s="11">
        <f>IF(OR(B316="",E316=""),"",SUMIFS($E$5:$E316,$B$5:$B316,B316,$D$5:$D316,"Entrada")-SUMIFS($E$5:$E316,$B$5:$B316,B316,$D$5:$D316,"Salida"))</f>
      </c>
      <c r="K316" s="12">
        <f>IF(J316="","",IF(J316&lt;0,"Saldo negativo: revisa",IFERROR(IF(J316&lt;=INDEX(Productos!$D$5:$D$104,MATCH(B316,Productos!$A$5:$A$104,0)),"En el mínimo o por debajo",""),"")))</f>
      </c>
      <c r="L316" s="13"/>
    </row>
    <row r="317" spans="1:12" x14ac:dyDescent="0.25">
      <c r="A317" s="16"/>
      <c r="B317" s="13"/>
      <c r="C317" s="12">
        <f>IF(B317="","",IFERROR(INDEX(Productos!$B$5:$B$104,MATCH(B317,Productos!$A$5:$A$104,0)),"Código no encontrado"))</f>
      </c>
      <c r="D317" s="13"/>
      <c r="E317" s="17"/>
      <c r="F317" s="13"/>
      <c r="G317" s="16"/>
      <c r="H317" s="13"/>
      <c r="I317" s="13"/>
      <c r="J317" s="11">
        <f>IF(OR(B317="",E317=""),"",SUMIFS($E$5:$E317,$B$5:$B317,B317,$D$5:$D317,"Entrada")-SUMIFS($E$5:$E317,$B$5:$B317,B317,$D$5:$D317,"Salida"))</f>
      </c>
      <c r="K317" s="12">
        <f>IF(J317="","",IF(J317&lt;0,"Saldo negativo: revisa",IFERROR(IF(J317&lt;=INDEX(Productos!$D$5:$D$104,MATCH(B317,Productos!$A$5:$A$104,0)),"En el mínimo o por debajo",""),"")))</f>
      </c>
      <c r="L317" s="13"/>
    </row>
    <row r="318" spans="1:12" x14ac:dyDescent="0.25">
      <c r="A318" s="16"/>
      <c r="B318" s="13"/>
      <c r="C318" s="12">
        <f>IF(B318="","",IFERROR(INDEX(Productos!$B$5:$B$104,MATCH(B318,Productos!$A$5:$A$104,0)),"Código no encontrado"))</f>
      </c>
      <c r="D318" s="13"/>
      <c r="E318" s="17"/>
      <c r="F318" s="13"/>
      <c r="G318" s="16"/>
      <c r="H318" s="13"/>
      <c r="I318" s="13"/>
      <c r="J318" s="11">
        <f>IF(OR(B318="",E318=""),"",SUMIFS($E$5:$E318,$B$5:$B318,B318,$D$5:$D318,"Entrada")-SUMIFS($E$5:$E318,$B$5:$B318,B318,$D$5:$D318,"Salida"))</f>
      </c>
      <c r="K318" s="12">
        <f>IF(J318="","",IF(J318&lt;0,"Saldo negativo: revisa",IFERROR(IF(J318&lt;=INDEX(Productos!$D$5:$D$104,MATCH(B318,Productos!$A$5:$A$104,0)),"En el mínimo o por debajo",""),"")))</f>
      </c>
      <c r="L318" s="13"/>
    </row>
    <row r="319" spans="1:12" x14ac:dyDescent="0.25">
      <c r="A319" s="16"/>
      <c r="B319" s="13"/>
      <c r="C319" s="12">
        <f>IF(B319="","",IFERROR(INDEX(Productos!$B$5:$B$104,MATCH(B319,Productos!$A$5:$A$104,0)),"Código no encontrado"))</f>
      </c>
      <c r="D319" s="13"/>
      <c r="E319" s="17"/>
      <c r="F319" s="13"/>
      <c r="G319" s="16"/>
      <c r="H319" s="13"/>
      <c r="I319" s="13"/>
      <c r="J319" s="11">
        <f>IF(OR(B319="",E319=""),"",SUMIFS($E$5:$E319,$B$5:$B319,B319,$D$5:$D319,"Entrada")-SUMIFS($E$5:$E319,$B$5:$B319,B319,$D$5:$D319,"Salida"))</f>
      </c>
      <c r="K319" s="12">
        <f>IF(J319="","",IF(J319&lt;0,"Saldo negativo: revisa",IFERROR(IF(J319&lt;=INDEX(Productos!$D$5:$D$104,MATCH(B319,Productos!$A$5:$A$104,0)),"En el mínimo o por debajo",""),"")))</f>
      </c>
      <c r="L319" s="13"/>
    </row>
    <row r="320" spans="1:12" x14ac:dyDescent="0.25">
      <c r="A320" s="16"/>
      <c r="B320" s="13"/>
      <c r="C320" s="12">
        <f>IF(B320="","",IFERROR(INDEX(Productos!$B$5:$B$104,MATCH(B320,Productos!$A$5:$A$104,0)),"Código no encontrado"))</f>
      </c>
      <c r="D320" s="13"/>
      <c r="E320" s="17"/>
      <c r="F320" s="13"/>
      <c r="G320" s="16"/>
      <c r="H320" s="13"/>
      <c r="I320" s="13"/>
      <c r="J320" s="11">
        <f>IF(OR(B320="",E320=""),"",SUMIFS($E$5:$E320,$B$5:$B320,B320,$D$5:$D320,"Entrada")-SUMIFS($E$5:$E320,$B$5:$B320,B320,$D$5:$D320,"Salida"))</f>
      </c>
      <c r="K320" s="12">
        <f>IF(J320="","",IF(J320&lt;0,"Saldo negativo: revisa",IFERROR(IF(J320&lt;=INDEX(Productos!$D$5:$D$104,MATCH(B320,Productos!$A$5:$A$104,0)),"En el mínimo o por debajo",""),"")))</f>
      </c>
      <c r="L320" s="13"/>
    </row>
    <row r="321" spans="1:12" x14ac:dyDescent="0.25">
      <c r="A321" s="16"/>
      <c r="B321" s="13"/>
      <c r="C321" s="12">
        <f>IF(B321="","",IFERROR(INDEX(Productos!$B$5:$B$104,MATCH(B321,Productos!$A$5:$A$104,0)),"Código no encontrado"))</f>
      </c>
      <c r="D321" s="13"/>
      <c r="E321" s="17"/>
      <c r="F321" s="13"/>
      <c r="G321" s="16"/>
      <c r="H321" s="13"/>
      <c r="I321" s="13"/>
      <c r="J321" s="11">
        <f>IF(OR(B321="",E321=""),"",SUMIFS($E$5:$E321,$B$5:$B321,B321,$D$5:$D321,"Entrada")-SUMIFS($E$5:$E321,$B$5:$B321,B321,$D$5:$D321,"Salida"))</f>
      </c>
      <c r="K321" s="12">
        <f>IF(J321="","",IF(J321&lt;0,"Saldo negativo: revisa",IFERROR(IF(J321&lt;=INDEX(Productos!$D$5:$D$104,MATCH(B321,Productos!$A$5:$A$104,0)),"En el mínimo o por debajo",""),"")))</f>
      </c>
      <c r="L321" s="13"/>
    </row>
    <row r="322" spans="1:12" x14ac:dyDescent="0.25">
      <c r="A322" s="16"/>
      <c r="B322" s="13"/>
      <c r="C322" s="12">
        <f>IF(B322="","",IFERROR(INDEX(Productos!$B$5:$B$104,MATCH(B322,Productos!$A$5:$A$104,0)),"Código no encontrado"))</f>
      </c>
      <c r="D322" s="13"/>
      <c r="E322" s="17"/>
      <c r="F322" s="13"/>
      <c r="G322" s="16"/>
      <c r="H322" s="13"/>
      <c r="I322" s="13"/>
      <c r="J322" s="11">
        <f>IF(OR(B322="",E322=""),"",SUMIFS($E$5:$E322,$B$5:$B322,B322,$D$5:$D322,"Entrada")-SUMIFS($E$5:$E322,$B$5:$B322,B322,$D$5:$D322,"Salida"))</f>
      </c>
      <c r="K322" s="12">
        <f>IF(J322="","",IF(J322&lt;0,"Saldo negativo: revisa",IFERROR(IF(J322&lt;=INDEX(Productos!$D$5:$D$104,MATCH(B322,Productos!$A$5:$A$104,0)),"En el mínimo o por debajo",""),"")))</f>
      </c>
      <c r="L322" s="13"/>
    </row>
    <row r="323" spans="1:12" x14ac:dyDescent="0.25">
      <c r="A323" s="16"/>
      <c r="B323" s="13"/>
      <c r="C323" s="12">
        <f>IF(B323="","",IFERROR(INDEX(Productos!$B$5:$B$104,MATCH(B323,Productos!$A$5:$A$104,0)),"Código no encontrado"))</f>
      </c>
      <c r="D323" s="13"/>
      <c r="E323" s="17"/>
      <c r="F323" s="13"/>
      <c r="G323" s="16"/>
      <c r="H323" s="13"/>
      <c r="I323" s="13"/>
      <c r="J323" s="11">
        <f>IF(OR(B323="",E323=""),"",SUMIFS($E$5:$E323,$B$5:$B323,B323,$D$5:$D323,"Entrada")-SUMIFS($E$5:$E323,$B$5:$B323,B323,$D$5:$D323,"Salida"))</f>
      </c>
      <c r="K323" s="12">
        <f>IF(J323="","",IF(J323&lt;0,"Saldo negativo: revisa",IFERROR(IF(J323&lt;=INDEX(Productos!$D$5:$D$104,MATCH(B323,Productos!$A$5:$A$104,0)),"En el mínimo o por debajo",""),"")))</f>
      </c>
      <c r="L323" s="13"/>
    </row>
    <row r="324" spans="1:12" x14ac:dyDescent="0.25">
      <c r="A324" s="16"/>
      <c r="B324" s="13"/>
      <c r="C324" s="12">
        <f>IF(B324="","",IFERROR(INDEX(Productos!$B$5:$B$104,MATCH(B324,Productos!$A$5:$A$104,0)),"Código no encontrado"))</f>
      </c>
      <c r="D324" s="13"/>
      <c r="E324" s="17"/>
      <c r="F324" s="13"/>
      <c r="G324" s="16"/>
      <c r="H324" s="13"/>
      <c r="I324" s="13"/>
      <c r="J324" s="11">
        <f>IF(OR(B324="",E324=""),"",SUMIFS($E$5:$E324,$B$5:$B324,B324,$D$5:$D324,"Entrada")-SUMIFS($E$5:$E324,$B$5:$B324,B324,$D$5:$D324,"Salida"))</f>
      </c>
      <c r="K324" s="12">
        <f>IF(J324="","",IF(J324&lt;0,"Saldo negativo: revisa",IFERROR(IF(J324&lt;=INDEX(Productos!$D$5:$D$104,MATCH(B324,Productos!$A$5:$A$104,0)),"En el mínimo o por debajo",""),"")))</f>
      </c>
      <c r="L324" s="13"/>
    </row>
    <row r="325" spans="1:12" x14ac:dyDescent="0.25">
      <c r="A325" s="16"/>
      <c r="B325" s="13"/>
      <c r="C325" s="12">
        <f>IF(B325="","",IFERROR(INDEX(Productos!$B$5:$B$104,MATCH(B325,Productos!$A$5:$A$104,0)),"Código no encontrado"))</f>
      </c>
      <c r="D325" s="13"/>
      <c r="E325" s="17"/>
      <c r="F325" s="13"/>
      <c r="G325" s="16"/>
      <c r="H325" s="13"/>
      <c r="I325" s="13"/>
      <c r="J325" s="11">
        <f>IF(OR(B325="",E325=""),"",SUMIFS($E$5:$E325,$B$5:$B325,B325,$D$5:$D325,"Entrada")-SUMIFS($E$5:$E325,$B$5:$B325,B325,$D$5:$D325,"Salida"))</f>
      </c>
      <c r="K325" s="12">
        <f>IF(J325="","",IF(J325&lt;0,"Saldo negativo: revisa",IFERROR(IF(J325&lt;=INDEX(Productos!$D$5:$D$104,MATCH(B325,Productos!$A$5:$A$104,0)),"En el mínimo o por debajo",""),"")))</f>
      </c>
      <c r="L325" s="13"/>
    </row>
    <row r="326" spans="1:12" x14ac:dyDescent="0.25">
      <c r="A326" s="16"/>
      <c r="B326" s="13"/>
      <c r="C326" s="12">
        <f>IF(B326="","",IFERROR(INDEX(Productos!$B$5:$B$104,MATCH(B326,Productos!$A$5:$A$104,0)),"Código no encontrado"))</f>
      </c>
      <c r="D326" s="13"/>
      <c r="E326" s="17"/>
      <c r="F326" s="13"/>
      <c r="G326" s="16"/>
      <c r="H326" s="13"/>
      <c r="I326" s="13"/>
      <c r="J326" s="11">
        <f>IF(OR(B326="",E326=""),"",SUMIFS($E$5:$E326,$B$5:$B326,B326,$D$5:$D326,"Entrada")-SUMIFS($E$5:$E326,$B$5:$B326,B326,$D$5:$D326,"Salida"))</f>
      </c>
      <c r="K326" s="12">
        <f>IF(J326="","",IF(J326&lt;0,"Saldo negativo: revisa",IFERROR(IF(J326&lt;=INDEX(Productos!$D$5:$D$104,MATCH(B326,Productos!$A$5:$A$104,0)),"En el mínimo o por debajo",""),"")))</f>
      </c>
      <c r="L326" s="13"/>
    </row>
    <row r="327" spans="1:12" x14ac:dyDescent="0.25">
      <c r="A327" s="16"/>
      <c r="B327" s="13"/>
      <c r="C327" s="12">
        <f>IF(B327="","",IFERROR(INDEX(Productos!$B$5:$B$104,MATCH(B327,Productos!$A$5:$A$104,0)),"Código no encontrado"))</f>
      </c>
      <c r="D327" s="13"/>
      <c r="E327" s="17"/>
      <c r="F327" s="13"/>
      <c r="G327" s="16"/>
      <c r="H327" s="13"/>
      <c r="I327" s="13"/>
      <c r="J327" s="11">
        <f>IF(OR(B327="",E327=""),"",SUMIFS($E$5:$E327,$B$5:$B327,B327,$D$5:$D327,"Entrada")-SUMIFS($E$5:$E327,$B$5:$B327,B327,$D$5:$D327,"Salida"))</f>
      </c>
      <c r="K327" s="12">
        <f>IF(J327="","",IF(J327&lt;0,"Saldo negativo: revisa",IFERROR(IF(J327&lt;=INDEX(Productos!$D$5:$D$104,MATCH(B327,Productos!$A$5:$A$104,0)),"En el mínimo o por debajo",""),"")))</f>
      </c>
      <c r="L327" s="13"/>
    </row>
    <row r="328" spans="1:12" x14ac:dyDescent="0.25">
      <c r="A328" s="16"/>
      <c r="B328" s="13"/>
      <c r="C328" s="12">
        <f>IF(B328="","",IFERROR(INDEX(Productos!$B$5:$B$104,MATCH(B328,Productos!$A$5:$A$104,0)),"Código no encontrado"))</f>
      </c>
      <c r="D328" s="13"/>
      <c r="E328" s="17"/>
      <c r="F328" s="13"/>
      <c r="G328" s="16"/>
      <c r="H328" s="13"/>
      <c r="I328" s="13"/>
      <c r="J328" s="11">
        <f>IF(OR(B328="",E328=""),"",SUMIFS($E$5:$E328,$B$5:$B328,B328,$D$5:$D328,"Entrada")-SUMIFS($E$5:$E328,$B$5:$B328,B328,$D$5:$D328,"Salida"))</f>
      </c>
      <c r="K328" s="12">
        <f>IF(J328="","",IF(J328&lt;0,"Saldo negativo: revisa",IFERROR(IF(J328&lt;=INDEX(Productos!$D$5:$D$104,MATCH(B328,Productos!$A$5:$A$104,0)),"En el mínimo o por debajo",""),"")))</f>
      </c>
      <c r="L328" s="13"/>
    </row>
    <row r="329" spans="1:12" x14ac:dyDescent="0.25">
      <c r="A329" s="16"/>
      <c r="B329" s="13"/>
      <c r="C329" s="12">
        <f>IF(B329="","",IFERROR(INDEX(Productos!$B$5:$B$104,MATCH(B329,Productos!$A$5:$A$104,0)),"Código no encontrado"))</f>
      </c>
      <c r="D329" s="13"/>
      <c r="E329" s="17"/>
      <c r="F329" s="13"/>
      <c r="G329" s="16"/>
      <c r="H329" s="13"/>
      <c r="I329" s="13"/>
      <c r="J329" s="11">
        <f>IF(OR(B329="",E329=""),"",SUMIFS($E$5:$E329,$B$5:$B329,B329,$D$5:$D329,"Entrada")-SUMIFS($E$5:$E329,$B$5:$B329,B329,$D$5:$D329,"Salida"))</f>
      </c>
      <c r="K329" s="12">
        <f>IF(J329="","",IF(J329&lt;0,"Saldo negativo: revisa",IFERROR(IF(J329&lt;=INDEX(Productos!$D$5:$D$104,MATCH(B329,Productos!$A$5:$A$104,0)),"En el mínimo o por debajo",""),"")))</f>
      </c>
      <c r="L329" s="13"/>
    </row>
    <row r="330" spans="1:12" x14ac:dyDescent="0.25">
      <c r="A330" s="16"/>
      <c r="B330" s="13"/>
      <c r="C330" s="12">
        <f>IF(B330="","",IFERROR(INDEX(Productos!$B$5:$B$104,MATCH(B330,Productos!$A$5:$A$104,0)),"Código no encontrado"))</f>
      </c>
      <c r="D330" s="13"/>
      <c r="E330" s="17"/>
      <c r="F330" s="13"/>
      <c r="G330" s="16"/>
      <c r="H330" s="13"/>
      <c r="I330" s="13"/>
      <c r="J330" s="11">
        <f>IF(OR(B330="",E330=""),"",SUMIFS($E$5:$E330,$B$5:$B330,B330,$D$5:$D330,"Entrada")-SUMIFS($E$5:$E330,$B$5:$B330,B330,$D$5:$D330,"Salida"))</f>
      </c>
      <c r="K330" s="12">
        <f>IF(J330="","",IF(J330&lt;0,"Saldo negativo: revisa",IFERROR(IF(J330&lt;=INDEX(Productos!$D$5:$D$104,MATCH(B330,Productos!$A$5:$A$104,0)),"En el mínimo o por debajo",""),"")))</f>
      </c>
      <c r="L330" s="13"/>
    </row>
    <row r="331" spans="1:12" x14ac:dyDescent="0.25">
      <c r="A331" s="16"/>
      <c r="B331" s="13"/>
      <c r="C331" s="12">
        <f>IF(B331="","",IFERROR(INDEX(Productos!$B$5:$B$104,MATCH(B331,Productos!$A$5:$A$104,0)),"Código no encontrado"))</f>
      </c>
      <c r="D331" s="13"/>
      <c r="E331" s="17"/>
      <c r="F331" s="13"/>
      <c r="G331" s="16"/>
      <c r="H331" s="13"/>
      <c r="I331" s="13"/>
      <c r="J331" s="11">
        <f>IF(OR(B331="",E331=""),"",SUMIFS($E$5:$E331,$B$5:$B331,B331,$D$5:$D331,"Entrada")-SUMIFS($E$5:$E331,$B$5:$B331,B331,$D$5:$D331,"Salida"))</f>
      </c>
      <c r="K331" s="12">
        <f>IF(J331="","",IF(J331&lt;0,"Saldo negativo: revisa",IFERROR(IF(J331&lt;=INDEX(Productos!$D$5:$D$104,MATCH(B331,Productos!$A$5:$A$104,0)),"En el mínimo o por debajo",""),"")))</f>
      </c>
      <c r="L331" s="13"/>
    </row>
    <row r="332" spans="1:12" x14ac:dyDescent="0.25">
      <c r="A332" s="16"/>
      <c r="B332" s="13"/>
      <c r="C332" s="12">
        <f>IF(B332="","",IFERROR(INDEX(Productos!$B$5:$B$104,MATCH(B332,Productos!$A$5:$A$104,0)),"Código no encontrado"))</f>
      </c>
      <c r="D332" s="13"/>
      <c r="E332" s="17"/>
      <c r="F332" s="13"/>
      <c r="G332" s="16"/>
      <c r="H332" s="13"/>
      <c r="I332" s="13"/>
      <c r="J332" s="11">
        <f>IF(OR(B332="",E332=""),"",SUMIFS($E$5:$E332,$B$5:$B332,B332,$D$5:$D332,"Entrada")-SUMIFS($E$5:$E332,$B$5:$B332,B332,$D$5:$D332,"Salida"))</f>
      </c>
      <c r="K332" s="12">
        <f>IF(J332="","",IF(J332&lt;0,"Saldo negativo: revisa",IFERROR(IF(J332&lt;=INDEX(Productos!$D$5:$D$104,MATCH(B332,Productos!$A$5:$A$104,0)),"En el mínimo o por debajo",""),"")))</f>
      </c>
      <c r="L332" s="13"/>
    </row>
    <row r="333" spans="1:12" x14ac:dyDescent="0.25">
      <c r="A333" s="16"/>
      <c r="B333" s="13"/>
      <c r="C333" s="12">
        <f>IF(B333="","",IFERROR(INDEX(Productos!$B$5:$B$104,MATCH(B333,Productos!$A$5:$A$104,0)),"Código no encontrado"))</f>
      </c>
      <c r="D333" s="13"/>
      <c r="E333" s="17"/>
      <c r="F333" s="13"/>
      <c r="G333" s="16"/>
      <c r="H333" s="13"/>
      <c r="I333" s="13"/>
      <c r="J333" s="11">
        <f>IF(OR(B333="",E333=""),"",SUMIFS($E$5:$E333,$B$5:$B333,B333,$D$5:$D333,"Entrada")-SUMIFS($E$5:$E333,$B$5:$B333,B333,$D$5:$D333,"Salida"))</f>
      </c>
      <c r="K333" s="12">
        <f>IF(J333="","",IF(J333&lt;0,"Saldo negativo: revisa",IFERROR(IF(J333&lt;=INDEX(Productos!$D$5:$D$104,MATCH(B333,Productos!$A$5:$A$104,0)),"En el mínimo o por debajo",""),"")))</f>
      </c>
      <c r="L333" s="13"/>
    </row>
    <row r="334" spans="1:12" x14ac:dyDescent="0.25">
      <c r="A334" s="16"/>
      <c r="B334" s="13"/>
      <c r="C334" s="12">
        <f>IF(B334="","",IFERROR(INDEX(Productos!$B$5:$B$104,MATCH(B334,Productos!$A$5:$A$104,0)),"Código no encontrado"))</f>
      </c>
      <c r="D334" s="13"/>
      <c r="E334" s="17"/>
      <c r="F334" s="13"/>
      <c r="G334" s="16"/>
      <c r="H334" s="13"/>
      <c r="I334" s="13"/>
      <c r="J334" s="11">
        <f>IF(OR(B334="",E334=""),"",SUMIFS($E$5:$E334,$B$5:$B334,B334,$D$5:$D334,"Entrada")-SUMIFS($E$5:$E334,$B$5:$B334,B334,$D$5:$D334,"Salida"))</f>
      </c>
      <c r="K334" s="12">
        <f>IF(J334="","",IF(J334&lt;0,"Saldo negativo: revisa",IFERROR(IF(J334&lt;=INDEX(Productos!$D$5:$D$104,MATCH(B334,Productos!$A$5:$A$104,0)),"En el mínimo o por debajo",""),"")))</f>
      </c>
      <c r="L334" s="13"/>
    </row>
    <row r="335" spans="1:12" x14ac:dyDescent="0.25">
      <c r="A335" s="16"/>
      <c r="B335" s="13"/>
      <c r="C335" s="12">
        <f>IF(B335="","",IFERROR(INDEX(Productos!$B$5:$B$104,MATCH(B335,Productos!$A$5:$A$104,0)),"Código no encontrado"))</f>
      </c>
      <c r="D335" s="13"/>
      <c r="E335" s="17"/>
      <c r="F335" s="13"/>
      <c r="G335" s="16"/>
      <c r="H335" s="13"/>
      <c r="I335" s="13"/>
      <c r="J335" s="11">
        <f>IF(OR(B335="",E335=""),"",SUMIFS($E$5:$E335,$B$5:$B335,B335,$D$5:$D335,"Entrada")-SUMIFS($E$5:$E335,$B$5:$B335,B335,$D$5:$D335,"Salida"))</f>
      </c>
      <c r="K335" s="12">
        <f>IF(J335="","",IF(J335&lt;0,"Saldo negativo: revisa",IFERROR(IF(J335&lt;=INDEX(Productos!$D$5:$D$104,MATCH(B335,Productos!$A$5:$A$104,0)),"En el mínimo o por debajo",""),"")))</f>
      </c>
      <c r="L335" s="13"/>
    </row>
    <row r="336" spans="1:12" x14ac:dyDescent="0.25">
      <c r="A336" s="16"/>
      <c r="B336" s="13"/>
      <c r="C336" s="12">
        <f>IF(B336="","",IFERROR(INDEX(Productos!$B$5:$B$104,MATCH(B336,Productos!$A$5:$A$104,0)),"Código no encontrado"))</f>
      </c>
      <c r="D336" s="13"/>
      <c r="E336" s="17"/>
      <c r="F336" s="13"/>
      <c r="G336" s="16"/>
      <c r="H336" s="13"/>
      <c r="I336" s="13"/>
      <c r="J336" s="11">
        <f>IF(OR(B336="",E336=""),"",SUMIFS($E$5:$E336,$B$5:$B336,B336,$D$5:$D336,"Entrada")-SUMIFS($E$5:$E336,$B$5:$B336,B336,$D$5:$D336,"Salida"))</f>
      </c>
      <c r="K336" s="12">
        <f>IF(J336="","",IF(J336&lt;0,"Saldo negativo: revisa",IFERROR(IF(J336&lt;=INDEX(Productos!$D$5:$D$104,MATCH(B336,Productos!$A$5:$A$104,0)),"En el mínimo o por debajo",""),"")))</f>
      </c>
      <c r="L336" s="13"/>
    </row>
    <row r="337" spans="1:12" x14ac:dyDescent="0.25">
      <c r="A337" s="16"/>
      <c r="B337" s="13"/>
      <c r="C337" s="12">
        <f>IF(B337="","",IFERROR(INDEX(Productos!$B$5:$B$104,MATCH(B337,Productos!$A$5:$A$104,0)),"Código no encontrado"))</f>
      </c>
      <c r="D337" s="13"/>
      <c r="E337" s="17"/>
      <c r="F337" s="13"/>
      <c r="G337" s="16"/>
      <c r="H337" s="13"/>
      <c r="I337" s="13"/>
      <c r="J337" s="11">
        <f>IF(OR(B337="",E337=""),"",SUMIFS($E$5:$E337,$B$5:$B337,B337,$D$5:$D337,"Entrada")-SUMIFS($E$5:$E337,$B$5:$B337,B337,$D$5:$D337,"Salida"))</f>
      </c>
      <c r="K337" s="12">
        <f>IF(J337="","",IF(J337&lt;0,"Saldo negativo: revisa",IFERROR(IF(J337&lt;=INDEX(Productos!$D$5:$D$104,MATCH(B337,Productos!$A$5:$A$104,0)),"En el mínimo o por debajo",""),"")))</f>
      </c>
      <c r="L337" s="13"/>
    </row>
    <row r="338" spans="1:12" x14ac:dyDescent="0.25">
      <c r="A338" s="16"/>
      <c r="B338" s="13"/>
      <c r="C338" s="12">
        <f>IF(B338="","",IFERROR(INDEX(Productos!$B$5:$B$104,MATCH(B338,Productos!$A$5:$A$104,0)),"Código no encontrado"))</f>
      </c>
      <c r="D338" s="13"/>
      <c r="E338" s="17"/>
      <c r="F338" s="13"/>
      <c r="G338" s="16"/>
      <c r="H338" s="13"/>
      <c r="I338" s="13"/>
      <c r="J338" s="11">
        <f>IF(OR(B338="",E338=""),"",SUMIFS($E$5:$E338,$B$5:$B338,B338,$D$5:$D338,"Entrada")-SUMIFS($E$5:$E338,$B$5:$B338,B338,$D$5:$D338,"Salida"))</f>
      </c>
      <c r="K338" s="12">
        <f>IF(J338="","",IF(J338&lt;0,"Saldo negativo: revisa",IFERROR(IF(J338&lt;=INDEX(Productos!$D$5:$D$104,MATCH(B338,Productos!$A$5:$A$104,0)),"En el mínimo o por debajo",""),"")))</f>
      </c>
      <c r="L338" s="13"/>
    </row>
    <row r="339" spans="1:12" x14ac:dyDescent="0.25">
      <c r="A339" s="16"/>
      <c r="B339" s="13"/>
      <c r="C339" s="12">
        <f>IF(B339="","",IFERROR(INDEX(Productos!$B$5:$B$104,MATCH(B339,Productos!$A$5:$A$104,0)),"Código no encontrado"))</f>
      </c>
      <c r="D339" s="13"/>
      <c r="E339" s="17"/>
      <c r="F339" s="13"/>
      <c r="G339" s="16"/>
      <c r="H339" s="13"/>
      <c r="I339" s="13"/>
      <c r="J339" s="11">
        <f>IF(OR(B339="",E339=""),"",SUMIFS($E$5:$E339,$B$5:$B339,B339,$D$5:$D339,"Entrada")-SUMIFS($E$5:$E339,$B$5:$B339,B339,$D$5:$D339,"Salida"))</f>
      </c>
      <c r="K339" s="12">
        <f>IF(J339="","",IF(J339&lt;0,"Saldo negativo: revisa",IFERROR(IF(J339&lt;=INDEX(Productos!$D$5:$D$104,MATCH(B339,Productos!$A$5:$A$104,0)),"En el mínimo o por debajo",""),"")))</f>
      </c>
      <c r="L339" s="13"/>
    </row>
    <row r="340" spans="1:12" x14ac:dyDescent="0.25">
      <c r="A340" s="16"/>
      <c r="B340" s="13"/>
      <c r="C340" s="12">
        <f>IF(B340="","",IFERROR(INDEX(Productos!$B$5:$B$104,MATCH(B340,Productos!$A$5:$A$104,0)),"Código no encontrado"))</f>
      </c>
      <c r="D340" s="13"/>
      <c r="E340" s="17"/>
      <c r="F340" s="13"/>
      <c r="G340" s="16"/>
      <c r="H340" s="13"/>
      <c r="I340" s="13"/>
      <c r="J340" s="11">
        <f>IF(OR(B340="",E340=""),"",SUMIFS($E$5:$E340,$B$5:$B340,B340,$D$5:$D340,"Entrada")-SUMIFS($E$5:$E340,$B$5:$B340,B340,$D$5:$D340,"Salida"))</f>
      </c>
      <c r="K340" s="12">
        <f>IF(J340="","",IF(J340&lt;0,"Saldo negativo: revisa",IFERROR(IF(J340&lt;=INDEX(Productos!$D$5:$D$104,MATCH(B340,Productos!$A$5:$A$104,0)),"En el mínimo o por debajo",""),"")))</f>
      </c>
      <c r="L340" s="13"/>
    </row>
    <row r="341" spans="1:12" x14ac:dyDescent="0.25">
      <c r="A341" s="16"/>
      <c r="B341" s="13"/>
      <c r="C341" s="12">
        <f>IF(B341="","",IFERROR(INDEX(Productos!$B$5:$B$104,MATCH(B341,Productos!$A$5:$A$104,0)),"Código no encontrado"))</f>
      </c>
      <c r="D341" s="13"/>
      <c r="E341" s="17"/>
      <c r="F341" s="13"/>
      <c r="G341" s="16"/>
      <c r="H341" s="13"/>
      <c r="I341" s="13"/>
      <c r="J341" s="11">
        <f>IF(OR(B341="",E341=""),"",SUMIFS($E$5:$E341,$B$5:$B341,B341,$D$5:$D341,"Entrada")-SUMIFS($E$5:$E341,$B$5:$B341,B341,$D$5:$D341,"Salida"))</f>
      </c>
      <c r="K341" s="12">
        <f>IF(J341="","",IF(J341&lt;0,"Saldo negativo: revisa",IFERROR(IF(J341&lt;=INDEX(Productos!$D$5:$D$104,MATCH(B341,Productos!$A$5:$A$104,0)),"En el mínimo o por debajo",""),"")))</f>
      </c>
      <c r="L341" s="13"/>
    </row>
    <row r="342" spans="1:12" x14ac:dyDescent="0.25">
      <c r="A342" s="16"/>
      <c r="B342" s="13"/>
      <c r="C342" s="12">
        <f>IF(B342="","",IFERROR(INDEX(Productos!$B$5:$B$104,MATCH(B342,Productos!$A$5:$A$104,0)),"Código no encontrado"))</f>
      </c>
      <c r="D342" s="13"/>
      <c r="E342" s="17"/>
      <c r="F342" s="13"/>
      <c r="G342" s="16"/>
      <c r="H342" s="13"/>
      <c r="I342" s="13"/>
      <c r="J342" s="11">
        <f>IF(OR(B342="",E342=""),"",SUMIFS($E$5:$E342,$B$5:$B342,B342,$D$5:$D342,"Entrada")-SUMIFS($E$5:$E342,$B$5:$B342,B342,$D$5:$D342,"Salida"))</f>
      </c>
      <c r="K342" s="12">
        <f>IF(J342="","",IF(J342&lt;0,"Saldo negativo: revisa",IFERROR(IF(J342&lt;=INDEX(Productos!$D$5:$D$104,MATCH(B342,Productos!$A$5:$A$104,0)),"En el mínimo o por debajo",""),"")))</f>
      </c>
      <c r="L342" s="13"/>
    </row>
    <row r="343" spans="1:12" x14ac:dyDescent="0.25">
      <c r="A343" s="16"/>
      <c r="B343" s="13"/>
      <c r="C343" s="12">
        <f>IF(B343="","",IFERROR(INDEX(Productos!$B$5:$B$104,MATCH(B343,Productos!$A$5:$A$104,0)),"Código no encontrado"))</f>
      </c>
      <c r="D343" s="13"/>
      <c r="E343" s="17"/>
      <c r="F343" s="13"/>
      <c r="G343" s="16"/>
      <c r="H343" s="13"/>
      <c r="I343" s="13"/>
      <c r="J343" s="11">
        <f>IF(OR(B343="",E343=""),"",SUMIFS($E$5:$E343,$B$5:$B343,B343,$D$5:$D343,"Entrada")-SUMIFS($E$5:$E343,$B$5:$B343,B343,$D$5:$D343,"Salida"))</f>
      </c>
      <c r="K343" s="12">
        <f>IF(J343="","",IF(J343&lt;0,"Saldo negativo: revisa",IFERROR(IF(J343&lt;=INDEX(Productos!$D$5:$D$104,MATCH(B343,Productos!$A$5:$A$104,0)),"En el mínimo o por debajo",""),"")))</f>
      </c>
      <c r="L343" s="13"/>
    </row>
    <row r="344" spans="1:12" x14ac:dyDescent="0.25">
      <c r="A344" s="16"/>
      <c r="B344" s="13"/>
      <c r="C344" s="12">
        <f>IF(B344="","",IFERROR(INDEX(Productos!$B$5:$B$104,MATCH(B344,Productos!$A$5:$A$104,0)),"Código no encontrado"))</f>
      </c>
      <c r="D344" s="13"/>
      <c r="E344" s="17"/>
      <c r="F344" s="13"/>
      <c r="G344" s="16"/>
      <c r="H344" s="13"/>
      <c r="I344" s="13"/>
      <c r="J344" s="11">
        <f>IF(OR(B344="",E344=""),"",SUMIFS($E$5:$E344,$B$5:$B344,B344,$D$5:$D344,"Entrada")-SUMIFS($E$5:$E344,$B$5:$B344,B344,$D$5:$D344,"Salida"))</f>
      </c>
      <c r="K344" s="12">
        <f>IF(J344="","",IF(J344&lt;0,"Saldo negativo: revisa",IFERROR(IF(J344&lt;=INDEX(Productos!$D$5:$D$104,MATCH(B344,Productos!$A$5:$A$104,0)),"En el mínimo o por debajo",""),"")))</f>
      </c>
      <c r="L344" s="13"/>
    </row>
    <row r="345" spans="1:12" x14ac:dyDescent="0.25">
      <c r="A345" s="16"/>
      <c r="B345" s="13"/>
      <c r="C345" s="12">
        <f>IF(B345="","",IFERROR(INDEX(Productos!$B$5:$B$104,MATCH(B345,Productos!$A$5:$A$104,0)),"Código no encontrado"))</f>
      </c>
      <c r="D345" s="13"/>
      <c r="E345" s="17"/>
      <c r="F345" s="13"/>
      <c r="G345" s="16"/>
      <c r="H345" s="13"/>
      <c r="I345" s="13"/>
      <c r="J345" s="11">
        <f>IF(OR(B345="",E345=""),"",SUMIFS($E$5:$E345,$B$5:$B345,B345,$D$5:$D345,"Entrada")-SUMIFS($E$5:$E345,$B$5:$B345,B345,$D$5:$D345,"Salida"))</f>
      </c>
      <c r="K345" s="12">
        <f>IF(J345="","",IF(J345&lt;0,"Saldo negativo: revisa",IFERROR(IF(J345&lt;=INDEX(Productos!$D$5:$D$104,MATCH(B345,Productos!$A$5:$A$104,0)),"En el mínimo o por debajo",""),"")))</f>
      </c>
      <c r="L345" s="13"/>
    </row>
    <row r="346" spans="1:12" x14ac:dyDescent="0.25">
      <c r="A346" s="16"/>
      <c r="B346" s="13"/>
      <c r="C346" s="12">
        <f>IF(B346="","",IFERROR(INDEX(Productos!$B$5:$B$104,MATCH(B346,Productos!$A$5:$A$104,0)),"Código no encontrado"))</f>
      </c>
      <c r="D346" s="13"/>
      <c r="E346" s="17"/>
      <c r="F346" s="13"/>
      <c r="G346" s="16"/>
      <c r="H346" s="13"/>
      <c r="I346" s="13"/>
      <c r="J346" s="11">
        <f>IF(OR(B346="",E346=""),"",SUMIFS($E$5:$E346,$B$5:$B346,B346,$D$5:$D346,"Entrada")-SUMIFS($E$5:$E346,$B$5:$B346,B346,$D$5:$D346,"Salida"))</f>
      </c>
      <c r="K346" s="12">
        <f>IF(J346="","",IF(J346&lt;0,"Saldo negativo: revisa",IFERROR(IF(J346&lt;=INDEX(Productos!$D$5:$D$104,MATCH(B346,Productos!$A$5:$A$104,0)),"En el mínimo o por debajo",""),"")))</f>
      </c>
      <c r="L346" s="13"/>
    </row>
    <row r="347" spans="1:12" x14ac:dyDescent="0.25">
      <c r="A347" s="16"/>
      <c r="B347" s="13"/>
      <c r="C347" s="12">
        <f>IF(B347="","",IFERROR(INDEX(Productos!$B$5:$B$104,MATCH(B347,Productos!$A$5:$A$104,0)),"Código no encontrado"))</f>
      </c>
      <c r="D347" s="13"/>
      <c r="E347" s="17"/>
      <c r="F347" s="13"/>
      <c r="G347" s="16"/>
      <c r="H347" s="13"/>
      <c r="I347" s="13"/>
      <c r="J347" s="11">
        <f>IF(OR(B347="",E347=""),"",SUMIFS($E$5:$E347,$B$5:$B347,B347,$D$5:$D347,"Entrada")-SUMIFS($E$5:$E347,$B$5:$B347,B347,$D$5:$D347,"Salida"))</f>
      </c>
      <c r="K347" s="12">
        <f>IF(J347="","",IF(J347&lt;0,"Saldo negativo: revisa",IFERROR(IF(J347&lt;=INDEX(Productos!$D$5:$D$104,MATCH(B347,Productos!$A$5:$A$104,0)),"En el mínimo o por debajo",""),"")))</f>
      </c>
      <c r="L347" s="13"/>
    </row>
    <row r="348" spans="1:12" x14ac:dyDescent="0.25">
      <c r="A348" s="16"/>
      <c r="B348" s="13"/>
      <c r="C348" s="12">
        <f>IF(B348="","",IFERROR(INDEX(Productos!$B$5:$B$104,MATCH(B348,Productos!$A$5:$A$104,0)),"Código no encontrado"))</f>
      </c>
      <c r="D348" s="13"/>
      <c r="E348" s="17"/>
      <c r="F348" s="13"/>
      <c r="G348" s="16"/>
      <c r="H348" s="13"/>
      <c r="I348" s="13"/>
      <c r="J348" s="11">
        <f>IF(OR(B348="",E348=""),"",SUMIFS($E$5:$E348,$B$5:$B348,B348,$D$5:$D348,"Entrada")-SUMIFS($E$5:$E348,$B$5:$B348,B348,$D$5:$D348,"Salida"))</f>
      </c>
      <c r="K348" s="12">
        <f>IF(J348="","",IF(J348&lt;0,"Saldo negativo: revisa",IFERROR(IF(J348&lt;=INDEX(Productos!$D$5:$D$104,MATCH(B348,Productos!$A$5:$A$104,0)),"En el mínimo o por debajo",""),"")))</f>
      </c>
      <c r="L348" s="13"/>
    </row>
    <row r="349" spans="1:12" x14ac:dyDescent="0.25">
      <c r="A349" s="16"/>
      <c r="B349" s="13"/>
      <c r="C349" s="12">
        <f>IF(B349="","",IFERROR(INDEX(Productos!$B$5:$B$104,MATCH(B349,Productos!$A$5:$A$104,0)),"Código no encontrado"))</f>
      </c>
      <c r="D349" s="13"/>
      <c r="E349" s="17"/>
      <c r="F349" s="13"/>
      <c r="G349" s="16"/>
      <c r="H349" s="13"/>
      <c r="I349" s="13"/>
      <c r="J349" s="11">
        <f>IF(OR(B349="",E349=""),"",SUMIFS($E$5:$E349,$B$5:$B349,B349,$D$5:$D349,"Entrada")-SUMIFS($E$5:$E349,$B$5:$B349,B349,$D$5:$D349,"Salida"))</f>
      </c>
      <c r="K349" s="12">
        <f>IF(J349="","",IF(J349&lt;0,"Saldo negativo: revisa",IFERROR(IF(J349&lt;=INDEX(Productos!$D$5:$D$104,MATCH(B349,Productos!$A$5:$A$104,0)),"En el mínimo o por debajo",""),"")))</f>
      </c>
      <c r="L349" s="13"/>
    </row>
    <row r="350" spans="1:12" x14ac:dyDescent="0.25">
      <c r="A350" s="16"/>
      <c r="B350" s="13"/>
      <c r="C350" s="12">
        <f>IF(B350="","",IFERROR(INDEX(Productos!$B$5:$B$104,MATCH(B350,Productos!$A$5:$A$104,0)),"Código no encontrado"))</f>
      </c>
      <c r="D350" s="13"/>
      <c r="E350" s="17"/>
      <c r="F350" s="13"/>
      <c r="G350" s="16"/>
      <c r="H350" s="13"/>
      <c r="I350" s="13"/>
      <c r="J350" s="11">
        <f>IF(OR(B350="",E350=""),"",SUMIFS($E$5:$E350,$B$5:$B350,B350,$D$5:$D350,"Entrada")-SUMIFS($E$5:$E350,$B$5:$B350,B350,$D$5:$D350,"Salida"))</f>
      </c>
      <c r="K350" s="12">
        <f>IF(J350="","",IF(J350&lt;0,"Saldo negativo: revisa",IFERROR(IF(J350&lt;=INDEX(Productos!$D$5:$D$104,MATCH(B350,Productos!$A$5:$A$104,0)),"En el mínimo o por debajo",""),"")))</f>
      </c>
      <c r="L350" s="13"/>
    </row>
    <row r="351" spans="1:12" x14ac:dyDescent="0.25">
      <c r="A351" s="16"/>
      <c r="B351" s="13"/>
      <c r="C351" s="12">
        <f>IF(B351="","",IFERROR(INDEX(Productos!$B$5:$B$104,MATCH(B351,Productos!$A$5:$A$104,0)),"Código no encontrado"))</f>
      </c>
      <c r="D351" s="13"/>
      <c r="E351" s="17"/>
      <c r="F351" s="13"/>
      <c r="G351" s="16"/>
      <c r="H351" s="13"/>
      <c r="I351" s="13"/>
      <c r="J351" s="11">
        <f>IF(OR(B351="",E351=""),"",SUMIFS($E$5:$E351,$B$5:$B351,B351,$D$5:$D351,"Entrada")-SUMIFS($E$5:$E351,$B$5:$B351,B351,$D$5:$D351,"Salida"))</f>
      </c>
      <c r="K351" s="12">
        <f>IF(J351="","",IF(J351&lt;0,"Saldo negativo: revisa",IFERROR(IF(J351&lt;=INDEX(Productos!$D$5:$D$104,MATCH(B351,Productos!$A$5:$A$104,0)),"En el mínimo o por debajo",""),"")))</f>
      </c>
      <c r="L351" s="13"/>
    </row>
    <row r="352" spans="1:12" x14ac:dyDescent="0.25">
      <c r="A352" s="16"/>
      <c r="B352" s="13"/>
      <c r="C352" s="12">
        <f>IF(B352="","",IFERROR(INDEX(Productos!$B$5:$B$104,MATCH(B352,Productos!$A$5:$A$104,0)),"Código no encontrado"))</f>
      </c>
      <c r="D352" s="13"/>
      <c r="E352" s="17"/>
      <c r="F352" s="13"/>
      <c r="G352" s="16"/>
      <c r="H352" s="13"/>
      <c r="I352" s="13"/>
      <c r="J352" s="11">
        <f>IF(OR(B352="",E352=""),"",SUMIFS($E$5:$E352,$B$5:$B352,B352,$D$5:$D352,"Entrada")-SUMIFS($E$5:$E352,$B$5:$B352,B352,$D$5:$D352,"Salida"))</f>
      </c>
      <c r="K352" s="12">
        <f>IF(J352="","",IF(J352&lt;0,"Saldo negativo: revisa",IFERROR(IF(J352&lt;=INDEX(Productos!$D$5:$D$104,MATCH(B352,Productos!$A$5:$A$104,0)),"En el mínimo o por debajo",""),"")))</f>
      </c>
      <c r="L352" s="13"/>
    </row>
    <row r="353" spans="1:12" x14ac:dyDescent="0.25">
      <c r="A353" s="16"/>
      <c r="B353" s="13"/>
      <c r="C353" s="12">
        <f>IF(B353="","",IFERROR(INDEX(Productos!$B$5:$B$104,MATCH(B353,Productos!$A$5:$A$104,0)),"Código no encontrado"))</f>
      </c>
      <c r="D353" s="13"/>
      <c r="E353" s="17"/>
      <c r="F353" s="13"/>
      <c r="G353" s="16"/>
      <c r="H353" s="13"/>
      <c r="I353" s="13"/>
      <c r="J353" s="11">
        <f>IF(OR(B353="",E353=""),"",SUMIFS($E$5:$E353,$B$5:$B353,B353,$D$5:$D353,"Entrada")-SUMIFS($E$5:$E353,$B$5:$B353,B353,$D$5:$D353,"Salida"))</f>
      </c>
      <c r="K353" s="12">
        <f>IF(J353="","",IF(J353&lt;0,"Saldo negativo: revisa",IFERROR(IF(J353&lt;=INDEX(Productos!$D$5:$D$104,MATCH(B353,Productos!$A$5:$A$104,0)),"En el mínimo o por debajo",""),"")))</f>
      </c>
      <c r="L353" s="13"/>
    </row>
    <row r="354" spans="1:12" x14ac:dyDescent="0.25">
      <c r="A354" s="16"/>
      <c r="B354" s="13"/>
      <c r="C354" s="12">
        <f>IF(B354="","",IFERROR(INDEX(Productos!$B$5:$B$104,MATCH(B354,Productos!$A$5:$A$104,0)),"Código no encontrado"))</f>
      </c>
      <c r="D354" s="13"/>
      <c r="E354" s="17"/>
      <c r="F354" s="13"/>
      <c r="G354" s="16"/>
      <c r="H354" s="13"/>
      <c r="I354" s="13"/>
      <c r="J354" s="11">
        <f>IF(OR(B354="",E354=""),"",SUMIFS($E$5:$E354,$B$5:$B354,B354,$D$5:$D354,"Entrada")-SUMIFS($E$5:$E354,$B$5:$B354,B354,$D$5:$D354,"Salida"))</f>
      </c>
      <c r="K354" s="12">
        <f>IF(J354="","",IF(J354&lt;0,"Saldo negativo: revisa",IFERROR(IF(J354&lt;=INDEX(Productos!$D$5:$D$104,MATCH(B354,Productos!$A$5:$A$104,0)),"En el mínimo o por debajo",""),"")))</f>
      </c>
      <c r="L354" s="13"/>
    </row>
    <row r="355" spans="1:12" x14ac:dyDescent="0.25">
      <c r="A355" s="16"/>
      <c r="B355" s="13"/>
      <c r="C355" s="12">
        <f>IF(B355="","",IFERROR(INDEX(Productos!$B$5:$B$104,MATCH(B355,Productos!$A$5:$A$104,0)),"Código no encontrado"))</f>
      </c>
      <c r="D355" s="13"/>
      <c r="E355" s="17"/>
      <c r="F355" s="13"/>
      <c r="G355" s="16"/>
      <c r="H355" s="13"/>
      <c r="I355" s="13"/>
      <c r="J355" s="11">
        <f>IF(OR(B355="",E355=""),"",SUMIFS($E$5:$E355,$B$5:$B355,B355,$D$5:$D355,"Entrada")-SUMIFS($E$5:$E355,$B$5:$B355,B355,$D$5:$D355,"Salida"))</f>
      </c>
      <c r="K355" s="12">
        <f>IF(J355="","",IF(J355&lt;0,"Saldo negativo: revisa",IFERROR(IF(J355&lt;=INDEX(Productos!$D$5:$D$104,MATCH(B355,Productos!$A$5:$A$104,0)),"En el mínimo o por debajo",""),"")))</f>
      </c>
      <c r="L355" s="13"/>
    </row>
    <row r="356" spans="1:12" x14ac:dyDescent="0.25">
      <c r="A356" s="16"/>
      <c r="B356" s="13"/>
      <c r="C356" s="12">
        <f>IF(B356="","",IFERROR(INDEX(Productos!$B$5:$B$104,MATCH(B356,Productos!$A$5:$A$104,0)),"Código no encontrado"))</f>
      </c>
      <c r="D356" s="13"/>
      <c r="E356" s="17"/>
      <c r="F356" s="13"/>
      <c r="G356" s="16"/>
      <c r="H356" s="13"/>
      <c r="I356" s="13"/>
      <c r="J356" s="11">
        <f>IF(OR(B356="",E356=""),"",SUMIFS($E$5:$E356,$B$5:$B356,B356,$D$5:$D356,"Entrada")-SUMIFS($E$5:$E356,$B$5:$B356,B356,$D$5:$D356,"Salida"))</f>
      </c>
      <c r="K356" s="12">
        <f>IF(J356="","",IF(J356&lt;0,"Saldo negativo: revisa",IFERROR(IF(J356&lt;=INDEX(Productos!$D$5:$D$104,MATCH(B356,Productos!$A$5:$A$104,0)),"En el mínimo o por debajo",""),"")))</f>
      </c>
      <c r="L356" s="13"/>
    </row>
    <row r="357" spans="1:12" x14ac:dyDescent="0.25">
      <c r="A357" s="16"/>
      <c r="B357" s="13"/>
      <c r="C357" s="12">
        <f>IF(B357="","",IFERROR(INDEX(Productos!$B$5:$B$104,MATCH(B357,Productos!$A$5:$A$104,0)),"Código no encontrado"))</f>
      </c>
      <c r="D357" s="13"/>
      <c r="E357" s="17"/>
      <c r="F357" s="13"/>
      <c r="G357" s="16"/>
      <c r="H357" s="13"/>
      <c r="I357" s="13"/>
      <c r="J357" s="11">
        <f>IF(OR(B357="",E357=""),"",SUMIFS($E$5:$E357,$B$5:$B357,B357,$D$5:$D357,"Entrada")-SUMIFS($E$5:$E357,$B$5:$B357,B357,$D$5:$D357,"Salida"))</f>
      </c>
      <c r="K357" s="12">
        <f>IF(J357="","",IF(J357&lt;0,"Saldo negativo: revisa",IFERROR(IF(J357&lt;=INDEX(Productos!$D$5:$D$104,MATCH(B357,Productos!$A$5:$A$104,0)),"En el mínimo o por debajo",""),"")))</f>
      </c>
      <c r="L357" s="13"/>
    </row>
    <row r="358" spans="1:12" x14ac:dyDescent="0.25">
      <c r="A358" s="16"/>
      <c r="B358" s="13"/>
      <c r="C358" s="12">
        <f>IF(B358="","",IFERROR(INDEX(Productos!$B$5:$B$104,MATCH(B358,Productos!$A$5:$A$104,0)),"Código no encontrado"))</f>
      </c>
      <c r="D358" s="13"/>
      <c r="E358" s="17"/>
      <c r="F358" s="13"/>
      <c r="G358" s="16"/>
      <c r="H358" s="13"/>
      <c r="I358" s="13"/>
      <c r="J358" s="11">
        <f>IF(OR(B358="",E358=""),"",SUMIFS($E$5:$E358,$B$5:$B358,B358,$D$5:$D358,"Entrada")-SUMIFS($E$5:$E358,$B$5:$B358,B358,$D$5:$D358,"Salida"))</f>
      </c>
      <c r="K358" s="12">
        <f>IF(J358="","",IF(J358&lt;0,"Saldo negativo: revisa",IFERROR(IF(J358&lt;=INDEX(Productos!$D$5:$D$104,MATCH(B358,Productos!$A$5:$A$104,0)),"En el mínimo o por debajo",""),"")))</f>
      </c>
      <c r="L358" s="13"/>
    </row>
    <row r="359" spans="1:12" x14ac:dyDescent="0.25">
      <c r="A359" s="16"/>
      <c r="B359" s="13"/>
      <c r="C359" s="12">
        <f>IF(B359="","",IFERROR(INDEX(Productos!$B$5:$B$104,MATCH(B359,Productos!$A$5:$A$104,0)),"Código no encontrado"))</f>
      </c>
      <c r="D359" s="13"/>
      <c r="E359" s="17"/>
      <c r="F359" s="13"/>
      <c r="G359" s="16"/>
      <c r="H359" s="13"/>
      <c r="I359" s="13"/>
      <c r="J359" s="11">
        <f>IF(OR(B359="",E359=""),"",SUMIFS($E$5:$E359,$B$5:$B359,B359,$D$5:$D359,"Entrada")-SUMIFS($E$5:$E359,$B$5:$B359,B359,$D$5:$D359,"Salida"))</f>
      </c>
      <c r="K359" s="12">
        <f>IF(J359="","",IF(J359&lt;0,"Saldo negativo: revisa",IFERROR(IF(J359&lt;=INDEX(Productos!$D$5:$D$104,MATCH(B359,Productos!$A$5:$A$104,0)),"En el mínimo o por debajo",""),"")))</f>
      </c>
      <c r="L359" s="13"/>
    </row>
    <row r="360" spans="1:12" x14ac:dyDescent="0.25">
      <c r="A360" s="16"/>
      <c r="B360" s="13"/>
      <c r="C360" s="12">
        <f>IF(B360="","",IFERROR(INDEX(Productos!$B$5:$B$104,MATCH(B360,Productos!$A$5:$A$104,0)),"Código no encontrado"))</f>
      </c>
      <c r="D360" s="13"/>
      <c r="E360" s="17"/>
      <c r="F360" s="13"/>
      <c r="G360" s="16"/>
      <c r="H360" s="13"/>
      <c r="I360" s="13"/>
      <c r="J360" s="11">
        <f>IF(OR(B360="",E360=""),"",SUMIFS($E$5:$E360,$B$5:$B360,B360,$D$5:$D360,"Entrada")-SUMIFS($E$5:$E360,$B$5:$B360,B360,$D$5:$D360,"Salida"))</f>
      </c>
      <c r="K360" s="12">
        <f>IF(J360="","",IF(J360&lt;0,"Saldo negativo: revisa",IFERROR(IF(J360&lt;=INDEX(Productos!$D$5:$D$104,MATCH(B360,Productos!$A$5:$A$104,0)),"En el mínimo o por debajo",""),"")))</f>
      </c>
      <c r="L360" s="13"/>
    </row>
    <row r="361" spans="1:12" x14ac:dyDescent="0.25">
      <c r="A361" s="16"/>
      <c r="B361" s="13"/>
      <c r="C361" s="12">
        <f>IF(B361="","",IFERROR(INDEX(Productos!$B$5:$B$104,MATCH(B361,Productos!$A$5:$A$104,0)),"Código no encontrado"))</f>
      </c>
      <c r="D361" s="13"/>
      <c r="E361" s="17"/>
      <c r="F361" s="13"/>
      <c r="G361" s="16"/>
      <c r="H361" s="13"/>
      <c r="I361" s="13"/>
      <c r="J361" s="11">
        <f>IF(OR(B361="",E361=""),"",SUMIFS($E$5:$E361,$B$5:$B361,B361,$D$5:$D361,"Entrada")-SUMIFS($E$5:$E361,$B$5:$B361,B361,$D$5:$D361,"Salida"))</f>
      </c>
      <c r="K361" s="12">
        <f>IF(J361="","",IF(J361&lt;0,"Saldo negativo: revisa",IFERROR(IF(J361&lt;=INDEX(Productos!$D$5:$D$104,MATCH(B361,Productos!$A$5:$A$104,0)),"En el mínimo o por debajo",""),"")))</f>
      </c>
      <c r="L361" s="13"/>
    </row>
    <row r="362" spans="1:12" x14ac:dyDescent="0.25">
      <c r="A362" s="16"/>
      <c r="B362" s="13"/>
      <c r="C362" s="12">
        <f>IF(B362="","",IFERROR(INDEX(Productos!$B$5:$B$104,MATCH(B362,Productos!$A$5:$A$104,0)),"Código no encontrado"))</f>
      </c>
      <c r="D362" s="13"/>
      <c r="E362" s="17"/>
      <c r="F362" s="13"/>
      <c r="G362" s="16"/>
      <c r="H362" s="13"/>
      <c r="I362" s="13"/>
      <c r="J362" s="11">
        <f>IF(OR(B362="",E362=""),"",SUMIFS($E$5:$E362,$B$5:$B362,B362,$D$5:$D362,"Entrada")-SUMIFS($E$5:$E362,$B$5:$B362,B362,$D$5:$D362,"Salida"))</f>
      </c>
      <c r="K362" s="12">
        <f>IF(J362="","",IF(J362&lt;0,"Saldo negativo: revisa",IFERROR(IF(J362&lt;=INDEX(Productos!$D$5:$D$104,MATCH(B362,Productos!$A$5:$A$104,0)),"En el mínimo o por debajo",""),"")))</f>
      </c>
      <c r="L362" s="13"/>
    </row>
    <row r="363" spans="1:12" x14ac:dyDescent="0.25">
      <c r="A363" s="16"/>
      <c r="B363" s="13"/>
      <c r="C363" s="12">
        <f>IF(B363="","",IFERROR(INDEX(Productos!$B$5:$B$104,MATCH(B363,Productos!$A$5:$A$104,0)),"Código no encontrado"))</f>
      </c>
      <c r="D363" s="13"/>
      <c r="E363" s="17"/>
      <c r="F363" s="13"/>
      <c r="G363" s="16"/>
      <c r="H363" s="13"/>
      <c r="I363" s="13"/>
      <c r="J363" s="11">
        <f>IF(OR(B363="",E363=""),"",SUMIFS($E$5:$E363,$B$5:$B363,B363,$D$5:$D363,"Entrada")-SUMIFS($E$5:$E363,$B$5:$B363,B363,$D$5:$D363,"Salida"))</f>
      </c>
      <c r="K363" s="12">
        <f>IF(J363="","",IF(J363&lt;0,"Saldo negativo: revisa",IFERROR(IF(J363&lt;=INDEX(Productos!$D$5:$D$104,MATCH(B363,Productos!$A$5:$A$104,0)),"En el mínimo o por debajo",""),"")))</f>
      </c>
      <c r="L363" s="13"/>
    </row>
    <row r="364" spans="1:12" x14ac:dyDescent="0.25">
      <c r="A364" s="16"/>
      <c r="B364" s="13"/>
      <c r="C364" s="12">
        <f>IF(B364="","",IFERROR(INDEX(Productos!$B$5:$B$104,MATCH(B364,Productos!$A$5:$A$104,0)),"Código no encontrado"))</f>
      </c>
      <c r="D364" s="13"/>
      <c r="E364" s="17"/>
      <c r="F364" s="13"/>
      <c r="G364" s="16"/>
      <c r="H364" s="13"/>
      <c r="I364" s="13"/>
      <c r="J364" s="11">
        <f>IF(OR(B364="",E364=""),"",SUMIFS($E$5:$E364,$B$5:$B364,B364,$D$5:$D364,"Entrada")-SUMIFS($E$5:$E364,$B$5:$B364,B364,$D$5:$D364,"Salida"))</f>
      </c>
      <c r="K364" s="12">
        <f>IF(J364="","",IF(J364&lt;0,"Saldo negativo: revisa",IFERROR(IF(J364&lt;=INDEX(Productos!$D$5:$D$104,MATCH(B364,Productos!$A$5:$A$104,0)),"En el mínimo o por debajo",""),"")))</f>
      </c>
      <c r="L364" s="13"/>
    </row>
    <row r="365" spans="1:12" x14ac:dyDescent="0.25">
      <c r="A365" s="16"/>
      <c r="B365" s="13"/>
      <c r="C365" s="12">
        <f>IF(B365="","",IFERROR(INDEX(Productos!$B$5:$B$104,MATCH(B365,Productos!$A$5:$A$104,0)),"Código no encontrado"))</f>
      </c>
      <c r="D365" s="13"/>
      <c r="E365" s="17"/>
      <c r="F365" s="13"/>
      <c r="G365" s="16"/>
      <c r="H365" s="13"/>
      <c r="I365" s="13"/>
      <c r="J365" s="11">
        <f>IF(OR(B365="",E365=""),"",SUMIFS($E$5:$E365,$B$5:$B365,B365,$D$5:$D365,"Entrada")-SUMIFS($E$5:$E365,$B$5:$B365,B365,$D$5:$D365,"Salida"))</f>
      </c>
      <c r="K365" s="12">
        <f>IF(J365="","",IF(J365&lt;0,"Saldo negativo: revisa",IFERROR(IF(J365&lt;=INDEX(Productos!$D$5:$D$104,MATCH(B365,Productos!$A$5:$A$104,0)),"En el mínimo o por debajo",""),"")))</f>
      </c>
      <c r="L365" s="13"/>
    </row>
    <row r="366" spans="1:12" x14ac:dyDescent="0.25">
      <c r="A366" s="16"/>
      <c r="B366" s="13"/>
      <c r="C366" s="12">
        <f>IF(B366="","",IFERROR(INDEX(Productos!$B$5:$B$104,MATCH(B366,Productos!$A$5:$A$104,0)),"Código no encontrado"))</f>
      </c>
      <c r="D366" s="13"/>
      <c r="E366" s="17"/>
      <c r="F366" s="13"/>
      <c r="G366" s="16"/>
      <c r="H366" s="13"/>
      <c r="I366" s="13"/>
      <c r="J366" s="11">
        <f>IF(OR(B366="",E366=""),"",SUMIFS($E$5:$E366,$B$5:$B366,B366,$D$5:$D366,"Entrada")-SUMIFS($E$5:$E366,$B$5:$B366,B366,$D$5:$D366,"Salida"))</f>
      </c>
      <c r="K366" s="12">
        <f>IF(J366="","",IF(J366&lt;0,"Saldo negativo: revisa",IFERROR(IF(J366&lt;=INDEX(Productos!$D$5:$D$104,MATCH(B366,Productos!$A$5:$A$104,0)),"En el mínimo o por debajo",""),"")))</f>
      </c>
      <c r="L366" s="13"/>
    </row>
    <row r="367" spans="1:12" x14ac:dyDescent="0.25">
      <c r="A367" s="16"/>
      <c r="B367" s="13"/>
      <c r="C367" s="12">
        <f>IF(B367="","",IFERROR(INDEX(Productos!$B$5:$B$104,MATCH(B367,Productos!$A$5:$A$104,0)),"Código no encontrado"))</f>
      </c>
      <c r="D367" s="13"/>
      <c r="E367" s="17"/>
      <c r="F367" s="13"/>
      <c r="G367" s="16"/>
      <c r="H367" s="13"/>
      <c r="I367" s="13"/>
      <c r="J367" s="11">
        <f>IF(OR(B367="",E367=""),"",SUMIFS($E$5:$E367,$B$5:$B367,B367,$D$5:$D367,"Entrada")-SUMIFS($E$5:$E367,$B$5:$B367,B367,$D$5:$D367,"Salida"))</f>
      </c>
      <c r="K367" s="12">
        <f>IF(J367="","",IF(J367&lt;0,"Saldo negativo: revisa",IFERROR(IF(J367&lt;=INDEX(Productos!$D$5:$D$104,MATCH(B367,Productos!$A$5:$A$104,0)),"En el mínimo o por debajo",""),"")))</f>
      </c>
      <c r="L367" s="13"/>
    </row>
    <row r="368" spans="1:12" x14ac:dyDescent="0.25">
      <c r="A368" s="16"/>
      <c r="B368" s="13"/>
      <c r="C368" s="12">
        <f>IF(B368="","",IFERROR(INDEX(Productos!$B$5:$B$104,MATCH(B368,Productos!$A$5:$A$104,0)),"Código no encontrado"))</f>
      </c>
      <c r="D368" s="13"/>
      <c r="E368" s="17"/>
      <c r="F368" s="13"/>
      <c r="G368" s="16"/>
      <c r="H368" s="13"/>
      <c r="I368" s="13"/>
      <c r="J368" s="11">
        <f>IF(OR(B368="",E368=""),"",SUMIFS($E$5:$E368,$B$5:$B368,B368,$D$5:$D368,"Entrada")-SUMIFS($E$5:$E368,$B$5:$B368,B368,$D$5:$D368,"Salida"))</f>
      </c>
      <c r="K368" s="12">
        <f>IF(J368="","",IF(J368&lt;0,"Saldo negativo: revisa",IFERROR(IF(J368&lt;=INDEX(Productos!$D$5:$D$104,MATCH(B368,Productos!$A$5:$A$104,0)),"En el mínimo o por debajo",""),"")))</f>
      </c>
      <c r="L368" s="13"/>
    </row>
    <row r="369" spans="1:12" x14ac:dyDescent="0.25">
      <c r="A369" s="16"/>
      <c r="B369" s="13"/>
      <c r="C369" s="12">
        <f>IF(B369="","",IFERROR(INDEX(Productos!$B$5:$B$104,MATCH(B369,Productos!$A$5:$A$104,0)),"Código no encontrado"))</f>
      </c>
      <c r="D369" s="13"/>
      <c r="E369" s="17"/>
      <c r="F369" s="13"/>
      <c r="G369" s="16"/>
      <c r="H369" s="13"/>
      <c r="I369" s="13"/>
      <c r="J369" s="11">
        <f>IF(OR(B369="",E369=""),"",SUMIFS($E$5:$E369,$B$5:$B369,B369,$D$5:$D369,"Entrada")-SUMIFS($E$5:$E369,$B$5:$B369,B369,$D$5:$D369,"Salida"))</f>
      </c>
      <c r="K369" s="12">
        <f>IF(J369="","",IF(J369&lt;0,"Saldo negativo: revisa",IFERROR(IF(J369&lt;=INDEX(Productos!$D$5:$D$104,MATCH(B369,Productos!$A$5:$A$104,0)),"En el mínimo o por debajo",""),"")))</f>
      </c>
      <c r="L369" s="13"/>
    </row>
    <row r="370" spans="1:12" x14ac:dyDescent="0.25">
      <c r="A370" s="16"/>
      <c r="B370" s="13"/>
      <c r="C370" s="12">
        <f>IF(B370="","",IFERROR(INDEX(Productos!$B$5:$B$104,MATCH(B370,Productos!$A$5:$A$104,0)),"Código no encontrado"))</f>
      </c>
      <c r="D370" s="13"/>
      <c r="E370" s="17"/>
      <c r="F370" s="13"/>
      <c r="G370" s="16"/>
      <c r="H370" s="13"/>
      <c r="I370" s="13"/>
      <c r="J370" s="11">
        <f>IF(OR(B370="",E370=""),"",SUMIFS($E$5:$E370,$B$5:$B370,B370,$D$5:$D370,"Entrada")-SUMIFS($E$5:$E370,$B$5:$B370,B370,$D$5:$D370,"Salida"))</f>
      </c>
      <c r="K370" s="12">
        <f>IF(J370="","",IF(J370&lt;0,"Saldo negativo: revisa",IFERROR(IF(J370&lt;=INDEX(Productos!$D$5:$D$104,MATCH(B370,Productos!$A$5:$A$104,0)),"En el mínimo o por debajo",""),"")))</f>
      </c>
      <c r="L370" s="13"/>
    </row>
    <row r="371" spans="1:12" x14ac:dyDescent="0.25">
      <c r="A371" s="16"/>
      <c r="B371" s="13"/>
      <c r="C371" s="12">
        <f>IF(B371="","",IFERROR(INDEX(Productos!$B$5:$B$104,MATCH(B371,Productos!$A$5:$A$104,0)),"Código no encontrado"))</f>
      </c>
      <c r="D371" s="13"/>
      <c r="E371" s="17"/>
      <c r="F371" s="13"/>
      <c r="G371" s="16"/>
      <c r="H371" s="13"/>
      <c r="I371" s="13"/>
      <c r="J371" s="11">
        <f>IF(OR(B371="",E371=""),"",SUMIFS($E$5:$E371,$B$5:$B371,B371,$D$5:$D371,"Entrada")-SUMIFS($E$5:$E371,$B$5:$B371,B371,$D$5:$D371,"Salida"))</f>
      </c>
      <c r="K371" s="12">
        <f>IF(J371="","",IF(J371&lt;0,"Saldo negativo: revisa",IFERROR(IF(J371&lt;=INDEX(Productos!$D$5:$D$104,MATCH(B371,Productos!$A$5:$A$104,0)),"En el mínimo o por debajo",""),"")))</f>
      </c>
      <c r="L371" s="13"/>
    </row>
    <row r="372" spans="1:12" x14ac:dyDescent="0.25">
      <c r="A372" s="16"/>
      <c r="B372" s="13"/>
      <c r="C372" s="12">
        <f>IF(B372="","",IFERROR(INDEX(Productos!$B$5:$B$104,MATCH(B372,Productos!$A$5:$A$104,0)),"Código no encontrado"))</f>
      </c>
      <c r="D372" s="13"/>
      <c r="E372" s="17"/>
      <c r="F372" s="13"/>
      <c r="G372" s="16"/>
      <c r="H372" s="13"/>
      <c r="I372" s="13"/>
      <c r="J372" s="11">
        <f>IF(OR(B372="",E372=""),"",SUMIFS($E$5:$E372,$B$5:$B372,B372,$D$5:$D372,"Entrada")-SUMIFS($E$5:$E372,$B$5:$B372,B372,$D$5:$D372,"Salida"))</f>
      </c>
      <c r="K372" s="12">
        <f>IF(J372="","",IF(J372&lt;0,"Saldo negativo: revisa",IFERROR(IF(J372&lt;=INDEX(Productos!$D$5:$D$104,MATCH(B372,Productos!$A$5:$A$104,0)),"En el mínimo o por debajo",""),"")))</f>
      </c>
      <c r="L372" s="13"/>
    </row>
    <row r="373" spans="1:12" x14ac:dyDescent="0.25">
      <c r="A373" s="16"/>
      <c r="B373" s="13"/>
      <c r="C373" s="12">
        <f>IF(B373="","",IFERROR(INDEX(Productos!$B$5:$B$104,MATCH(B373,Productos!$A$5:$A$104,0)),"Código no encontrado"))</f>
      </c>
      <c r="D373" s="13"/>
      <c r="E373" s="17"/>
      <c r="F373" s="13"/>
      <c r="G373" s="16"/>
      <c r="H373" s="13"/>
      <c r="I373" s="13"/>
      <c r="J373" s="11">
        <f>IF(OR(B373="",E373=""),"",SUMIFS($E$5:$E373,$B$5:$B373,B373,$D$5:$D373,"Entrada")-SUMIFS($E$5:$E373,$B$5:$B373,B373,$D$5:$D373,"Salida"))</f>
      </c>
      <c r="K373" s="12">
        <f>IF(J373="","",IF(J373&lt;0,"Saldo negativo: revisa",IFERROR(IF(J373&lt;=INDEX(Productos!$D$5:$D$104,MATCH(B373,Productos!$A$5:$A$104,0)),"En el mínimo o por debajo",""),"")))</f>
      </c>
      <c r="L373" s="13"/>
    </row>
    <row r="374" spans="1:12" x14ac:dyDescent="0.25">
      <c r="A374" s="16"/>
      <c r="B374" s="13"/>
      <c r="C374" s="12">
        <f>IF(B374="","",IFERROR(INDEX(Productos!$B$5:$B$104,MATCH(B374,Productos!$A$5:$A$104,0)),"Código no encontrado"))</f>
      </c>
      <c r="D374" s="13"/>
      <c r="E374" s="17"/>
      <c r="F374" s="13"/>
      <c r="G374" s="16"/>
      <c r="H374" s="13"/>
      <c r="I374" s="13"/>
      <c r="J374" s="11">
        <f>IF(OR(B374="",E374=""),"",SUMIFS($E$5:$E374,$B$5:$B374,B374,$D$5:$D374,"Entrada")-SUMIFS($E$5:$E374,$B$5:$B374,B374,$D$5:$D374,"Salida"))</f>
      </c>
      <c r="K374" s="12">
        <f>IF(J374="","",IF(J374&lt;0,"Saldo negativo: revisa",IFERROR(IF(J374&lt;=INDEX(Productos!$D$5:$D$104,MATCH(B374,Productos!$A$5:$A$104,0)),"En el mínimo o por debajo",""),"")))</f>
      </c>
      <c r="L374" s="13"/>
    </row>
    <row r="375" spans="1:12" x14ac:dyDescent="0.25">
      <c r="A375" s="16"/>
      <c r="B375" s="13"/>
      <c r="C375" s="12">
        <f>IF(B375="","",IFERROR(INDEX(Productos!$B$5:$B$104,MATCH(B375,Productos!$A$5:$A$104,0)),"Código no encontrado"))</f>
      </c>
      <c r="D375" s="13"/>
      <c r="E375" s="17"/>
      <c r="F375" s="13"/>
      <c r="G375" s="16"/>
      <c r="H375" s="13"/>
      <c r="I375" s="13"/>
      <c r="J375" s="11">
        <f>IF(OR(B375="",E375=""),"",SUMIFS($E$5:$E375,$B$5:$B375,B375,$D$5:$D375,"Entrada")-SUMIFS($E$5:$E375,$B$5:$B375,B375,$D$5:$D375,"Salida"))</f>
      </c>
      <c r="K375" s="12">
        <f>IF(J375="","",IF(J375&lt;0,"Saldo negativo: revisa",IFERROR(IF(J375&lt;=INDEX(Productos!$D$5:$D$104,MATCH(B375,Productos!$A$5:$A$104,0)),"En el mínimo o por debajo",""),"")))</f>
      </c>
      <c r="L375" s="13"/>
    </row>
    <row r="376" spans="1:12" x14ac:dyDescent="0.25">
      <c r="A376" s="16"/>
      <c r="B376" s="13"/>
      <c r="C376" s="12">
        <f>IF(B376="","",IFERROR(INDEX(Productos!$B$5:$B$104,MATCH(B376,Productos!$A$5:$A$104,0)),"Código no encontrado"))</f>
      </c>
      <c r="D376" s="13"/>
      <c r="E376" s="17"/>
      <c r="F376" s="13"/>
      <c r="G376" s="16"/>
      <c r="H376" s="13"/>
      <c r="I376" s="13"/>
      <c r="J376" s="11">
        <f>IF(OR(B376="",E376=""),"",SUMIFS($E$5:$E376,$B$5:$B376,B376,$D$5:$D376,"Entrada")-SUMIFS($E$5:$E376,$B$5:$B376,B376,$D$5:$D376,"Salida"))</f>
      </c>
      <c r="K376" s="12">
        <f>IF(J376="","",IF(J376&lt;0,"Saldo negativo: revisa",IFERROR(IF(J376&lt;=INDEX(Productos!$D$5:$D$104,MATCH(B376,Productos!$A$5:$A$104,0)),"En el mínimo o por debajo",""),"")))</f>
      </c>
      <c r="L376" s="13"/>
    </row>
    <row r="377" spans="1:12" x14ac:dyDescent="0.25">
      <c r="A377" s="16"/>
      <c r="B377" s="13"/>
      <c r="C377" s="12">
        <f>IF(B377="","",IFERROR(INDEX(Productos!$B$5:$B$104,MATCH(B377,Productos!$A$5:$A$104,0)),"Código no encontrado"))</f>
      </c>
      <c r="D377" s="13"/>
      <c r="E377" s="17"/>
      <c r="F377" s="13"/>
      <c r="G377" s="16"/>
      <c r="H377" s="13"/>
      <c r="I377" s="13"/>
      <c r="J377" s="11">
        <f>IF(OR(B377="",E377=""),"",SUMIFS($E$5:$E377,$B$5:$B377,B377,$D$5:$D377,"Entrada")-SUMIFS($E$5:$E377,$B$5:$B377,B377,$D$5:$D377,"Salida"))</f>
      </c>
      <c r="K377" s="12">
        <f>IF(J377="","",IF(J377&lt;0,"Saldo negativo: revisa",IFERROR(IF(J377&lt;=INDEX(Productos!$D$5:$D$104,MATCH(B377,Productos!$A$5:$A$104,0)),"En el mínimo o por debajo",""),"")))</f>
      </c>
      <c r="L377" s="13"/>
    </row>
    <row r="378" spans="1:12" x14ac:dyDescent="0.25">
      <c r="A378" s="16"/>
      <c r="B378" s="13"/>
      <c r="C378" s="12">
        <f>IF(B378="","",IFERROR(INDEX(Productos!$B$5:$B$104,MATCH(B378,Productos!$A$5:$A$104,0)),"Código no encontrado"))</f>
      </c>
      <c r="D378" s="13"/>
      <c r="E378" s="17"/>
      <c r="F378" s="13"/>
      <c r="G378" s="16"/>
      <c r="H378" s="13"/>
      <c r="I378" s="13"/>
      <c r="J378" s="11">
        <f>IF(OR(B378="",E378=""),"",SUMIFS($E$5:$E378,$B$5:$B378,B378,$D$5:$D378,"Entrada")-SUMIFS($E$5:$E378,$B$5:$B378,B378,$D$5:$D378,"Salida"))</f>
      </c>
      <c r="K378" s="12">
        <f>IF(J378="","",IF(J378&lt;0,"Saldo negativo: revisa",IFERROR(IF(J378&lt;=INDEX(Productos!$D$5:$D$104,MATCH(B378,Productos!$A$5:$A$104,0)),"En el mínimo o por debajo",""),"")))</f>
      </c>
      <c r="L378" s="13"/>
    </row>
    <row r="379" spans="1:12" x14ac:dyDescent="0.25">
      <c r="A379" s="16"/>
      <c r="B379" s="13"/>
      <c r="C379" s="12">
        <f>IF(B379="","",IFERROR(INDEX(Productos!$B$5:$B$104,MATCH(B379,Productos!$A$5:$A$104,0)),"Código no encontrado"))</f>
      </c>
      <c r="D379" s="13"/>
      <c r="E379" s="17"/>
      <c r="F379" s="13"/>
      <c r="G379" s="16"/>
      <c r="H379" s="13"/>
      <c r="I379" s="13"/>
      <c r="J379" s="11">
        <f>IF(OR(B379="",E379=""),"",SUMIFS($E$5:$E379,$B$5:$B379,B379,$D$5:$D379,"Entrada")-SUMIFS($E$5:$E379,$B$5:$B379,B379,$D$5:$D379,"Salida"))</f>
      </c>
      <c r="K379" s="12">
        <f>IF(J379="","",IF(J379&lt;0,"Saldo negativo: revisa",IFERROR(IF(J379&lt;=INDEX(Productos!$D$5:$D$104,MATCH(B379,Productos!$A$5:$A$104,0)),"En el mínimo o por debajo",""),"")))</f>
      </c>
      <c r="L379" s="13"/>
    </row>
    <row r="380" spans="1:12" x14ac:dyDescent="0.25">
      <c r="A380" s="16"/>
      <c r="B380" s="13"/>
      <c r="C380" s="12">
        <f>IF(B380="","",IFERROR(INDEX(Productos!$B$5:$B$104,MATCH(B380,Productos!$A$5:$A$104,0)),"Código no encontrado"))</f>
      </c>
      <c r="D380" s="13"/>
      <c r="E380" s="17"/>
      <c r="F380" s="13"/>
      <c r="G380" s="16"/>
      <c r="H380" s="13"/>
      <c r="I380" s="13"/>
      <c r="J380" s="11">
        <f>IF(OR(B380="",E380=""),"",SUMIFS($E$5:$E380,$B$5:$B380,B380,$D$5:$D380,"Entrada")-SUMIFS($E$5:$E380,$B$5:$B380,B380,$D$5:$D380,"Salida"))</f>
      </c>
      <c r="K380" s="12">
        <f>IF(J380="","",IF(J380&lt;0,"Saldo negativo: revisa",IFERROR(IF(J380&lt;=INDEX(Productos!$D$5:$D$104,MATCH(B380,Productos!$A$5:$A$104,0)),"En el mínimo o por debajo",""),"")))</f>
      </c>
      <c r="L380" s="13"/>
    </row>
    <row r="381" spans="1:12" x14ac:dyDescent="0.25">
      <c r="A381" s="16"/>
      <c r="B381" s="13"/>
      <c r="C381" s="12">
        <f>IF(B381="","",IFERROR(INDEX(Productos!$B$5:$B$104,MATCH(B381,Productos!$A$5:$A$104,0)),"Código no encontrado"))</f>
      </c>
      <c r="D381" s="13"/>
      <c r="E381" s="17"/>
      <c r="F381" s="13"/>
      <c r="G381" s="16"/>
      <c r="H381" s="13"/>
      <c r="I381" s="13"/>
      <c r="J381" s="11">
        <f>IF(OR(B381="",E381=""),"",SUMIFS($E$5:$E381,$B$5:$B381,B381,$D$5:$D381,"Entrada")-SUMIFS($E$5:$E381,$B$5:$B381,B381,$D$5:$D381,"Salida"))</f>
      </c>
      <c r="K381" s="12">
        <f>IF(J381="","",IF(J381&lt;0,"Saldo negativo: revisa",IFERROR(IF(J381&lt;=INDEX(Productos!$D$5:$D$104,MATCH(B381,Productos!$A$5:$A$104,0)),"En el mínimo o por debajo",""),"")))</f>
      </c>
      <c r="L381" s="13"/>
    </row>
    <row r="382" spans="1:12" x14ac:dyDescent="0.25">
      <c r="A382" s="16"/>
      <c r="B382" s="13"/>
      <c r="C382" s="12">
        <f>IF(B382="","",IFERROR(INDEX(Productos!$B$5:$B$104,MATCH(B382,Productos!$A$5:$A$104,0)),"Código no encontrado"))</f>
      </c>
      <c r="D382" s="13"/>
      <c r="E382" s="17"/>
      <c r="F382" s="13"/>
      <c r="G382" s="16"/>
      <c r="H382" s="13"/>
      <c r="I382" s="13"/>
      <c r="J382" s="11">
        <f>IF(OR(B382="",E382=""),"",SUMIFS($E$5:$E382,$B$5:$B382,B382,$D$5:$D382,"Entrada")-SUMIFS($E$5:$E382,$B$5:$B382,B382,$D$5:$D382,"Salida"))</f>
      </c>
      <c r="K382" s="12">
        <f>IF(J382="","",IF(J382&lt;0,"Saldo negativo: revisa",IFERROR(IF(J382&lt;=INDEX(Productos!$D$5:$D$104,MATCH(B382,Productos!$A$5:$A$104,0)),"En el mínimo o por debajo",""),"")))</f>
      </c>
      <c r="L382" s="13"/>
    </row>
    <row r="383" spans="1:12" x14ac:dyDescent="0.25">
      <c r="A383" s="16"/>
      <c r="B383" s="13"/>
      <c r="C383" s="12">
        <f>IF(B383="","",IFERROR(INDEX(Productos!$B$5:$B$104,MATCH(B383,Productos!$A$5:$A$104,0)),"Código no encontrado"))</f>
      </c>
      <c r="D383" s="13"/>
      <c r="E383" s="17"/>
      <c r="F383" s="13"/>
      <c r="G383" s="16"/>
      <c r="H383" s="13"/>
      <c r="I383" s="13"/>
      <c r="J383" s="11">
        <f>IF(OR(B383="",E383=""),"",SUMIFS($E$5:$E383,$B$5:$B383,B383,$D$5:$D383,"Entrada")-SUMIFS($E$5:$E383,$B$5:$B383,B383,$D$5:$D383,"Salida"))</f>
      </c>
      <c r="K383" s="12">
        <f>IF(J383="","",IF(J383&lt;0,"Saldo negativo: revisa",IFERROR(IF(J383&lt;=INDEX(Productos!$D$5:$D$104,MATCH(B383,Productos!$A$5:$A$104,0)),"En el mínimo o por debajo",""),"")))</f>
      </c>
      <c r="L383" s="13"/>
    </row>
    <row r="384" spans="1:12" x14ac:dyDescent="0.25">
      <c r="A384" s="16"/>
      <c r="B384" s="13"/>
      <c r="C384" s="12">
        <f>IF(B384="","",IFERROR(INDEX(Productos!$B$5:$B$104,MATCH(B384,Productos!$A$5:$A$104,0)),"Código no encontrado"))</f>
      </c>
      <c r="D384" s="13"/>
      <c r="E384" s="17"/>
      <c r="F384" s="13"/>
      <c r="G384" s="16"/>
      <c r="H384" s="13"/>
      <c r="I384" s="13"/>
      <c r="J384" s="11">
        <f>IF(OR(B384="",E384=""),"",SUMIFS($E$5:$E384,$B$5:$B384,B384,$D$5:$D384,"Entrada")-SUMIFS($E$5:$E384,$B$5:$B384,B384,$D$5:$D384,"Salida"))</f>
      </c>
      <c r="K384" s="12">
        <f>IF(J384="","",IF(J384&lt;0,"Saldo negativo: revisa",IFERROR(IF(J384&lt;=INDEX(Productos!$D$5:$D$104,MATCH(B384,Productos!$A$5:$A$104,0)),"En el mínimo o por debajo",""),"")))</f>
      </c>
      <c r="L384" s="13"/>
    </row>
    <row r="385" spans="1:12" x14ac:dyDescent="0.25">
      <c r="A385" s="16"/>
      <c r="B385" s="13"/>
      <c r="C385" s="12">
        <f>IF(B385="","",IFERROR(INDEX(Productos!$B$5:$B$104,MATCH(B385,Productos!$A$5:$A$104,0)),"Código no encontrado"))</f>
      </c>
      <c r="D385" s="13"/>
      <c r="E385" s="17"/>
      <c r="F385" s="13"/>
      <c r="G385" s="16"/>
      <c r="H385" s="13"/>
      <c r="I385" s="13"/>
      <c r="J385" s="11">
        <f>IF(OR(B385="",E385=""),"",SUMIFS($E$5:$E385,$B$5:$B385,B385,$D$5:$D385,"Entrada")-SUMIFS($E$5:$E385,$B$5:$B385,B385,$D$5:$D385,"Salida"))</f>
      </c>
      <c r="K385" s="12">
        <f>IF(J385="","",IF(J385&lt;0,"Saldo negativo: revisa",IFERROR(IF(J385&lt;=INDEX(Productos!$D$5:$D$104,MATCH(B385,Productos!$A$5:$A$104,0)),"En el mínimo o por debajo",""),"")))</f>
      </c>
      <c r="L385" s="13"/>
    </row>
    <row r="386" spans="1:12" x14ac:dyDescent="0.25">
      <c r="A386" s="16"/>
      <c r="B386" s="13"/>
      <c r="C386" s="12">
        <f>IF(B386="","",IFERROR(INDEX(Productos!$B$5:$B$104,MATCH(B386,Productos!$A$5:$A$104,0)),"Código no encontrado"))</f>
      </c>
      <c r="D386" s="13"/>
      <c r="E386" s="17"/>
      <c r="F386" s="13"/>
      <c r="G386" s="16"/>
      <c r="H386" s="13"/>
      <c r="I386" s="13"/>
      <c r="J386" s="11">
        <f>IF(OR(B386="",E386=""),"",SUMIFS($E$5:$E386,$B$5:$B386,B386,$D$5:$D386,"Entrada")-SUMIFS($E$5:$E386,$B$5:$B386,B386,$D$5:$D386,"Salida"))</f>
      </c>
      <c r="K386" s="12">
        <f>IF(J386="","",IF(J386&lt;0,"Saldo negativo: revisa",IFERROR(IF(J386&lt;=INDEX(Productos!$D$5:$D$104,MATCH(B386,Productos!$A$5:$A$104,0)),"En el mínimo o por debajo",""),"")))</f>
      </c>
      <c r="L386" s="13"/>
    </row>
    <row r="387" spans="1:12" x14ac:dyDescent="0.25">
      <c r="A387" s="16"/>
      <c r="B387" s="13"/>
      <c r="C387" s="12">
        <f>IF(B387="","",IFERROR(INDEX(Productos!$B$5:$B$104,MATCH(B387,Productos!$A$5:$A$104,0)),"Código no encontrado"))</f>
      </c>
      <c r="D387" s="13"/>
      <c r="E387" s="17"/>
      <c r="F387" s="13"/>
      <c r="G387" s="16"/>
      <c r="H387" s="13"/>
      <c r="I387" s="13"/>
      <c r="J387" s="11">
        <f>IF(OR(B387="",E387=""),"",SUMIFS($E$5:$E387,$B$5:$B387,B387,$D$5:$D387,"Entrada")-SUMIFS($E$5:$E387,$B$5:$B387,B387,$D$5:$D387,"Salida"))</f>
      </c>
      <c r="K387" s="12">
        <f>IF(J387="","",IF(J387&lt;0,"Saldo negativo: revisa",IFERROR(IF(J387&lt;=INDEX(Productos!$D$5:$D$104,MATCH(B387,Productos!$A$5:$A$104,0)),"En el mínimo o por debajo",""),"")))</f>
      </c>
      <c r="L387" s="13"/>
    </row>
    <row r="388" spans="1:12" x14ac:dyDescent="0.25">
      <c r="A388" s="16"/>
      <c r="B388" s="13"/>
      <c r="C388" s="12">
        <f>IF(B388="","",IFERROR(INDEX(Productos!$B$5:$B$104,MATCH(B388,Productos!$A$5:$A$104,0)),"Código no encontrado"))</f>
      </c>
      <c r="D388" s="13"/>
      <c r="E388" s="17"/>
      <c r="F388" s="13"/>
      <c r="G388" s="16"/>
      <c r="H388" s="13"/>
      <c r="I388" s="13"/>
      <c r="J388" s="11">
        <f>IF(OR(B388="",E388=""),"",SUMIFS($E$5:$E388,$B$5:$B388,B388,$D$5:$D388,"Entrada")-SUMIFS($E$5:$E388,$B$5:$B388,B388,$D$5:$D388,"Salida"))</f>
      </c>
      <c r="K388" s="12">
        <f>IF(J388="","",IF(J388&lt;0,"Saldo negativo: revisa",IFERROR(IF(J388&lt;=INDEX(Productos!$D$5:$D$104,MATCH(B388,Productos!$A$5:$A$104,0)),"En el mínimo o por debajo",""),"")))</f>
      </c>
      <c r="L388" s="13"/>
    </row>
    <row r="389" spans="1:12" x14ac:dyDescent="0.25">
      <c r="A389" s="16"/>
      <c r="B389" s="13"/>
      <c r="C389" s="12">
        <f>IF(B389="","",IFERROR(INDEX(Productos!$B$5:$B$104,MATCH(B389,Productos!$A$5:$A$104,0)),"Código no encontrado"))</f>
      </c>
      <c r="D389" s="13"/>
      <c r="E389" s="17"/>
      <c r="F389" s="13"/>
      <c r="G389" s="16"/>
      <c r="H389" s="13"/>
      <c r="I389" s="13"/>
      <c r="J389" s="11">
        <f>IF(OR(B389="",E389=""),"",SUMIFS($E$5:$E389,$B$5:$B389,B389,$D$5:$D389,"Entrada")-SUMIFS($E$5:$E389,$B$5:$B389,B389,$D$5:$D389,"Salida"))</f>
      </c>
      <c r="K389" s="12">
        <f>IF(J389="","",IF(J389&lt;0,"Saldo negativo: revisa",IFERROR(IF(J389&lt;=INDEX(Productos!$D$5:$D$104,MATCH(B389,Productos!$A$5:$A$104,0)),"En el mínimo o por debajo",""),"")))</f>
      </c>
      <c r="L389" s="13"/>
    </row>
    <row r="390" spans="1:12" x14ac:dyDescent="0.25">
      <c r="A390" s="16"/>
      <c r="B390" s="13"/>
      <c r="C390" s="12">
        <f>IF(B390="","",IFERROR(INDEX(Productos!$B$5:$B$104,MATCH(B390,Productos!$A$5:$A$104,0)),"Código no encontrado"))</f>
      </c>
      <c r="D390" s="13"/>
      <c r="E390" s="17"/>
      <c r="F390" s="13"/>
      <c r="G390" s="16"/>
      <c r="H390" s="13"/>
      <c r="I390" s="13"/>
      <c r="J390" s="11">
        <f>IF(OR(B390="",E390=""),"",SUMIFS($E$5:$E390,$B$5:$B390,B390,$D$5:$D390,"Entrada")-SUMIFS($E$5:$E390,$B$5:$B390,B390,$D$5:$D390,"Salida"))</f>
      </c>
      <c r="K390" s="12">
        <f>IF(J390="","",IF(J390&lt;0,"Saldo negativo: revisa",IFERROR(IF(J390&lt;=INDEX(Productos!$D$5:$D$104,MATCH(B390,Productos!$A$5:$A$104,0)),"En el mínimo o por debajo",""),"")))</f>
      </c>
      <c r="L390" s="13"/>
    </row>
    <row r="391" spans="1:12" x14ac:dyDescent="0.25">
      <c r="A391" s="16"/>
      <c r="B391" s="13"/>
      <c r="C391" s="12">
        <f>IF(B391="","",IFERROR(INDEX(Productos!$B$5:$B$104,MATCH(B391,Productos!$A$5:$A$104,0)),"Código no encontrado"))</f>
      </c>
      <c r="D391" s="13"/>
      <c r="E391" s="17"/>
      <c r="F391" s="13"/>
      <c r="G391" s="16"/>
      <c r="H391" s="13"/>
      <c r="I391" s="13"/>
      <c r="J391" s="11">
        <f>IF(OR(B391="",E391=""),"",SUMIFS($E$5:$E391,$B$5:$B391,B391,$D$5:$D391,"Entrada")-SUMIFS($E$5:$E391,$B$5:$B391,B391,$D$5:$D391,"Salida"))</f>
      </c>
      <c r="K391" s="12">
        <f>IF(J391="","",IF(J391&lt;0,"Saldo negativo: revisa",IFERROR(IF(J391&lt;=INDEX(Productos!$D$5:$D$104,MATCH(B391,Productos!$A$5:$A$104,0)),"En el mínimo o por debajo",""),"")))</f>
      </c>
      <c r="L391" s="13"/>
    </row>
    <row r="392" spans="1:12" x14ac:dyDescent="0.25">
      <c r="A392" s="16"/>
      <c r="B392" s="13"/>
      <c r="C392" s="12">
        <f>IF(B392="","",IFERROR(INDEX(Productos!$B$5:$B$104,MATCH(B392,Productos!$A$5:$A$104,0)),"Código no encontrado"))</f>
      </c>
      <c r="D392" s="13"/>
      <c r="E392" s="17"/>
      <c r="F392" s="13"/>
      <c r="G392" s="16"/>
      <c r="H392" s="13"/>
      <c r="I392" s="13"/>
      <c r="J392" s="11">
        <f>IF(OR(B392="",E392=""),"",SUMIFS($E$5:$E392,$B$5:$B392,B392,$D$5:$D392,"Entrada")-SUMIFS($E$5:$E392,$B$5:$B392,B392,$D$5:$D392,"Salida"))</f>
      </c>
      <c r="K392" s="12">
        <f>IF(J392="","",IF(J392&lt;0,"Saldo negativo: revisa",IFERROR(IF(J392&lt;=INDEX(Productos!$D$5:$D$104,MATCH(B392,Productos!$A$5:$A$104,0)),"En el mínimo o por debajo",""),"")))</f>
      </c>
      <c r="L392" s="13"/>
    </row>
    <row r="393" spans="1:12" x14ac:dyDescent="0.25">
      <c r="A393" s="16"/>
      <c r="B393" s="13"/>
      <c r="C393" s="12">
        <f>IF(B393="","",IFERROR(INDEX(Productos!$B$5:$B$104,MATCH(B393,Productos!$A$5:$A$104,0)),"Código no encontrado"))</f>
      </c>
      <c r="D393" s="13"/>
      <c r="E393" s="17"/>
      <c r="F393" s="13"/>
      <c r="G393" s="16"/>
      <c r="H393" s="13"/>
      <c r="I393" s="13"/>
      <c r="J393" s="11">
        <f>IF(OR(B393="",E393=""),"",SUMIFS($E$5:$E393,$B$5:$B393,B393,$D$5:$D393,"Entrada")-SUMIFS($E$5:$E393,$B$5:$B393,B393,$D$5:$D393,"Salida"))</f>
      </c>
      <c r="K393" s="12">
        <f>IF(J393="","",IF(J393&lt;0,"Saldo negativo: revisa",IFERROR(IF(J393&lt;=INDEX(Productos!$D$5:$D$104,MATCH(B393,Productos!$A$5:$A$104,0)),"En el mínimo o por debajo",""),"")))</f>
      </c>
      <c r="L393" s="13"/>
    </row>
    <row r="394" spans="1:12" x14ac:dyDescent="0.25">
      <c r="A394" s="16"/>
      <c r="B394" s="13"/>
      <c r="C394" s="12">
        <f>IF(B394="","",IFERROR(INDEX(Productos!$B$5:$B$104,MATCH(B394,Productos!$A$5:$A$104,0)),"Código no encontrado"))</f>
      </c>
      <c r="D394" s="13"/>
      <c r="E394" s="17"/>
      <c r="F394" s="13"/>
      <c r="G394" s="16"/>
      <c r="H394" s="13"/>
      <c r="I394" s="13"/>
      <c r="J394" s="11">
        <f>IF(OR(B394="",E394=""),"",SUMIFS($E$5:$E394,$B$5:$B394,B394,$D$5:$D394,"Entrada")-SUMIFS($E$5:$E394,$B$5:$B394,B394,$D$5:$D394,"Salida"))</f>
      </c>
      <c r="K394" s="12">
        <f>IF(J394="","",IF(J394&lt;0,"Saldo negativo: revisa",IFERROR(IF(J394&lt;=INDEX(Productos!$D$5:$D$104,MATCH(B394,Productos!$A$5:$A$104,0)),"En el mínimo o por debajo",""),"")))</f>
      </c>
      <c r="L394" s="13"/>
    </row>
    <row r="395" spans="1:12" x14ac:dyDescent="0.25">
      <c r="A395" s="16"/>
      <c r="B395" s="13"/>
      <c r="C395" s="12">
        <f>IF(B395="","",IFERROR(INDEX(Productos!$B$5:$B$104,MATCH(B395,Productos!$A$5:$A$104,0)),"Código no encontrado"))</f>
      </c>
      <c r="D395" s="13"/>
      <c r="E395" s="17"/>
      <c r="F395" s="13"/>
      <c r="G395" s="16"/>
      <c r="H395" s="13"/>
      <c r="I395" s="13"/>
      <c r="J395" s="11">
        <f>IF(OR(B395="",E395=""),"",SUMIFS($E$5:$E395,$B$5:$B395,B395,$D$5:$D395,"Entrada")-SUMIFS($E$5:$E395,$B$5:$B395,B395,$D$5:$D395,"Salida"))</f>
      </c>
      <c r="K395" s="12">
        <f>IF(J395="","",IF(J395&lt;0,"Saldo negativo: revisa",IFERROR(IF(J395&lt;=INDEX(Productos!$D$5:$D$104,MATCH(B395,Productos!$A$5:$A$104,0)),"En el mínimo o por debajo",""),"")))</f>
      </c>
      <c r="L395" s="13"/>
    </row>
    <row r="396" spans="1:12" x14ac:dyDescent="0.25">
      <c r="A396" s="16"/>
      <c r="B396" s="13"/>
      <c r="C396" s="12">
        <f>IF(B396="","",IFERROR(INDEX(Productos!$B$5:$B$104,MATCH(B396,Productos!$A$5:$A$104,0)),"Código no encontrado"))</f>
      </c>
      <c r="D396" s="13"/>
      <c r="E396" s="17"/>
      <c r="F396" s="13"/>
      <c r="G396" s="16"/>
      <c r="H396" s="13"/>
      <c r="I396" s="13"/>
      <c r="J396" s="11">
        <f>IF(OR(B396="",E396=""),"",SUMIFS($E$5:$E396,$B$5:$B396,B396,$D$5:$D396,"Entrada")-SUMIFS($E$5:$E396,$B$5:$B396,B396,$D$5:$D396,"Salida"))</f>
      </c>
      <c r="K396" s="12">
        <f>IF(J396="","",IF(J396&lt;0,"Saldo negativo: revisa",IFERROR(IF(J396&lt;=INDEX(Productos!$D$5:$D$104,MATCH(B396,Productos!$A$5:$A$104,0)),"En el mínimo o por debajo",""),"")))</f>
      </c>
      <c r="L396" s="13"/>
    </row>
    <row r="397" spans="1:12" x14ac:dyDescent="0.25">
      <c r="A397" s="16"/>
      <c r="B397" s="13"/>
      <c r="C397" s="12">
        <f>IF(B397="","",IFERROR(INDEX(Productos!$B$5:$B$104,MATCH(B397,Productos!$A$5:$A$104,0)),"Código no encontrado"))</f>
      </c>
      <c r="D397" s="13"/>
      <c r="E397" s="17"/>
      <c r="F397" s="13"/>
      <c r="G397" s="16"/>
      <c r="H397" s="13"/>
      <c r="I397" s="13"/>
      <c r="J397" s="11">
        <f>IF(OR(B397="",E397=""),"",SUMIFS($E$5:$E397,$B$5:$B397,B397,$D$5:$D397,"Entrada")-SUMIFS($E$5:$E397,$B$5:$B397,B397,$D$5:$D397,"Salida"))</f>
      </c>
      <c r="K397" s="12">
        <f>IF(J397="","",IF(J397&lt;0,"Saldo negativo: revisa",IFERROR(IF(J397&lt;=INDEX(Productos!$D$5:$D$104,MATCH(B397,Productos!$A$5:$A$104,0)),"En el mínimo o por debajo",""),"")))</f>
      </c>
      <c r="L397" s="13"/>
    </row>
    <row r="398" spans="1:12" x14ac:dyDescent="0.25">
      <c r="A398" s="16"/>
      <c r="B398" s="13"/>
      <c r="C398" s="12">
        <f>IF(B398="","",IFERROR(INDEX(Productos!$B$5:$B$104,MATCH(B398,Productos!$A$5:$A$104,0)),"Código no encontrado"))</f>
      </c>
      <c r="D398" s="13"/>
      <c r="E398" s="17"/>
      <c r="F398" s="13"/>
      <c r="G398" s="16"/>
      <c r="H398" s="13"/>
      <c r="I398" s="13"/>
      <c r="J398" s="11">
        <f>IF(OR(B398="",E398=""),"",SUMIFS($E$5:$E398,$B$5:$B398,B398,$D$5:$D398,"Entrada")-SUMIFS($E$5:$E398,$B$5:$B398,B398,$D$5:$D398,"Salida"))</f>
      </c>
      <c r="K398" s="12">
        <f>IF(J398="","",IF(J398&lt;0,"Saldo negativo: revisa",IFERROR(IF(J398&lt;=INDEX(Productos!$D$5:$D$104,MATCH(B398,Productos!$A$5:$A$104,0)),"En el mínimo o por debajo",""),"")))</f>
      </c>
      <c r="L398" s="13"/>
    </row>
    <row r="399" spans="1:12" x14ac:dyDescent="0.25">
      <c r="A399" s="16"/>
      <c r="B399" s="13"/>
      <c r="C399" s="12">
        <f>IF(B399="","",IFERROR(INDEX(Productos!$B$5:$B$104,MATCH(B399,Productos!$A$5:$A$104,0)),"Código no encontrado"))</f>
      </c>
      <c r="D399" s="13"/>
      <c r="E399" s="17"/>
      <c r="F399" s="13"/>
      <c r="G399" s="16"/>
      <c r="H399" s="13"/>
      <c r="I399" s="13"/>
      <c r="J399" s="11">
        <f>IF(OR(B399="",E399=""),"",SUMIFS($E$5:$E399,$B$5:$B399,B399,$D$5:$D399,"Entrada")-SUMIFS($E$5:$E399,$B$5:$B399,B399,$D$5:$D399,"Salida"))</f>
      </c>
      <c r="K399" s="12">
        <f>IF(J399="","",IF(J399&lt;0,"Saldo negativo: revisa",IFERROR(IF(J399&lt;=INDEX(Productos!$D$5:$D$104,MATCH(B399,Productos!$A$5:$A$104,0)),"En el mínimo o por debajo",""),"")))</f>
      </c>
      <c r="L399" s="13"/>
    </row>
    <row r="400" spans="1:12" x14ac:dyDescent="0.25">
      <c r="A400" s="16"/>
      <c r="B400" s="13"/>
      <c r="C400" s="12">
        <f>IF(B400="","",IFERROR(INDEX(Productos!$B$5:$B$104,MATCH(B400,Productos!$A$5:$A$104,0)),"Código no encontrado"))</f>
      </c>
      <c r="D400" s="13"/>
      <c r="E400" s="17"/>
      <c r="F400" s="13"/>
      <c r="G400" s="16"/>
      <c r="H400" s="13"/>
      <c r="I400" s="13"/>
      <c r="J400" s="11">
        <f>IF(OR(B400="",E400=""),"",SUMIFS($E$5:$E400,$B$5:$B400,B400,$D$5:$D400,"Entrada")-SUMIFS($E$5:$E400,$B$5:$B400,B400,$D$5:$D400,"Salida"))</f>
      </c>
      <c r="K400" s="12">
        <f>IF(J400="","",IF(J400&lt;0,"Saldo negativo: revisa",IFERROR(IF(J400&lt;=INDEX(Productos!$D$5:$D$104,MATCH(B400,Productos!$A$5:$A$104,0)),"En el mínimo o por debajo",""),"")))</f>
      </c>
      <c r="L400" s="13"/>
    </row>
    <row r="401" spans="1:12" x14ac:dyDescent="0.25">
      <c r="A401" s="16"/>
      <c r="B401" s="13"/>
      <c r="C401" s="12">
        <f>IF(B401="","",IFERROR(INDEX(Productos!$B$5:$B$104,MATCH(B401,Productos!$A$5:$A$104,0)),"Código no encontrado"))</f>
      </c>
      <c r="D401" s="13"/>
      <c r="E401" s="17"/>
      <c r="F401" s="13"/>
      <c r="G401" s="16"/>
      <c r="H401" s="13"/>
      <c r="I401" s="13"/>
      <c r="J401" s="11">
        <f>IF(OR(B401="",E401=""),"",SUMIFS($E$5:$E401,$B$5:$B401,B401,$D$5:$D401,"Entrada")-SUMIFS($E$5:$E401,$B$5:$B401,B401,$D$5:$D401,"Salida"))</f>
      </c>
      <c r="K401" s="12">
        <f>IF(J401="","",IF(J401&lt;0,"Saldo negativo: revisa",IFERROR(IF(J401&lt;=INDEX(Productos!$D$5:$D$104,MATCH(B401,Productos!$A$5:$A$104,0)),"En el mínimo o por debajo",""),"")))</f>
      </c>
      <c r="L401" s="13"/>
    </row>
    <row r="402" spans="1:12" x14ac:dyDescent="0.25">
      <c r="A402" s="16"/>
      <c r="B402" s="13"/>
      <c r="C402" s="12">
        <f>IF(B402="","",IFERROR(INDEX(Productos!$B$5:$B$104,MATCH(B402,Productos!$A$5:$A$104,0)),"Código no encontrado"))</f>
      </c>
      <c r="D402" s="13"/>
      <c r="E402" s="17"/>
      <c r="F402" s="13"/>
      <c r="G402" s="16"/>
      <c r="H402" s="13"/>
      <c r="I402" s="13"/>
      <c r="J402" s="11">
        <f>IF(OR(B402="",E402=""),"",SUMIFS($E$5:$E402,$B$5:$B402,B402,$D$5:$D402,"Entrada")-SUMIFS($E$5:$E402,$B$5:$B402,B402,$D$5:$D402,"Salida"))</f>
      </c>
      <c r="K402" s="12">
        <f>IF(J402="","",IF(J402&lt;0,"Saldo negativo: revisa",IFERROR(IF(J402&lt;=INDEX(Productos!$D$5:$D$104,MATCH(B402,Productos!$A$5:$A$104,0)),"En el mínimo o por debajo",""),"")))</f>
      </c>
      <c r="L402" s="13"/>
    </row>
    <row r="403" spans="1:12" x14ac:dyDescent="0.25">
      <c r="A403" s="16"/>
      <c r="B403" s="13"/>
      <c r="C403" s="12">
        <f>IF(B403="","",IFERROR(INDEX(Productos!$B$5:$B$104,MATCH(B403,Productos!$A$5:$A$104,0)),"Código no encontrado"))</f>
      </c>
      <c r="D403" s="13"/>
      <c r="E403" s="17"/>
      <c r="F403" s="13"/>
      <c r="G403" s="16"/>
      <c r="H403" s="13"/>
      <c r="I403" s="13"/>
      <c r="J403" s="11">
        <f>IF(OR(B403="",E403=""),"",SUMIFS($E$5:$E403,$B$5:$B403,B403,$D$5:$D403,"Entrada")-SUMIFS($E$5:$E403,$B$5:$B403,B403,$D$5:$D403,"Salida"))</f>
      </c>
      <c r="K403" s="12">
        <f>IF(J403="","",IF(J403&lt;0,"Saldo negativo: revisa",IFERROR(IF(J403&lt;=INDEX(Productos!$D$5:$D$104,MATCH(B403,Productos!$A$5:$A$104,0)),"En el mínimo o por debajo",""),"")))</f>
      </c>
      <c r="L403" s="13"/>
    </row>
    <row r="404" spans="1:12" x14ac:dyDescent="0.25">
      <c r="A404" s="16"/>
      <c r="B404" s="13"/>
      <c r="C404" s="12">
        <f>IF(B404="","",IFERROR(INDEX(Productos!$B$5:$B$104,MATCH(B404,Productos!$A$5:$A$104,0)),"Código no encontrado"))</f>
      </c>
      <c r="D404" s="13"/>
      <c r="E404" s="17"/>
      <c r="F404" s="13"/>
      <c r="G404" s="16"/>
      <c r="H404" s="13"/>
      <c r="I404" s="13"/>
      <c r="J404" s="11">
        <f>IF(OR(B404="",E404=""),"",SUMIFS($E$5:$E404,$B$5:$B404,B404,$D$5:$D404,"Entrada")-SUMIFS($E$5:$E404,$B$5:$B404,B404,$D$5:$D404,"Salida"))</f>
      </c>
      <c r="K404" s="12">
        <f>IF(J404="","",IF(J404&lt;0,"Saldo negativo: revisa",IFERROR(IF(J404&lt;=INDEX(Productos!$D$5:$D$104,MATCH(B404,Productos!$A$5:$A$104,0)),"En el mínimo o por debajo",""),"")))</f>
      </c>
      <c r="L404" s="13"/>
    </row>
    <row r="405" spans="1:12" x14ac:dyDescent="0.25">
      <c r="A405" s="16"/>
      <c r="B405" s="13"/>
      <c r="C405" s="12">
        <f>IF(B405="","",IFERROR(INDEX(Productos!$B$5:$B$104,MATCH(B405,Productos!$A$5:$A$104,0)),"Código no encontrado"))</f>
      </c>
      <c r="D405" s="13"/>
      <c r="E405" s="17"/>
      <c r="F405" s="13"/>
      <c r="G405" s="16"/>
      <c r="H405" s="13"/>
      <c r="I405" s="13"/>
      <c r="J405" s="11">
        <f>IF(OR(B405="",E405=""),"",SUMIFS($E$5:$E405,$B$5:$B405,B405,$D$5:$D405,"Entrada")-SUMIFS($E$5:$E405,$B$5:$B405,B405,$D$5:$D405,"Salida"))</f>
      </c>
      <c r="K405" s="12">
        <f>IF(J405="","",IF(J405&lt;0,"Saldo negativo: revisa",IFERROR(IF(J405&lt;=INDEX(Productos!$D$5:$D$104,MATCH(B405,Productos!$A$5:$A$104,0)),"En el mínimo o por debajo",""),"")))</f>
      </c>
      <c r="L405" s="13"/>
    </row>
    <row r="406" spans="1:12" x14ac:dyDescent="0.25">
      <c r="A406" s="16"/>
      <c r="B406" s="13"/>
      <c r="C406" s="12">
        <f>IF(B406="","",IFERROR(INDEX(Productos!$B$5:$B$104,MATCH(B406,Productos!$A$5:$A$104,0)),"Código no encontrado"))</f>
      </c>
      <c r="D406" s="13"/>
      <c r="E406" s="17"/>
      <c r="F406" s="13"/>
      <c r="G406" s="16"/>
      <c r="H406" s="13"/>
      <c r="I406" s="13"/>
      <c r="J406" s="11">
        <f>IF(OR(B406="",E406=""),"",SUMIFS($E$5:$E406,$B$5:$B406,B406,$D$5:$D406,"Entrada")-SUMIFS($E$5:$E406,$B$5:$B406,B406,$D$5:$D406,"Salida"))</f>
      </c>
      <c r="K406" s="12">
        <f>IF(J406="","",IF(J406&lt;0,"Saldo negativo: revisa",IFERROR(IF(J406&lt;=INDEX(Productos!$D$5:$D$104,MATCH(B406,Productos!$A$5:$A$104,0)),"En el mínimo o por debajo",""),"")))</f>
      </c>
      <c r="L406" s="13"/>
    </row>
    <row r="407" spans="1:12" x14ac:dyDescent="0.25">
      <c r="A407" s="16"/>
      <c r="B407" s="13"/>
      <c r="C407" s="12">
        <f>IF(B407="","",IFERROR(INDEX(Productos!$B$5:$B$104,MATCH(B407,Productos!$A$5:$A$104,0)),"Código no encontrado"))</f>
      </c>
      <c r="D407" s="13"/>
      <c r="E407" s="17"/>
      <c r="F407" s="13"/>
      <c r="G407" s="16"/>
      <c r="H407" s="13"/>
      <c r="I407" s="13"/>
      <c r="J407" s="11">
        <f>IF(OR(B407="",E407=""),"",SUMIFS($E$5:$E407,$B$5:$B407,B407,$D$5:$D407,"Entrada")-SUMIFS($E$5:$E407,$B$5:$B407,B407,$D$5:$D407,"Salida"))</f>
      </c>
      <c r="K407" s="12">
        <f>IF(J407="","",IF(J407&lt;0,"Saldo negativo: revisa",IFERROR(IF(J407&lt;=INDEX(Productos!$D$5:$D$104,MATCH(B407,Productos!$A$5:$A$104,0)),"En el mínimo o por debajo",""),"")))</f>
      </c>
      <c r="L407" s="13"/>
    </row>
    <row r="408" spans="1:12" x14ac:dyDescent="0.25">
      <c r="A408" s="16"/>
      <c r="B408" s="13"/>
      <c r="C408" s="12">
        <f>IF(B408="","",IFERROR(INDEX(Productos!$B$5:$B$104,MATCH(B408,Productos!$A$5:$A$104,0)),"Código no encontrado"))</f>
      </c>
      <c r="D408" s="13"/>
      <c r="E408" s="17"/>
      <c r="F408" s="13"/>
      <c r="G408" s="16"/>
      <c r="H408" s="13"/>
      <c r="I408" s="13"/>
      <c r="J408" s="11">
        <f>IF(OR(B408="",E408=""),"",SUMIFS($E$5:$E408,$B$5:$B408,B408,$D$5:$D408,"Entrada")-SUMIFS($E$5:$E408,$B$5:$B408,B408,$D$5:$D408,"Salida"))</f>
      </c>
      <c r="K408" s="12">
        <f>IF(J408="","",IF(J408&lt;0,"Saldo negativo: revisa",IFERROR(IF(J408&lt;=INDEX(Productos!$D$5:$D$104,MATCH(B408,Productos!$A$5:$A$104,0)),"En el mínimo o por debajo",""),"")))</f>
      </c>
      <c r="L408" s="13"/>
    </row>
    <row r="409" spans="1:12" x14ac:dyDescent="0.25">
      <c r="A409" s="16"/>
      <c r="B409" s="13"/>
      <c r="C409" s="12">
        <f>IF(B409="","",IFERROR(INDEX(Productos!$B$5:$B$104,MATCH(B409,Productos!$A$5:$A$104,0)),"Código no encontrado"))</f>
      </c>
      <c r="D409" s="13"/>
      <c r="E409" s="17"/>
      <c r="F409" s="13"/>
      <c r="G409" s="16"/>
      <c r="H409" s="13"/>
      <c r="I409" s="13"/>
      <c r="J409" s="11">
        <f>IF(OR(B409="",E409=""),"",SUMIFS($E$5:$E409,$B$5:$B409,B409,$D$5:$D409,"Entrada")-SUMIFS($E$5:$E409,$B$5:$B409,B409,$D$5:$D409,"Salida"))</f>
      </c>
      <c r="K409" s="12">
        <f>IF(J409="","",IF(J409&lt;0,"Saldo negativo: revisa",IFERROR(IF(J409&lt;=INDEX(Productos!$D$5:$D$104,MATCH(B409,Productos!$A$5:$A$104,0)),"En el mínimo o por debajo",""),"")))</f>
      </c>
      <c r="L409" s="13"/>
    </row>
    <row r="410" spans="1:12" x14ac:dyDescent="0.25">
      <c r="A410" s="16"/>
      <c r="B410" s="13"/>
      <c r="C410" s="12">
        <f>IF(B410="","",IFERROR(INDEX(Productos!$B$5:$B$104,MATCH(B410,Productos!$A$5:$A$104,0)),"Código no encontrado"))</f>
      </c>
      <c r="D410" s="13"/>
      <c r="E410" s="17"/>
      <c r="F410" s="13"/>
      <c r="G410" s="16"/>
      <c r="H410" s="13"/>
      <c r="I410" s="13"/>
      <c r="J410" s="11">
        <f>IF(OR(B410="",E410=""),"",SUMIFS($E$5:$E410,$B$5:$B410,B410,$D$5:$D410,"Entrada")-SUMIFS($E$5:$E410,$B$5:$B410,B410,$D$5:$D410,"Salida"))</f>
      </c>
      <c r="K410" s="12">
        <f>IF(J410="","",IF(J410&lt;0,"Saldo negativo: revisa",IFERROR(IF(J410&lt;=INDEX(Productos!$D$5:$D$104,MATCH(B410,Productos!$A$5:$A$104,0)),"En el mínimo o por debajo",""),"")))</f>
      </c>
      <c r="L410" s="13"/>
    </row>
    <row r="411" spans="1:12" x14ac:dyDescent="0.25">
      <c r="A411" s="16"/>
      <c r="B411" s="13"/>
      <c r="C411" s="12">
        <f>IF(B411="","",IFERROR(INDEX(Productos!$B$5:$B$104,MATCH(B411,Productos!$A$5:$A$104,0)),"Código no encontrado"))</f>
      </c>
      <c r="D411" s="13"/>
      <c r="E411" s="17"/>
      <c r="F411" s="13"/>
      <c r="G411" s="16"/>
      <c r="H411" s="13"/>
      <c r="I411" s="13"/>
      <c r="J411" s="11">
        <f>IF(OR(B411="",E411=""),"",SUMIFS($E$5:$E411,$B$5:$B411,B411,$D$5:$D411,"Entrada")-SUMIFS($E$5:$E411,$B$5:$B411,B411,$D$5:$D411,"Salida"))</f>
      </c>
      <c r="K411" s="12">
        <f>IF(J411="","",IF(J411&lt;0,"Saldo negativo: revisa",IFERROR(IF(J411&lt;=INDEX(Productos!$D$5:$D$104,MATCH(B411,Productos!$A$5:$A$104,0)),"En el mínimo o por debajo",""),"")))</f>
      </c>
      <c r="L411" s="13"/>
    </row>
    <row r="412" spans="1:12" x14ac:dyDescent="0.25">
      <c r="A412" s="16"/>
      <c r="B412" s="13"/>
      <c r="C412" s="12">
        <f>IF(B412="","",IFERROR(INDEX(Productos!$B$5:$B$104,MATCH(B412,Productos!$A$5:$A$104,0)),"Código no encontrado"))</f>
      </c>
      <c r="D412" s="13"/>
      <c r="E412" s="17"/>
      <c r="F412" s="13"/>
      <c r="G412" s="16"/>
      <c r="H412" s="13"/>
      <c r="I412" s="13"/>
      <c r="J412" s="11">
        <f>IF(OR(B412="",E412=""),"",SUMIFS($E$5:$E412,$B$5:$B412,B412,$D$5:$D412,"Entrada")-SUMIFS($E$5:$E412,$B$5:$B412,B412,$D$5:$D412,"Salida"))</f>
      </c>
      <c r="K412" s="12">
        <f>IF(J412="","",IF(J412&lt;0,"Saldo negativo: revisa",IFERROR(IF(J412&lt;=INDEX(Productos!$D$5:$D$104,MATCH(B412,Productos!$A$5:$A$104,0)),"En el mínimo o por debajo",""),"")))</f>
      </c>
      <c r="L412" s="13"/>
    </row>
    <row r="413" spans="1:12" x14ac:dyDescent="0.25">
      <c r="A413" s="16"/>
      <c r="B413" s="13"/>
      <c r="C413" s="12">
        <f>IF(B413="","",IFERROR(INDEX(Productos!$B$5:$B$104,MATCH(B413,Productos!$A$5:$A$104,0)),"Código no encontrado"))</f>
      </c>
      <c r="D413" s="13"/>
      <c r="E413" s="17"/>
      <c r="F413" s="13"/>
      <c r="G413" s="16"/>
      <c r="H413" s="13"/>
      <c r="I413" s="13"/>
      <c r="J413" s="11">
        <f>IF(OR(B413="",E413=""),"",SUMIFS($E$5:$E413,$B$5:$B413,B413,$D$5:$D413,"Entrada")-SUMIFS($E$5:$E413,$B$5:$B413,B413,$D$5:$D413,"Salida"))</f>
      </c>
      <c r="K413" s="12">
        <f>IF(J413="","",IF(J413&lt;0,"Saldo negativo: revisa",IFERROR(IF(J413&lt;=INDEX(Productos!$D$5:$D$104,MATCH(B413,Productos!$A$5:$A$104,0)),"En el mínimo o por debajo",""),"")))</f>
      </c>
      <c r="L413" s="13"/>
    </row>
    <row r="414" spans="1:12" x14ac:dyDescent="0.25">
      <c r="A414" s="16"/>
      <c r="B414" s="13"/>
      <c r="C414" s="12">
        <f>IF(B414="","",IFERROR(INDEX(Productos!$B$5:$B$104,MATCH(B414,Productos!$A$5:$A$104,0)),"Código no encontrado"))</f>
      </c>
      <c r="D414" s="13"/>
      <c r="E414" s="17"/>
      <c r="F414" s="13"/>
      <c r="G414" s="16"/>
      <c r="H414" s="13"/>
      <c r="I414" s="13"/>
      <c r="J414" s="11">
        <f>IF(OR(B414="",E414=""),"",SUMIFS($E$5:$E414,$B$5:$B414,B414,$D$5:$D414,"Entrada")-SUMIFS($E$5:$E414,$B$5:$B414,B414,$D$5:$D414,"Salida"))</f>
      </c>
      <c r="K414" s="12">
        <f>IF(J414="","",IF(J414&lt;0,"Saldo negativo: revisa",IFERROR(IF(J414&lt;=INDEX(Productos!$D$5:$D$104,MATCH(B414,Productos!$A$5:$A$104,0)),"En el mínimo o por debajo",""),"")))</f>
      </c>
      <c r="L414" s="13"/>
    </row>
    <row r="415" spans="1:12" x14ac:dyDescent="0.25">
      <c r="A415" s="16"/>
      <c r="B415" s="13"/>
      <c r="C415" s="12">
        <f>IF(B415="","",IFERROR(INDEX(Productos!$B$5:$B$104,MATCH(B415,Productos!$A$5:$A$104,0)),"Código no encontrado"))</f>
      </c>
      <c r="D415" s="13"/>
      <c r="E415" s="17"/>
      <c r="F415" s="13"/>
      <c r="G415" s="16"/>
      <c r="H415" s="13"/>
      <c r="I415" s="13"/>
      <c r="J415" s="11">
        <f>IF(OR(B415="",E415=""),"",SUMIFS($E$5:$E415,$B$5:$B415,B415,$D$5:$D415,"Entrada")-SUMIFS($E$5:$E415,$B$5:$B415,B415,$D$5:$D415,"Salida"))</f>
      </c>
      <c r="K415" s="12">
        <f>IF(J415="","",IF(J415&lt;0,"Saldo negativo: revisa",IFERROR(IF(J415&lt;=INDEX(Productos!$D$5:$D$104,MATCH(B415,Productos!$A$5:$A$104,0)),"En el mínimo o por debajo",""),"")))</f>
      </c>
      <c r="L415" s="13"/>
    </row>
    <row r="416" spans="1:12" x14ac:dyDescent="0.25">
      <c r="A416" s="16"/>
      <c r="B416" s="13"/>
      <c r="C416" s="12">
        <f>IF(B416="","",IFERROR(INDEX(Productos!$B$5:$B$104,MATCH(B416,Productos!$A$5:$A$104,0)),"Código no encontrado"))</f>
      </c>
      <c r="D416" s="13"/>
      <c r="E416" s="17"/>
      <c r="F416" s="13"/>
      <c r="G416" s="16"/>
      <c r="H416" s="13"/>
      <c r="I416" s="13"/>
      <c r="J416" s="11">
        <f>IF(OR(B416="",E416=""),"",SUMIFS($E$5:$E416,$B$5:$B416,B416,$D$5:$D416,"Entrada")-SUMIFS($E$5:$E416,$B$5:$B416,B416,$D$5:$D416,"Salida"))</f>
      </c>
      <c r="K416" s="12">
        <f>IF(J416="","",IF(J416&lt;0,"Saldo negativo: revisa",IFERROR(IF(J416&lt;=INDEX(Productos!$D$5:$D$104,MATCH(B416,Productos!$A$5:$A$104,0)),"En el mínimo o por debajo",""),"")))</f>
      </c>
      <c r="L416" s="13"/>
    </row>
    <row r="417" spans="1:12" x14ac:dyDescent="0.25">
      <c r="A417" s="16"/>
      <c r="B417" s="13"/>
      <c r="C417" s="12">
        <f>IF(B417="","",IFERROR(INDEX(Productos!$B$5:$B$104,MATCH(B417,Productos!$A$5:$A$104,0)),"Código no encontrado"))</f>
      </c>
      <c r="D417" s="13"/>
      <c r="E417" s="17"/>
      <c r="F417" s="13"/>
      <c r="G417" s="16"/>
      <c r="H417" s="13"/>
      <c r="I417" s="13"/>
      <c r="J417" s="11">
        <f>IF(OR(B417="",E417=""),"",SUMIFS($E$5:$E417,$B$5:$B417,B417,$D$5:$D417,"Entrada")-SUMIFS($E$5:$E417,$B$5:$B417,B417,$D$5:$D417,"Salida"))</f>
      </c>
      <c r="K417" s="12">
        <f>IF(J417="","",IF(J417&lt;0,"Saldo negativo: revisa",IFERROR(IF(J417&lt;=INDEX(Productos!$D$5:$D$104,MATCH(B417,Productos!$A$5:$A$104,0)),"En el mínimo o por debajo",""),"")))</f>
      </c>
      <c r="L417" s="13"/>
    </row>
    <row r="418" spans="1:12" x14ac:dyDescent="0.25">
      <c r="A418" s="16"/>
      <c r="B418" s="13"/>
      <c r="C418" s="12">
        <f>IF(B418="","",IFERROR(INDEX(Productos!$B$5:$B$104,MATCH(B418,Productos!$A$5:$A$104,0)),"Código no encontrado"))</f>
      </c>
      <c r="D418" s="13"/>
      <c r="E418" s="17"/>
      <c r="F418" s="13"/>
      <c r="G418" s="16"/>
      <c r="H418" s="13"/>
      <c r="I418" s="13"/>
      <c r="J418" s="11">
        <f>IF(OR(B418="",E418=""),"",SUMIFS($E$5:$E418,$B$5:$B418,B418,$D$5:$D418,"Entrada")-SUMIFS($E$5:$E418,$B$5:$B418,B418,$D$5:$D418,"Salida"))</f>
      </c>
      <c r="K418" s="12">
        <f>IF(J418="","",IF(J418&lt;0,"Saldo negativo: revisa",IFERROR(IF(J418&lt;=INDEX(Productos!$D$5:$D$104,MATCH(B418,Productos!$A$5:$A$104,0)),"En el mínimo o por debajo",""),"")))</f>
      </c>
      <c r="L418" s="13"/>
    </row>
    <row r="419" spans="1:12" x14ac:dyDescent="0.25">
      <c r="A419" s="16"/>
      <c r="B419" s="13"/>
      <c r="C419" s="12">
        <f>IF(B419="","",IFERROR(INDEX(Productos!$B$5:$B$104,MATCH(B419,Productos!$A$5:$A$104,0)),"Código no encontrado"))</f>
      </c>
      <c r="D419" s="13"/>
      <c r="E419" s="17"/>
      <c r="F419" s="13"/>
      <c r="G419" s="16"/>
      <c r="H419" s="13"/>
      <c r="I419" s="13"/>
      <c r="J419" s="11">
        <f>IF(OR(B419="",E419=""),"",SUMIFS($E$5:$E419,$B$5:$B419,B419,$D$5:$D419,"Entrada")-SUMIFS($E$5:$E419,$B$5:$B419,B419,$D$5:$D419,"Salida"))</f>
      </c>
      <c r="K419" s="12">
        <f>IF(J419="","",IF(J419&lt;0,"Saldo negativo: revisa",IFERROR(IF(J419&lt;=INDEX(Productos!$D$5:$D$104,MATCH(B419,Productos!$A$5:$A$104,0)),"En el mínimo o por debajo",""),"")))</f>
      </c>
      <c r="L419" s="13"/>
    </row>
    <row r="420" spans="1:12" x14ac:dyDescent="0.25">
      <c r="A420" s="16"/>
      <c r="B420" s="13"/>
      <c r="C420" s="12">
        <f>IF(B420="","",IFERROR(INDEX(Productos!$B$5:$B$104,MATCH(B420,Productos!$A$5:$A$104,0)),"Código no encontrado"))</f>
      </c>
      <c r="D420" s="13"/>
      <c r="E420" s="17"/>
      <c r="F420" s="13"/>
      <c r="G420" s="16"/>
      <c r="H420" s="13"/>
      <c r="I420" s="13"/>
      <c r="J420" s="11">
        <f>IF(OR(B420="",E420=""),"",SUMIFS($E$5:$E420,$B$5:$B420,B420,$D$5:$D420,"Entrada")-SUMIFS($E$5:$E420,$B$5:$B420,B420,$D$5:$D420,"Salida"))</f>
      </c>
      <c r="K420" s="12">
        <f>IF(J420="","",IF(J420&lt;0,"Saldo negativo: revisa",IFERROR(IF(J420&lt;=INDEX(Productos!$D$5:$D$104,MATCH(B420,Productos!$A$5:$A$104,0)),"En el mínimo o por debajo",""),"")))</f>
      </c>
      <c r="L420" s="13"/>
    </row>
    <row r="421" spans="1:12" x14ac:dyDescent="0.25">
      <c r="A421" s="16"/>
      <c r="B421" s="13"/>
      <c r="C421" s="12">
        <f>IF(B421="","",IFERROR(INDEX(Productos!$B$5:$B$104,MATCH(B421,Productos!$A$5:$A$104,0)),"Código no encontrado"))</f>
      </c>
      <c r="D421" s="13"/>
      <c r="E421" s="17"/>
      <c r="F421" s="13"/>
      <c r="G421" s="16"/>
      <c r="H421" s="13"/>
      <c r="I421" s="13"/>
      <c r="J421" s="11">
        <f>IF(OR(B421="",E421=""),"",SUMIFS($E$5:$E421,$B$5:$B421,B421,$D$5:$D421,"Entrada")-SUMIFS($E$5:$E421,$B$5:$B421,B421,$D$5:$D421,"Salida"))</f>
      </c>
      <c r="K421" s="12">
        <f>IF(J421="","",IF(J421&lt;0,"Saldo negativo: revisa",IFERROR(IF(J421&lt;=INDEX(Productos!$D$5:$D$104,MATCH(B421,Productos!$A$5:$A$104,0)),"En el mínimo o por debajo",""),"")))</f>
      </c>
      <c r="L421" s="13"/>
    </row>
    <row r="422" spans="1:12" x14ac:dyDescent="0.25">
      <c r="A422" s="16"/>
      <c r="B422" s="13"/>
      <c r="C422" s="12">
        <f>IF(B422="","",IFERROR(INDEX(Productos!$B$5:$B$104,MATCH(B422,Productos!$A$5:$A$104,0)),"Código no encontrado"))</f>
      </c>
      <c r="D422" s="13"/>
      <c r="E422" s="17"/>
      <c r="F422" s="13"/>
      <c r="G422" s="16"/>
      <c r="H422" s="13"/>
      <c r="I422" s="13"/>
      <c r="J422" s="11">
        <f>IF(OR(B422="",E422=""),"",SUMIFS($E$5:$E422,$B$5:$B422,B422,$D$5:$D422,"Entrada")-SUMIFS($E$5:$E422,$B$5:$B422,B422,$D$5:$D422,"Salida"))</f>
      </c>
      <c r="K422" s="12">
        <f>IF(J422="","",IF(J422&lt;0,"Saldo negativo: revisa",IFERROR(IF(J422&lt;=INDEX(Productos!$D$5:$D$104,MATCH(B422,Productos!$A$5:$A$104,0)),"En el mínimo o por debajo",""),"")))</f>
      </c>
      <c r="L422" s="13"/>
    </row>
    <row r="423" spans="1:12" x14ac:dyDescent="0.25">
      <c r="A423" s="16"/>
      <c r="B423" s="13"/>
      <c r="C423" s="12">
        <f>IF(B423="","",IFERROR(INDEX(Productos!$B$5:$B$104,MATCH(B423,Productos!$A$5:$A$104,0)),"Código no encontrado"))</f>
      </c>
      <c r="D423" s="13"/>
      <c r="E423" s="17"/>
      <c r="F423" s="13"/>
      <c r="G423" s="16"/>
      <c r="H423" s="13"/>
      <c r="I423" s="13"/>
      <c r="J423" s="11">
        <f>IF(OR(B423="",E423=""),"",SUMIFS($E$5:$E423,$B$5:$B423,B423,$D$5:$D423,"Entrada")-SUMIFS($E$5:$E423,$B$5:$B423,B423,$D$5:$D423,"Salida"))</f>
      </c>
      <c r="K423" s="12">
        <f>IF(J423="","",IF(J423&lt;0,"Saldo negativo: revisa",IFERROR(IF(J423&lt;=INDEX(Productos!$D$5:$D$104,MATCH(B423,Productos!$A$5:$A$104,0)),"En el mínimo o por debajo",""),"")))</f>
      </c>
      <c r="L423" s="13"/>
    </row>
    <row r="424" spans="1:12" x14ac:dyDescent="0.25">
      <c r="A424" s="16"/>
      <c r="B424" s="13"/>
      <c r="C424" s="12">
        <f>IF(B424="","",IFERROR(INDEX(Productos!$B$5:$B$104,MATCH(B424,Productos!$A$5:$A$104,0)),"Código no encontrado"))</f>
      </c>
      <c r="D424" s="13"/>
      <c r="E424" s="17"/>
      <c r="F424" s="13"/>
      <c r="G424" s="16"/>
      <c r="H424" s="13"/>
      <c r="I424" s="13"/>
      <c r="J424" s="11">
        <f>IF(OR(B424="",E424=""),"",SUMIFS($E$5:$E424,$B$5:$B424,B424,$D$5:$D424,"Entrada")-SUMIFS($E$5:$E424,$B$5:$B424,B424,$D$5:$D424,"Salida"))</f>
      </c>
      <c r="K424" s="12">
        <f>IF(J424="","",IF(J424&lt;0,"Saldo negativo: revisa",IFERROR(IF(J424&lt;=INDEX(Productos!$D$5:$D$104,MATCH(B424,Productos!$A$5:$A$104,0)),"En el mínimo o por debajo",""),"")))</f>
      </c>
      <c r="L424" s="13"/>
    </row>
    <row r="425" spans="1:12" x14ac:dyDescent="0.25">
      <c r="A425" s="16"/>
      <c r="B425" s="13"/>
      <c r="C425" s="12">
        <f>IF(B425="","",IFERROR(INDEX(Productos!$B$5:$B$104,MATCH(B425,Productos!$A$5:$A$104,0)),"Código no encontrado"))</f>
      </c>
      <c r="D425" s="13"/>
      <c r="E425" s="17"/>
      <c r="F425" s="13"/>
      <c r="G425" s="16"/>
      <c r="H425" s="13"/>
      <c r="I425" s="13"/>
      <c r="J425" s="11">
        <f>IF(OR(B425="",E425=""),"",SUMIFS($E$5:$E425,$B$5:$B425,B425,$D$5:$D425,"Entrada")-SUMIFS($E$5:$E425,$B$5:$B425,B425,$D$5:$D425,"Salida"))</f>
      </c>
      <c r="K425" s="12">
        <f>IF(J425="","",IF(J425&lt;0,"Saldo negativo: revisa",IFERROR(IF(J425&lt;=INDEX(Productos!$D$5:$D$104,MATCH(B425,Productos!$A$5:$A$104,0)),"En el mínimo o por debajo",""),"")))</f>
      </c>
      <c r="L425" s="13"/>
    </row>
    <row r="426" spans="1:12" x14ac:dyDescent="0.25">
      <c r="A426" s="16"/>
      <c r="B426" s="13"/>
      <c r="C426" s="12">
        <f>IF(B426="","",IFERROR(INDEX(Productos!$B$5:$B$104,MATCH(B426,Productos!$A$5:$A$104,0)),"Código no encontrado"))</f>
      </c>
      <c r="D426" s="13"/>
      <c r="E426" s="17"/>
      <c r="F426" s="13"/>
      <c r="G426" s="16"/>
      <c r="H426" s="13"/>
      <c r="I426" s="13"/>
      <c r="J426" s="11">
        <f>IF(OR(B426="",E426=""),"",SUMIFS($E$5:$E426,$B$5:$B426,B426,$D$5:$D426,"Entrada")-SUMIFS($E$5:$E426,$B$5:$B426,B426,$D$5:$D426,"Salida"))</f>
      </c>
      <c r="K426" s="12">
        <f>IF(J426="","",IF(J426&lt;0,"Saldo negativo: revisa",IFERROR(IF(J426&lt;=INDEX(Productos!$D$5:$D$104,MATCH(B426,Productos!$A$5:$A$104,0)),"En el mínimo o por debajo",""),"")))</f>
      </c>
      <c r="L426" s="13"/>
    </row>
    <row r="427" spans="1:12" x14ac:dyDescent="0.25">
      <c r="A427" s="16"/>
      <c r="B427" s="13"/>
      <c r="C427" s="12">
        <f>IF(B427="","",IFERROR(INDEX(Productos!$B$5:$B$104,MATCH(B427,Productos!$A$5:$A$104,0)),"Código no encontrado"))</f>
      </c>
      <c r="D427" s="13"/>
      <c r="E427" s="17"/>
      <c r="F427" s="13"/>
      <c r="G427" s="16"/>
      <c r="H427" s="13"/>
      <c r="I427" s="13"/>
      <c r="J427" s="11">
        <f>IF(OR(B427="",E427=""),"",SUMIFS($E$5:$E427,$B$5:$B427,B427,$D$5:$D427,"Entrada")-SUMIFS($E$5:$E427,$B$5:$B427,B427,$D$5:$D427,"Salida"))</f>
      </c>
      <c r="K427" s="12">
        <f>IF(J427="","",IF(J427&lt;0,"Saldo negativo: revisa",IFERROR(IF(J427&lt;=INDEX(Productos!$D$5:$D$104,MATCH(B427,Productos!$A$5:$A$104,0)),"En el mínimo o por debajo",""),"")))</f>
      </c>
      <c r="L427" s="13"/>
    </row>
    <row r="428" spans="1:12" x14ac:dyDescent="0.25">
      <c r="A428" s="16"/>
      <c r="B428" s="13"/>
      <c r="C428" s="12">
        <f>IF(B428="","",IFERROR(INDEX(Productos!$B$5:$B$104,MATCH(B428,Productos!$A$5:$A$104,0)),"Código no encontrado"))</f>
      </c>
      <c r="D428" s="13"/>
      <c r="E428" s="17"/>
      <c r="F428" s="13"/>
      <c r="G428" s="16"/>
      <c r="H428" s="13"/>
      <c r="I428" s="13"/>
      <c r="J428" s="11">
        <f>IF(OR(B428="",E428=""),"",SUMIFS($E$5:$E428,$B$5:$B428,B428,$D$5:$D428,"Entrada")-SUMIFS($E$5:$E428,$B$5:$B428,B428,$D$5:$D428,"Salida"))</f>
      </c>
      <c r="K428" s="12">
        <f>IF(J428="","",IF(J428&lt;0,"Saldo negativo: revisa",IFERROR(IF(J428&lt;=INDEX(Productos!$D$5:$D$104,MATCH(B428,Productos!$A$5:$A$104,0)),"En el mínimo o por debajo",""),"")))</f>
      </c>
      <c r="L428" s="13"/>
    </row>
    <row r="429" spans="1:12" x14ac:dyDescent="0.25">
      <c r="A429" s="16"/>
      <c r="B429" s="13"/>
      <c r="C429" s="12">
        <f>IF(B429="","",IFERROR(INDEX(Productos!$B$5:$B$104,MATCH(B429,Productos!$A$5:$A$104,0)),"Código no encontrado"))</f>
      </c>
      <c r="D429" s="13"/>
      <c r="E429" s="17"/>
      <c r="F429" s="13"/>
      <c r="G429" s="16"/>
      <c r="H429" s="13"/>
      <c r="I429" s="13"/>
      <c r="J429" s="11">
        <f>IF(OR(B429="",E429=""),"",SUMIFS($E$5:$E429,$B$5:$B429,B429,$D$5:$D429,"Entrada")-SUMIFS($E$5:$E429,$B$5:$B429,B429,$D$5:$D429,"Salida"))</f>
      </c>
      <c r="K429" s="12">
        <f>IF(J429="","",IF(J429&lt;0,"Saldo negativo: revisa",IFERROR(IF(J429&lt;=INDEX(Productos!$D$5:$D$104,MATCH(B429,Productos!$A$5:$A$104,0)),"En el mínimo o por debajo",""),"")))</f>
      </c>
      <c r="L429" s="13"/>
    </row>
    <row r="430" spans="1:12" x14ac:dyDescent="0.25">
      <c r="A430" s="16"/>
      <c r="B430" s="13"/>
      <c r="C430" s="12">
        <f>IF(B430="","",IFERROR(INDEX(Productos!$B$5:$B$104,MATCH(B430,Productos!$A$5:$A$104,0)),"Código no encontrado"))</f>
      </c>
      <c r="D430" s="13"/>
      <c r="E430" s="17"/>
      <c r="F430" s="13"/>
      <c r="G430" s="16"/>
      <c r="H430" s="13"/>
      <c r="I430" s="13"/>
      <c r="J430" s="11">
        <f>IF(OR(B430="",E430=""),"",SUMIFS($E$5:$E430,$B$5:$B430,B430,$D$5:$D430,"Entrada")-SUMIFS($E$5:$E430,$B$5:$B430,B430,$D$5:$D430,"Salida"))</f>
      </c>
      <c r="K430" s="12">
        <f>IF(J430="","",IF(J430&lt;0,"Saldo negativo: revisa",IFERROR(IF(J430&lt;=INDEX(Productos!$D$5:$D$104,MATCH(B430,Productos!$A$5:$A$104,0)),"En el mínimo o por debajo",""),"")))</f>
      </c>
      <c r="L430" s="13"/>
    </row>
    <row r="431" spans="1:12" x14ac:dyDescent="0.25">
      <c r="A431" s="16"/>
      <c r="B431" s="13"/>
      <c r="C431" s="12">
        <f>IF(B431="","",IFERROR(INDEX(Productos!$B$5:$B$104,MATCH(B431,Productos!$A$5:$A$104,0)),"Código no encontrado"))</f>
      </c>
      <c r="D431" s="13"/>
      <c r="E431" s="17"/>
      <c r="F431" s="13"/>
      <c r="G431" s="16"/>
      <c r="H431" s="13"/>
      <c r="I431" s="13"/>
      <c r="J431" s="11">
        <f>IF(OR(B431="",E431=""),"",SUMIFS($E$5:$E431,$B$5:$B431,B431,$D$5:$D431,"Entrada")-SUMIFS($E$5:$E431,$B$5:$B431,B431,$D$5:$D431,"Salida"))</f>
      </c>
      <c r="K431" s="12">
        <f>IF(J431="","",IF(J431&lt;0,"Saldo negativo: revisa",IFERROR(IF(J431&lt;=INDEX(Productos!$D$5:$D$104,MATCH(B431,Productos!$A$5:$A$104,0)),"En el mínimo o por debajo",""),"")))</f>
      </c>
      <c r="L431" s="13"/>
    </row>
    <row r="432" spans="1:12" x14ac:dyDescent="0.25">
      <c r="A432" s="16"/>
      <c r="B432" s="13"/>
      <c r="C432" s="12">
        <f>IF(B432="","",IFERROR(INDEX(Productos!$B$5:$B$104,MATCH(B432,Productos!$A$5:$A$104,0)),"Código no encontrado"))</f>
      </c>
      <c r="D432" s="13"/>
      <c r="E432" s="17"/>
      <c r="F432" s="13"/>
      <c r="G432" s="16"/>
      <c r="H432" s="13"/>
      <c r="I432" s="13"/>
      <c r="J432" s="11">
        <f>IF(OR(B432="",E432=""),"",SUMIFS($E$5:$E432,$B$5:$B432,B432,$D$5:$D432,"Entrada")-SUMIFS($E$5:$E432,$B$5:$B432,B432,$D$5:$D432,"Salida"))</f>
      </c>
      <c r="K432" s="12">
        <f>IF(J432="","",IF(J432&lt;0,"Saldo negativo: revisa",IFERROR(IF(J432&lt;=INDEX(Productos!$D$5:$D$104,MATCH(B432,Productos!$A$5:$A$104,0)),"En el mínimo o por debajo",""),"")))</f>
      </c>
      <c r="L432" s="13"/>
    </row>
    <row r="433" spans="1:12" x14ac:dyDescent="0.25">
      <c r="A433" s="16"/>
      <c r="B433" s="13"/>
      <c r="C433" s="12">
        <f>IF(B433="","",IFERROR(INDEX(Productos!$B$5:$B$104,MATCH(B433,Productos!$A$5:$A$104,0)),"Código no encontrado"))</f>
      </c>
      <c r="D433" s="13"/>
      <c r="E433" s="17"/>
      <c r="F433" s="13"/>
      <c r="G433" s="16"/>
      <c r="H433" s="13"/>
      <c r="I433" s="13"/>
      <c r="J433" s="11">
        <f>IF(OR(B433="",E433=""),"",SUMIFS($E$5:$E433,$B$5:$B433,B433,$D$5:$D433,"Entrada")-SUMIFS($E$5:$E433,$B$5:$B433,B433,$D$5:$D433,"Salida"))</f>
      </c>
      <c r="K433" s="12">
        <f>IF(J433="","",IF(J433&lt;0,"Saldo negativo: revisa",IFERROR(IF(J433&lt;=INDEX(Productos!$D$5:$D$104,MATCH(B433,Productos!$A$5:$A$104,0)),"En el mínimo o por debajo",""),"")))</f>
      </c>
      <c r="L433" s="13"/>
    </row>
    <row r="434" spans="1:12" x14ac:dyDescent="0.25">
      <c r="A434" s="16"/>
      <c r="B434" s="13"/>
      <c r="C434" s="12">
        <f>IF(B434="","",IFERROR(INDEX(Productos!$B$5:$B$104,MATCH(B434,Productos!$A$5:$A$104,0)),"Código no encontrado"))</f>
      </c>
      <c r="D434" s="13"/>
      <c r="E434" s="17"/>
      <c r="F434" s="13"/>
      <c r="G434" s="16"/>
      <c r="H434" s="13"/>
      <c r="I434" s="13"/>
      <c r="J434" s="11">
        <f>IF(OR(B434="",E434=""),"",SUMIFS($E$5:$E434,$B$5:$B434,B434,$D$5:$D434,"Entrada")-SUMIFS($E$5:$E434,$B$5:$B434,B434,$D$5:$D434,"Salida"))</f>
      </c>
      <c r="K434" s="12">
        <f>IF(J434="","",IF(J434&lt;0,"Saldo negativo: revisa",IFERROR(IF(J434&lt;=INDEX(Productos!$D$5:$D$104,MATCH(B434,Productos!$A$5:$A$104,0)),"En el mínimo o por debajo",""),"")))</f>
      </c>
      <c r="L434" s="13"/>
    </row>
    <row r="435" spans="1:12" x14ac:dyDescent="0.25">
      <c r="A435" s="16"/>
      <c r="B435" s="13"/>
      <c r="C435" s="12">
        <f>IF(B435="","",IFERROR(INDEX(Productos!$B$5:$B$104,MATCH(B435,Productos!$A$5:$A$104,0)),"Código no encontrado"))</f>
      </c>
      <c r="D435" s="13"/>
      <c r="E435" s="17"/>
      <c r="F435" s="13"/>
      <c r="G435" s="16"/>
      <c r="H435" s="13"/>
      <c r="I435" s="13"/>
      <c r="J435" s="11">
        <f>IF(OR(B435="",E435=""),"",SUMIFS($E$5:$E435,$B$5:$B435,B435,$D$5:$D435,"Entrada")-SUMIFS($E$5:$E435,$B$5:$B435,B435,$D$5:$D435,"Salida"))</f>
      </c>
      <c r="K435" s="12">
        <f>IF(J435="","",IF(J435&lt;0,"Saldo negativo: revisa",IFERROR(IF(J435&lt;=INDEX(Productos!$D$5:$D$104,MATCH(B435,Productos!$A$5:$A$104,0)),"En el mínimo o por debajo",""),"")))</f>
      </c>
      <c r="L435" s="13"/>
    </row>
    <row r="436" spans="1:12" x14ac:dyDescent="0.25">
      <c r="A436" s="16"/>
      <c r="B436" s="13"/>
      <c r="C436" s="12">
        <f>IF(B436="","",IFERROR(INDEX(Productos!$B$5:$B$104,MATCH(B436,Productos!$A$5:$A$104,0)),"Código no encontrado"))</f>
      </c>
      <c r="D436" s="13"/>
      <c r="E436" s="17"/>
      <c r="F436" s="13"/>
      <c r="G436" s="16"/>
      <c r="H436" s="13"/>
      <c r="I436" s="13"/>
      <c r="J436" s="11">
        <f>IF(OR(B436="",E436=""),"",SUMIFS($E$5:$E436,$B$5:$B436,B436,$D$5:$D436,"Entrada")-SUMIFS($E$5:$E436,$B$5:$B436,B436,$D$5:$D436,"Salida"))</f>
      </c>
      <c r="K436" s="12">
        <f>IF(J436="","",IF(J436&lt;0,"Saldo negativo: revisa",IFERROR(IF(J436&lt;=INDEX(Productos!$D$5:$D$104,MATCH(B436,Productos!$A$5:$A$104,0)),"En el mínimo o por debajo",""),"")))</f>
      </c>
      <c r="L436" s="13"/>
    </row>
    <row r="437" spans="1:12" x14ac:dyDescent="0.25">
      <c r="A437" s="16"/>
      <c r="B437" s="13"/>
      <c r="C437" s="12">
        <f>IF(B437="","",IFERROR(INDEX(Productos!$B$5:$B$104,MATCH(B437,Productos!$A$5:$A$104,0)),"Código no encontrado"))</f>
      </c>
      <c r="D437" s="13"/>
      <c r="E437" s="17"/>
      <c r="F437" s="13"/>
      <c r="G437" s="16"/>
      <c r="H437" s="13"/>
      <c r="I437" s="13"/>
      <c r="J437" s="11">
        <f>IF(OR(B437="",E437=""),"",SUMIFS($E$5:$E437,$B$5:$B437,B437,$D$5:$D437,"Entrada")-SUMIFS($E$5:$E437,$B$5:$B437,B437,$D$5:$D437,"Salida"))</f>
      </c>
      <c r="K437" s="12">
        <f>IF(J437="","",IF(J437&lt;0,"Saldo negativo: revisa",IFERROR(IF(J437&lt;=INDEX(Productos!$D$5:$D$104,MATCH(B437,Productos!$A$5:$A$104,0)),"En el mínimo o por debajo",""),"")))</f>
      </c>
      <c r="L437" s="13"/>
    </row>
    <row r="438" spans="1:12" x14ac:dyDescent="0.25">
      <c r="A438" s="16"/>
      <c r="B438" s="13"/>
      <c r="C438" s="12">
        <f>IF(B438="","",IFERROR(INDEX(Productos!$B$5:$B$104,MATCH(B438,Productos!$A$5:$A$104,0)),"Código no encontrado"))</f>
      </c>
      <c r="D438" s="13"/>
      <c r="E438" s="17"/>
      <c r="F438" s="13"/>
      <c r="G438" s="16"/>
      <c r="H438" s="13"/>
      <c r="I438" s="13"/>
      <c r="J438" s="11">
        <f>IF(OR(B438="",E438=""),"",SUMIFS($E$5:$E438,$B$5:$B438,B438,$D$5:$D438,"Entrada")-SUMIFS($E$5:$E438,$B$5:$B438,B438,$D$5:$D438,"Salida"))</f>
      </c>
      <c r="K438" s="12">
        <f>IF(J438="","",IF(J438&lt;0,"Saldo negativo: revisa",IFERROR(IF(J438&lt;=INDEX(Productos!$D$5:$D$104,MATCH(B438,Productos!$A$5:$A$104,0)),"En el mínimo o por debajo",""),"")))</f>
      </c>
      <c r="L438" s="13"/>
    </row>
    <row r="439" spans="1:12" x14ac:dyDescent="0.25">
      <c r="A439" s="16"/>
      <c r="B439" s="13"/>
      <c r="C439" s="12">
        <f>IF(B439="","",IFERROR(INDEX(Productos!$B$5:$B$104,MATCH(B439,Productos!$A$5:$A$104,0)),"Código no encontrado"))</f>
      </c>
      <c r="D439" s="13"/>
      <c r="E439" s="17"/>
      <c r="F439" s="13"/>
      <c r="G439" s="16"/>
      <c r="H439" s="13"/>
      <c r="I439" s="13"/>
      <c r="J439" s="11">
        <f>IF(OR(B439="",E439=""),"",SUMIFS($E$5:$E439,$B$5:$B439,B439,$D$5:$D439,"Entrada")-SUMIFS($E$5:$E439,$B$5:$B439,B439,$D$5:$D439,"Salida"))</f>
      </c>
      <c r="K439" s="12">
        <f>IF(J439="","",IF(J439&lt;0,"Saldo negativo: revisa",IFERROR(IF(J439&lt;=INDEX(Productos!$D$5:$D$104,MATCH(B439,Productos!$A$5:$A$104,0)),"En el mínimo o por debajo",""),"")))</f>
      </c>
      <c r="L439" s="13"/>
    </row>
    <row r="440" spans="1:12" x14ac:dyDescent="0.25">
      <c r="A440" s="16"/>
      <c r="B440" s="13"/>
      <c r="C440" s="12">
        <f>IF(B440="","",IFERROR(INDEX(Productos!$B$5:$B$104,MATCH(B440,Productos!$A$5:$A$104,0)),"Código no encontrado"))</f>
      </c>
      <c r="D440" s="13"/>
      <c r="E440" s="17"/>
      <c r="F440" s="13"/>
      <c r="G440" s="16"/>
      <c r="H440" s="13"/>
      <c r="I440" s="13"/>
      <c r="J440" s="11">
        <f>IF(OR(B440="",E440=""),"",SUMIFS($E$5:$E440,$B$5:$B440,B440,$D$5:$D440,"Entrada")-SUMIFS($E$5:$E440,$B$5:$B440,B440,$D$5:$D440,"Salida"))</f>
      </c>
      <c r="K440" s="12">
        <f>IF(J440="","",IF(J440&lt;0,"Saldo negativo: revisa",IFERROR(IF(J440&lt;=INDEX(Productos!$D$5:$D$104,MATCH(B440,Productos!$A$5:$A$104,0)),"En el mínimo o por debajo",""),"")))</f>
      </c>
      <c r="L440" s="13"/>
    </row>
    <row r="441" spans="1:12" x14ac:dyDescent="0.25">
      <c r="A441" s="16"/>
      <c r="B441" s="13"/>
      <c r="C441" s="12">
        <f>IF(B441="","",IFERROR(INDEX(Productos!$B$5:$B$104,MATCH(B441,Productos!$A$5:$A$104,0)),"Código no encontrado"))</f>
      </c>
      <c r="D441" s="13"/>
      <c r="E441" s="17"/>
      <c r="F441" s="13"/>
      <c r="G441" s="16"/>
      <c r="H441" s="13"/>
      <c r="I441" s="13"/>
      <c r="J441" s="11">
        <f>IF(OR(B441="",E441=""),"",SUMIFS($E$5:$E441,$B$5:$B441,B441,$D$5:$D441,"Entrada")-SUMIFS($E$5:$E441,$B$5:$B441,B441,$D$5:$D441,"Salida"))</f>
      </c>
      <c r="K441" s="12">
        <f>IF(J441="","",IF(J441&lt;0,"Saldo negativo: revisa",IFERROR(IF(J441&lt;=INDEX(Productos!$D$5:$D$104,MATCH(B441,Productos!$A$5:$A$104,0)),"En el mínimo o por debajo",""),"")))</f>
      </c>
      <c r="L441" s="13"/>
    </row>
    <row r="442" spans="1:12" x14ac:dyDescent="0.25">
      <c r="A442" s="16"/>
      <c r="B442" s="13"/>
      <c r="C442" s="12">
        <f>IF(B442="","",IFERROR(INDEX(Productos!$B$5:$B$104,MATCH(B442,Productos!$A$5:$A$104,0)),"Código no encontrado"))</f>
      </c>
      <c r="D442" s="13"/>
      <c r="E442" s="17"/>
      <c r="F442" s="13"/>
      <c r="G442" s="16"/>
      <c r="H442" s="13"/>
      <c r="I442" s="13"/>
      <c r="J442" s="11">
        <f>IF(OR(B442="",E442=""),"",SUMIFS($E$5:$E442,$B$5:$B442,B442,$D$5:$D442,"Entrada")-SUMIFS($E$5:$E442,$B$5:$B442,B442,$D$5:$D442,"Salida"))</f>
      </c>
      <c r="K442" s="12">
        <f>IF(J442="","",IF(J442&lt;0,"Saldo negativo: revisa",IFERROR(IF(J442&lt;=INDEX(Productos!$D$5:$D$104,MATCH(B442,Productos!$A$5:$A$104,0)),"En el mínimo o por debajo",""),"")))</f>
      </c>
      <c r="L442" s="13"/>
    </row>
    <row r="443" spans="1:12" x14ac:dyDescent="0.25">
      <c r="A443" s="16"/>
      <c r="B443" s="13"/>
      <c r="C443" s="12">
        <f>IF(B443="","",IFERROR(INDEX(Productos!$B$5:$B$104,MATCH(B443,Productos!$A$5:$A$104,0)),"Código no encontrado"))</f>
      </c>
      <c r="D443" s="13"/>
      <c r="E443" s="17"/>
      <c r="F443" s="13"/>
      <c r="G443" s="16"/>
      <c r="H443" s="13"/>
      <c r="I443" s="13"/>
      <c r="J443" s="11">
        <f>IF(OR(B443="",E443=""),"",SUMIFS($E$5:$E443,$B$5:$B443,B443,$D$5:$D443,"Entrada")-SUMIFS($E$5:$E443,$B$5:$B443,B443,$D$5:$D443,"Salida"))</f>
      </c>
      <c r="K443" s="12">
        <f>IF(J443="","",IF(J443&lt;0,"Saldo negativo: revisa",IFERROR(IF(J443&lt;=INDEX(Productos!$D$5:$D$104,MATCH(B443,Productos!$A$5:$A$104,0)),"En el mínimo o por debajo",""),"")))</f>
      </c>
      <c r="L443" s="13"/>
    </row>
    <row r="444" spans="1:12" x14ac:dyDescent="0.25">
      <c r="A444" s="16"/>
      <c r="B444" s="13"/>
      <c r="C444" s="12">
        <f>IF(B444="","",IFERROR(INDEX(Productos!$B$5:$B$104,MATCH(B444,Productos!$A$5:$A$104,0)),"Código no encontrado"))</f>
      </c>
      <c r="D444" s="13"/>
      <c r="E444" s="17"/>
      <c r="F444" s="13"/>
      <c r="G444" s="16"/>
      <c r="H444" s="13"/>
      <c r="I444" s="13"/>
      <c r="J444" s="11">
        <f>IF(OR(B444="",E444=""),"",SUMIFS($E$5:$E444,$B$5:$B444,B444,$D$5:$D444,"Entrada")-SUMIFS($E$5:$E444,$B$5:$B444,B444,$D$5:$D444,"Salida"))</f>
      </c>
      <c r="K444" s="12">
        <f>IF(J444="","",IF(J444&lt;0,"Saldo negativo: revisa",IFERROR(IF(J444&lt;=INDEX(Productos!$D$5:$D$104,MATCH(B444,Productos!$A$5:$A$104,0)),"En el mínimo o por debajo",""),"")))</f>
      </c>
      <c r="L444" s="13"/>
    </row>
    <row r="445" spans="1:12" x14ac:dyDescent="0.25">
      <c r="A445" s="16"/>
      <c r="B445" s="13"/>
      <c r="C445" s="12">
        <f>IF(B445="","",IFERROR(INDEX(Productos!$B$5:$B$104,MATCH(B445,Productos!$A$5:$A$104,0)),"Código no encontrado"))</f>
      </c>
      <c r="D445" s="13"/>
      <c r="E445" s="17"/>
      <c r="F445" s="13"/>
      <c r="G445" s="16"/>
      <c r="H445" s="13"/>
      <c r="I445" s="13"/>
      <c r="J445" s="11">
        <f>IF(OR(B445="",E445=""),"",SUMIFS($E$5:$E445,$B$5:$B445,B445,$D$5:$D445,"Entrada")-SUMIFS($E$5:$E445,$B$5:$B445,B445,$D$5:$D445,"Salida"))</f>
      </c>
      <c r="K445" s="12">
        <f>IF(J445="","",IF(J445&lt;0,"Saldo negativo: revisa",IFERROR(IF(J445&lt;=INDEX(Productos!$D$5:$D$104,MATCH(B445,Productos!$A$5:$A$104,0)),"En el mínimo o por debajo",""),"")))</f>
      </c>
      <c r="L445" s="13"/>
    </row>
    <row r="446" spans="1:12" x14ac:dyDescent="0.25">
      <c r="A446" s="16"/>
      <c r="B446" s="13"/>
      <c r="C446" s="12">
        <f>IF(B446="","",IFERROR(INDEX(Productos!$B$5:$B$104,MATCH(B446,Productos!$A$5:$A$104,0)),"Código no encontrado"))</f>
      </c>
      <c r="D446" s="13"/>
      <c r="E446" s="17"/>
      <c r="F446" s="13"/>
      <c r="G446" s="16"/>
      <c r="H446" s="13"/>
      <c r="I446" s="13"/>
      <c r="J446" s="11">
        <f>IF(OR(B446="",E446=""),"",SUMIFS($E$5:$E446,$B$5:$B446,B446,$D$5:$D446,"Entrada")-SUMIFS($E$5:$E446,$B$5:$B446,B446,$D$5:$D446,"Salida"))</f>
      </c>
      <c r="K446" s="12">
        <f>IF(J446="","",IF(J446&lt;0,"Saldo negativo: revisa",IFERROR(IF(J446&lt;=INDEX(Productos!$D$5:$D$104,MATCH(B446,Productos!$A$5:$A$104,0)),"En el mínimo o por debajo",""),"")))</f>
      </c>
      <c r="L446" s="13"/>
    </row>
    <row r="447" spans="1:12" x14ac:dyDescent="0.25">
      <c r="A447" s="16"/>
      <c r="B447" s="13"/>
      <c r="C447" s="12">
        <f>IF(B447="","",IFERROR(INDEX(Productos!$B$5:$B$104,MATCH(B447,Productos!$A$5:$A$104,0)),"Código no encontrado"))</f>
      </c>
      <c r="D447" s="13"/>
      <c r="E447" s="17"/>
      <c r="F447" s="13"/>
      <c r="G447" s="16"/>
      <c r="H447" s="13"/>
      <c r="I447" s="13"/>
      <c r="J447" s="11">
        <f>IF(OR(B447="",E447=""),"",SUMIFS($E$5:$E447,$B$5:$B447,B447,$D$5:$D447,"Entrada")-SUMIFS($E$5:$E447,$B$5:$B447,B447,$D$5:$D447,"Salida"))</f>
      </c>
      <c r="K447" s="12">
        <f>IF(J447="","",IF(J447&lt;0,"Saldo negativo: revisa",IFERROR(IF(J447&lt;=INDEX(Productos!$D$5:$D$104,MATCH(B447,Productos!$A$5:$A$104,0)),"En el mínimo o por debajo",""),"")))</f>
      </c>
      <c r="L447" s="13"/>
    </row>
    <row r="448" spans="1:12" x14ac:dyDescent="0.25">
      <c r="A448" s="16"/>
      <c r="B448" s="13"/>
      <c r="C448" s="12">
        <f>IF(B448="","",IFERROR(INDEX(Productos!$B$5:$B$104,MATCH(B448,Productos!$A$5:$A$104,0)),"Código no encontrado"))</f>
      </c>
      <c r="D448" s="13"/>
      <c r="E448" s="17"/>
      <c r="F448" s="13"/>
      <c r="G448" s="16"/>
      <c r="H448" s="13"/>
      <c r="I448" s="13"/>
      <c r="J448" s="11">
        <f>IF(OR(B448="",E448=""),"",SUMIFS($E$5:$E448,$B$5:$B448,B448,$D$5:$D448,"Entrada")-SUMIFS($E$5:$E448,$B$5:$B448,B448,$D$5:$D448,"Salida"))</f>
      </c>
      <c r="K448" s="12">
        <f>IF(J448="","",IF(J448&lt;0,"Saldo negativo: revisa",IFERROR(IF(J448&lt;=INDEX(Productos!$D$5:$D$104,MATCH(B448,Productos!$A$5:$A$104,0)),"En el mínimo o por debajo",""),"")))</f>
      </c>
      <c r="L448" s="13"/>
    </row>
    <row r="449" spans="1:12" x14ac:dyDescent="0.25">
      <c r="A449" s="16"/>
      <c r="B449" s="13"/>
      <c r="C449" s="12">
        <f>IF(B449="","",IFERROR(INDEX(Productos!$B$5:$B$104,MATCH(B449,Productos!$A$5:$A$104,0)),"Código no encontrado"))</f>
      </c>
      <c r="D449" s="13"/>
      <c r="E449" s="17"/>
      <c r="F449" s="13"/>
      <c r="G449" s="16"/>
      <c r="H449" s="13"/>
      <c r="I449" s="13"/>
      <c r="J449" s="11">
        <f>IF(OR(B449="",E449=""),"",SUMIFS($E$5:$E449,$B$5:$B449,B449,$D$5:$D449,"Entrada")-SUMIFS($E$5:$E449,$B$5:$B449,B449,$D$5:$D449,"Salida"))</f>
      </c>
      <c r="K449" s="12">
        <f>IF(J449="","",IF(J449&lt;0,"Saldo negativo: revisa",IFERROR(IF(J449&lt;=INDEX(Productos!$D$5:$D$104,MATCH(B449,Productos!$A$5:$A$104,0)),"En el mínimo o por debajo",""),"")))</f>
      </c>
      <c r="L449" s="13"/>
    </row>
    <row r="450" spans="1:12" x14ac:dyDescent="0.25">
      <c r="A450" s="16"/>
      <c r="B450" s="13"/>
      <c r="C450" s="12">
        <f>IF(B450="","",IFERROR(INDEX(Productos!$B$5:$B$104,MATCH(B450,Productos!$A$5:$A$104,0)),"Código no encontrado"))</f>
      </c>
      <c r="D450" s="13"/>
      <c r="E450" s="17"/>
      <c r="F450" s="13"/>
      <c r="G450" s="16"/>
      <c r="H450" s="13"/>
      <c r="I450" s="13"/>
      <c r="J450" s="11">
        <f>IF(OR(B450="",E450=""),"",SUMIFS($E$5:$E450,$B$5:$B450,B450,$D$5:$D450,"Entrada")-SUMIFS($E$5:$E450,$B$5:$B450,B450,$D$5:$D450,"Salida"))</f>
      </c>
      <c r="K450" s="12">
        <f>IF(J450="","",IF(J450&lt;0,"Saldo negativo: revisa",IFERROR(IF(J450&lt;=INDEX(Productos!$D$5:$D$104,MATCH(B450,Productos!$A$5:$A$104,0)),"En el mínimo o por debajo",""),"")))</f>
      </c>
      <c r="L450" s="13"/>
    </row>
    <row r="451" spans="1:12" x14ac:dyDescent="0.25">
      <c r="A451" s="16"/>
      <c r="B451" s="13"/>
      <c r="C451" s="12">
        <f>IF(B451="","",IFERROR(INDEX(Productos!$B$5:$B$104,MATCH(B451,Productos!$A$5:$A$104,0)),"Código no encontrado"))</f>
      </c>
      <c r="D451" s="13"/>
      <c r="E451" s="17"/>
      <c r="F451" s="13"/>
      <c r="G451" s="16"/>
      <c r="H451" s="13"/>
      <c r="I451" s="13"/>
      <c r="J451" s="11">
        <f>IF(OR(B451="",E451=""),"",SUMIFS($E$5:$E451,$B$5:$B451,B451,$D$5:$D451,"Entrada")-SUMIFS($E$5:$E451,$B$5:$B451,B451,$D$5:$D451,"Salida"))</f>
      </c>
      <c r="K451" s="12">
        <f>IF(J451="","",IF(J451&lt;0,"Saldo negativo: revisa",IFERROR(IF(J451&lt;=INDEX(Productos!$D$5:$D$104,MATCH(B451,Productos!$A$5:$A$104,0)),"En el mínimo o por debajo",""),"")))</f>
      </c>
      <c r="L451" s="13"/>
    </row>
    <row r="452" spans="1:12" x14ac:dyDescent="0.25">
      <c r="A452" s="16"/>
      <c r="B452" s="13"/>
      <c r="C452" s="12">
        <f>IF(B452="","",IFERROR(INDEX(Productos!$B$5:$B$104,MATCH(B452,Productos!$A$5:$A$104,0)),"Código no encontrado"))</f>
      </c>
      <c r="D452" s="13"/>
      <c r="E452" s="17"/>
      <c r="F452" s="13"/>
      <c r="G452" s="16"/>
      <c r="H452" s="13"/>
      <c r="I452" s="13"/>
      <c r="J452" s="11">
        <f>IF(OR(B452="",E452=""),"",SUMIFS($E$5:$E452,$B$5:$B452,B452,$D$5:$D452,"Entrada")-SUMIFS($E$5:$E452,$B$5:$B452,B452,$D$5:$D452,"Salida"))</f>
      </c>
      <c r="K452" s="12">
        <f>IF(J452="","",IF(J452&lt;0,"Saldo negativo: revisa",IFERROR(IF(J452&lt;=INDEX(Productos!$D$5:$D$104,MATCH(B452,Productos!$A$5:$A$104,0)),"En el mínimo o por debajo",""),"")))</f>
      </c>
      <c r="L452" s="13"/>
    </row>
    <row r="453" spans="1:12" x14ac:dyDescent="0.25">
      <c r="A453" s="16"/>
      <c r="B453" s="13"/>
      <c r="C453" s="12">
        <f>IF(B453="","",IFERROR(INDEX(Productos!$B$5:$B$104,MATCH(B453,Productos!$A$5:$A$104,0)),"Código no encontrado"))</f>
      </c>
      <c r="D453" s="13"/>
      <c r="E453" s="17"/>
      <c r="F453" s="13"/>
      <c r="G453" s="16"/>
      <c r="H453" s="13"/>
      <c r="I453" s="13"/>
      <c r="J453" s="11">
        <f>IF(OR(B453="",E453=""),"",SUMIFS($E$5:$E453,$B$5:$B453,B453,$D$5:$D453,"Entrada")-SUMIFS($E$5:$E453,$B$5:$B453,B453,$D$5:$D453,"Salida"))</f>
      </c>
      <c r="K453" s="12">
        <f>IF(J453="","",IF(J453&lt;0,"Saldo negativo: revisa",IFERROR(IF(J453&lt;=INDEX(Productos!$D$5:$D$104,MATCH(B453,Productos!$A$5:$A$104,0)),"En el mínimo o por debajo",""),"")))</f>
      </c>
      <c r="L453" s="13"/>
    </row>
    <row r="454" spans="1:12" x14ac:dyDescent="0.25">
      <c r="A454" s="16"/>
      <c r="B454" s="13"/>
      <c r="C454" s="12">
        <f>IF(B454="","",IFERROR(INDEX(Productos!$B$5:$B$104,MATCH(B454,Productos!$A$5:$A$104,0)),"Código no encontrado"))</f>
      </c>
      <c r="D454" s="13"/>
      <c r="E454" s="17"/>
      <c r="F454" s="13"/>
      <c r="G454" s="16"/>
      <c r="H454" s="13"/>
      <c r="I454" s="13"/>
      <c r="J454" s="11">
        <f>IF(OR(B454="",E454=""),"",SUMIFS($E$5:$E454,$B$5:$B454,B454,$D$5:$D454,"Entrada")-SUMIFS($E$5:$E454,$B$5:$B454,B454,$D$5:$D454,"Salida"))</f>
      </c>
      <c r="K454" s="12">
        <f>IF(J454="","",IF(J454&lt;0,"Saldo negativo: revisa",IFERROR(IF(J454&lt;=INDEX(Productos!$D$5:$D$104,MATCH(B454,Productos!$A$5:$A$104,0)),"En el mínimo o por debajo",""),"")))</f>
      </c>
      <c r="L454" s="13"/>
    </row>
    <row r="455" spans="1:12" x14ac:dyDescent="0.25">
      <c r="A455" s="16"/>
      <c r="B455" s="13"/>
      <c r="C455" s="12">
        <f>IF(B455="","",IFERROR(INDEX(Productos!$B$5:$B$104,MATCH(B455,Productos!$A$5:$A$104,0)),"Código no encontrado"))</f>
      </c>
      <c r="D455" s="13"/>
      <c r="E455" s="17"/>
      <c r="F455" s="13"/>
      <c r="G455" s="16"/>
      <c r="H455" s="13"/>
      <c r="I455" s="13"/>
      <c r="J455" s="11">
        <f>IF(OR(B455="",E455=""),"",SUMIFS($E$5:$E455,$B$5:$B455,B455,$D$5:$D455,"Entrada")-SUMIFS($E$5:$E455,$B$5:$B455,B455,$D$5:$D455,"Salida"))</f>
      </c>
      <c r="K455" s="12">
        <f>IF(J455="","",IF(J455&lt;0,"Saldo negativo: revisa",IFERROR(IF(J455&lt;=INDEX(Productos!$D$5:$D$104,MATCH(B455,Productos!$A$5:$A$104,0)),"En el mínimo o por debajo",""),"")))</f>
      </c>
      <c r="L455" s="13"/>
    </row>
    <row r="456" spans="1:12" x14ac:dyDescent="0.25">
      <c r="A456" s="16"/>
      <c r="B456" s="13"/>
      <c r="C456" s="12">
        <f>IF(B456="","",IFERROR(INDEX(Productos!$B$5:$B$104,MATCH(B456,Productos!$A$5:$A$104,0)),"Código no encontrado"))</f>
      </c>
      <c r="D456" s="13"/>
      <c r="E456" s="17"/>
      <c r="F456" s="13"/>
      <c r="G456" s="16"/>
      <c r="H456" s="13"/>
      <c r="I456" s="13"/>
      <c r="J456" s="11">
        <f>IF(OR(B456="",E456=""),"",SUMIFS($E$5:$E456,$B$5:$B456,B456,$D$5:$D456,"Entrada")-SUMIFS($E$5:$E456,$B$5:$B456,B456,$D$5:$D456,"Salida"))</f>
      </c>
      <c r="K456" s="12">
        <f>IF(J456="","",IF(J456&lt;0,"Saldo negativo: revisa",IFERROR(IF(J456&lt;=INDEX(Productos!$D$5:$D$104,MATCH(B456,Productos!$A$5:$A$104,0)),"En el mínimo o por debajo",""),"")))</f>
      </c>
      <c r="L456" s="13"/>
    </row>
    <row r="457" spans="1:12" x14ac:dyDescent="0.25">
      <c r="A457" s="16"/>
      <c r="B457" s="13"/>
      <c r="C457" s="12">
        <f>IF(B457="","",IFERROR(INDEX(Productos!$B$5:$B$104,MATCH(B457,Productos!$A$5:$A$104,0)),"Código no encontrado"))</f>
      </c>
      <c r="D457" s="13"/>
      <c r="E457" s="17"/>
      <c r="F457" s="13"/>
      <c r="G457" s="16"/>
      <c r="H457" s="13"/>
      <c r="I457" s="13"/>
      <c r="J457" s="11">
        <f>IF(OR(B457="",E457=""),"",SUMIFS($E$5:$E457,$B$5:$B457,B457,$D$5:$D457,"Entrada")-SUMIFS($E$5:$E457,$B$5:$B457,B457,$D$5:$D457,"Salida"))</f>
      </c>
      <c r="K457" s="12">
        <f>IF(J457="","",IF(J457&lt;0,"Saldo negativo: revisa",IFERROR(IF(J457&lt;=INDEX(Productos!$D$5:$D$104,MATCH(B457,Productos!$A$5:$A$104,0)),"En el mínimo o por debajo",""),"")))</f>
      </c>
      <c r="L457" s="13"/>
    </row>
    <row r="458" spans="1:12" x14ac:dyDescent="0.25">
      <c r="A458" s="16"/>
      <c r="B458" s="13"/>
      <c r="C458" s="12">
        <f>IF(B458="","",IFERROR(INDEX(Productos!$B$5:$B$104,MATCH(B458,Productos!$A$5:$A$104,0)),"Código no encontrado"))</f>
      </c>
      <c r="D458" s="13"/>
      <c r="E458" s="17"/>
      <c r="F458" s="13"/>
      <c r="G458" s="16"/>
      <c r="H458" s="13"/>
      <c r="I458" s="13"/>
      <c r="J458" s="11">
        <f>IF(OR(B458="",E458=""),"",SUMIFS($E$5:$E458,$B$5:$B458,B458,$D$5:$D458,"Entrada")-SUMIFS($E$5:$E458,$B$5:$B458,B458,$D$5:$D458,"Salida"))</f>
      </c>
      <c r="K458" s="12">
        <f>IF(J458="","",IF(J458&lt;0,"Saldo negativo: revisa",IFERROR(IF(J458&lt;=INDEX(Productos!$D$5:$D$104,MATCH(B458,Productos!$A$5:$A$104,0)),"En el mínimo o por debajo",""),"")))</f>
      </c>
      <c r="L458" s="13"/>
    </row>
    <row r="459" spans="1:12" x14ac:dyDescent="0.25">
      <c r="A459" s="16"/>
      <c r="B459" s="13"/>
      <c r="C459" s="12">
        <f>IF(B459="","",IFERROR(INDEX(Productos!$B$5:$B$104,MATCH(B459,Productos!$A$5:$A$104,0)),"Código no encontrado"))</f>
      </c>
      <c r="D459" s="13"/>
      <c r="E459" s="17"/>
      <c r="F459" s="13"/>
      <c r="G459" s="16"/>
      <c r="H459" s="13"/>
      <c r="I459" s="13"/>
      <c r="J459" s="11">
        <f>IF(OR(B459="",E459=""),"",SUMIFS($E$5:$E459,$B$5:$B459,B459,$D$5:$D459,"Entrada")-SUMIFS($E$5:$E459,$B$5:$B459,B459,$D$5:$D459,"Salida"))</f>
      </c>
      <c r="K459" s="12">
        <f>IF(J459="","",IF(J459&lt;0,"Saldo negativo: revisa",IFERROR(IF(J459&lt;=INDEX(Productos!$D$5:$D$104,MATCH(B459,Productos!$A$5:$A$104,0)),"En el mínimo o por debajo",""),"")))</f>
      </c>
      <c r="L459" s="13"/>
    </row>
    <row r="460" spans="1:12" x14ac:dyDescent="0.25">
      <c r="A460" s="16"/>
      <c r="B460" s="13"/>
      <c r="C460" s="12">
        <f>IF(B460="","",IFERROR(INDEX(Productos!$B$5:$B$104,MATCH(B460,Productos!$A$5:$A$104,0)),"Código no encontrado"))</f>
      </c>
      <c r="D460" s="13"/>
      <c r="E460" s="17"/>
      <c r="F460" s="13"/>
      <c r="G460" s="16"/>
      <c r="H460" s="13"/>
      <c r="I460" s="13"/>
      <c r="J460" s="11">
        <f>IF(OR(B460="",E460=""),"",SUMIFS($E$5:$E460,$B$5:$B460,B460,$D$5:$D460,"Entrada")-SUMIFS($E$5:$E460,$B$5:$B460,B460,$D$5:$D460,"Salida"))</f>
      </c>
      <c r="K460" s="12">
        <f>IF(J460="","",IF(J460&lt;0,"Saldo negativo: revisa",IFERROR(IF(J460&lt;=INDEX(Productos!$D$5:$D$104,MATCH(B460,Productos!$A$5:$A$104,0)),"En el mínimo o por debajo",""),"")))</f>
      </c>
      <c r="L460" s="13"/>
    </row>
    <row r="461" spans="1:12" x14ac:dyDescent="0.25">
      <c r="A461" s="16"/>
      <c r="B461" s="13"/>
      <c r="C461" s="12">
        <f>IF(B461="","",IFERROR(INDEX(Productos!$B$5:$B$104,MATCH(B461,Productos!$A$5:$A$104,0)),"Código no encontrado"))</f>
      </c>
      <c r="D461" s="13"/>
      <c r="E461" s="17"/>
      <c r="F461" s="13"/>
      <c r="G461" s="16"/>
      <c r="H461" s="13"/>
      <c r="I461" s="13"/>
      <c r="J461" s="11">
        <f>IF(OR(B461="",E461=""),"",SUMIFS($E$5:$E461,$B$5:$B461,B461,$D$5:$D461,"Entrada")-SUMIFS($E$5:$E461,$B$5:$B461,B461,$D$5:$D461,"Salida"))</f>
      </c>
      <c r="K461" s="12">
        <f>IF(J461="","",IF(J461&lt;0,"Saldo negativo: revisa",IFERROR(IF(J461&lt;=INDEX(Productos!$D$5:$D$104,MATCH(B461,Productos!$A$5:$A$104,0)),"En el mínimo o por debajo",""),"")))</f>
      </c>
      <c r="L461" s="13"/>
    </row>
    <row r="462" spans="1:12" x14ac:dyDescent="0.25">
      <c r="A462" s="16"/>
      <c r="B462" s="13"/>
      <c r="C462" s="12">
        <f>IF(B462="","",IFERROR(INDEX(Productos!$B$5:$B$104,MATCH(B462,Productos!$A$5:$A$104,0)),"Código no encontrado"))</f>
      </c>
      <c r="D462" s="13"/>
      <c r="E462" s="17"/>
      <c r="F462" s="13"/>
      <c r="G462" s="16"/>
      <c r="H462" s="13"/>
      <c r="I462" s="13"/>
      <c r="J462" s="11">
        <f>IF(OR(B462="",E462=""),"",SUMIFS($E$5:$E462,$B$5:$B462,B462,$D$5:$D462,"Entrada")-SUMIFS($E$5:$E462,$B$5:$B462,B462,$D$5:$D462,"Salida"))</f>
      </c>
      <c r="K462" s="12">
        <f>IF(J462="","",IF(J462&lt;0,"Saldo negativo: revisa",IFERROR(IF(J462&lt;=INDEX(Productos!$D$5:$D$104,MATCH(B462,Productos!$A$5:$A$104,0)),"En el mínimo o por debajo",""),"")))</f>
      </c>
      <c r="L462" s="13"/>
    </row>
    <row r="463" spans="1:12" x14ac:dyDescent="0.25">
      <c r="A463" s="16"/>
      <c r="B463" s="13"/>
      <c r="C463" s="12">
        <f>IF(B463="","",IFERROR(INDEX(Productos!$B$5:$B$104,MATCH(B463,Productos!$A$5:$A$104,0)),"Código no encontrado"))</f>
      </c>
      <c r="D463" s="13"/>
      <c r="E463" s="17"/>
      <c r="F463" s="13"/>
      <c r="G463" s="16"/>
      <c r="H463" s="13"/>
      <c r="I463" s="13"/>
      <c r="J463" s="11">
        <f>IF(OR(B463="",E463=""),"",SUMIFS($E$5:$E463,$B$5:$B463,B463,$D$5:$D463,"Entrada")-SUMIFS($E$5:$E463,$B$5:$B463,B463,$D$5:$D463,"Salida"))</f>
      </c>
      <c r="K463" s="12">
        <f>IF(J463="","",IF(J463&lt;0,"Saldo negativo: revisa",IFERROR(IF(J463&lt;=INDEX(Productos!$D$5:$D$104,MATCH(B463,Productos!$A$5:$A$104,0)),"En el mínimo o por debajo",""),"")))</f>
      </c>
      <c r="L463" s="13"/>
    </row>
    <row r="464" spans="1:12" x14ac:dyDescent="0.25">
      <c r="A464" s="16"/>
      <c r="B464" s="13"/>
      <c r="C464" s="12">
        <f>IF(B464="","",IFERROR(INDEX(Productos!$B$5:$B$104,MATCH(B464,Productos!$A$5:$A$104,0)),"Código no encontrado"))</f>
      </c>
      <c r="D464" s="13"/>
      <c r="E464" s="17"/>
      <c r="F464" s="13"/>
      <c r="G464" s="16"/>
      <c r="H464" s="13"/>
      <c r="I464" s="13"/>
      <c r="J464" s="11">
        <f>IF(OR(B464="",E464=""),"",SUMIFS($E$5:$E464,$B$5:$B464,B464,$D$5:$D464,"Entrada")-SUMIFS($E$5:$E464,$B$5:$B464,B464,$D$5:$D464,"Salida"))</f>
      </c>
      <c r="K464" s="12">
        <f>IF(J464="","",IF(J464&lt;0,"Saldo negativo: revisa",IFERROR(IF(J464&lt;=INDEX(Productos!$D$5:$D$104,MATCH(B464,Productos!$A$5:$A$104,0)),"En el mínimo o por debajo",""),"")))</f>
      </c>
      <c r="L464" s="13"/>
    </row>
    <row r="465" spans="1:12" x14ac:dyDescent="0.25">
      <c r="A465" s="16"/>
      <c r="B465" s="13"/>
      <c r="C465" s="12">
        <f>IF(B465="","",IFERROR(INDEX(Productos!$B$5:$B$104,MATCH(B465,Productos!$A$5:$A$104,0)),"Código no encontrado"))</f>
      </c>
      <c r="D465" s="13"/>
      <c r="E465" s="17"/>
      <c r="F465" s="13"/>
      <c r="G465" s="16"/>
      <c r="H465" s="13"/>
      <c r="I465" s="13"/>
      <c r="J465" s="11">
        <f>IF(OR(B465="",E465=""),"",SUMIFS($E$5:$E465,$B$5:$B465,B465,$D$5:$D465,"Entrada")-SUMIFS($E$5:$E465,$B$5:$B465,B465,$D$5:$D465,"Salida"))</f>
      </c>
      <c r="K465" s="12">
        <f>IF(J465="","",IF(J465&lt;0,"Saldo negativo: revisa",IFERROR(IF(J465&lt;=INDEX(Productos!$D$5:$D$104,MATCH(B465,Productos!$A$5:$A$104,0)),"En el mínimo o por debajo",""),"")))</f>
      </c>
      <c r="L465" s="13"/>
    </row>
    <row r="466" spans="1:12" x14ac:dyDescent="0.25">
      <c r="A466" s="16"/>
      <c r="B466" s="13"/>
      <c r="C466" s="12">
        <f>IF(B466="","",IFERROR(INDEX(Productos!$B$5:$B$104,MATCH(B466,Productos!$A$5:$A$104,0)),"Código no encontrado"))</f>
      </c>
      <c r="D466" s="13"/>
      <c r="E466" s="17"/>
      <c r="F466" s="13"/>
      <c r="G466" s="16"/>
      <c r="H466" s="13"/>
      <c r="I466" s="13"/>
      <c r="J466" s="11">
        <f>IF(OR(B466="",E466=""),"",SUMIFS($E$5:$E466,$B$5:$B466,B466,$D$5:$D466,"Entrada")-SUMIFS($E$5:$E466,$B$5:$B466,B466,$D$5:$D466,"Salida"))</f>
      </c>
      <c r="K466" s="12">
        <f>IF(J466="","",IF(J466&lt;0,"Saldo negativo: revisa",IFERROR(IF(J466&lt;=INDEX(Productos!$D$5:$D$104,MATCH(B466,Productos!$A$5:$A$104,0)),"En el mínimo o por debajo",""),"")))</f>
      </c>
      <c r="L466" s="13"/>
    </row>
    <row r="467" spans="1:12" x14ac:dyDescent="0.25">
      <c r="A467" s="16"/>
      <c r="B467" s="13"/>
      <c r="C467" s="12">
        <f>IF(B467="","",IFERROR(INDEX(Productos!$B$5:$B$104,MATCH(B467,Productos!$A$5:$A$104,0)),"Código no encontrado"))</f>
      </c>
      <c r="D467" s="13"/>
      <c r="E467" s="17"/>
      <c r="F467" s="13"/>
      <c r="G467" s="16"/>
      <c r="H467" s="13"/>
      <c r="I467" s="13"/>
      <c r="J467" s="11">
        <f>IF(OR(B467="",E467=""),"",SUMIFS($E$5:$E467,$B$5:$B467,B467,$D$5:$D467,"Entrada")-SUMIFS($E$5:$E467,$B$5:$B467,B467,$D$5:$D467,"Salida"))</f>
      </c>
      <c r="K467" s="12">
        <f>IF(J467="","",IF(J467&lt;0,"Saldo negativo: revisa",IFERROR(IF(J467&lt;=INDEX(Productos!$D$5:$D$104,MATCH(B467,Productos!$A$5:$A$104,0)),"En el mínimo o por debajo",""),"")))</f>
      </c>
      <c r="L467" s="13"/>
    </row>
    <row r="468" spans="1:12" x14ac:dyDescent="0.25">
      <c r="A468" s="16"/>
      <c r="B468" s="13"/>
      <c r="C468" s="12">
        <f>IF(B468="","",IFERROR(INDEX(Productos!$B$5:$B$104,MATCH(B468,Productos!$A$5:$A$104,0)),"Código no encontrado"))</f>
      </c>
      <c r="D468" s="13"/>
      <c r="E468" s="17"/>
      <c r="F468" s="13"/>
      <c r="G468" s="16"/>
      <c r="H468" s="13"/>
      <c r="I468" s="13"/>
      <c r="J468" s="11">
        <f>IF(OR(B468="",E468=""),"",SUMIFS($E$5:$E468,$B$5:$B468,B468,$D$5:$D468,"Entrada")-SUMIFS($E$5:$E468,$B$5:$B468,B468,$D$5:$D468,"Salida"))</f>
      </c>
      <c r="K468" s="12">
        <f>IF(J468="","",IF(J468&lt;0,"Saldo negativo: revisa",IFERROR(IF(J468&lt;=INDEX(Productos!$D$5:$D$104,MATCH(B468,Productos!$A$5:$A$104,0)),"En el mínimo o por debajo",""),"")))</f>
      </c>
      <c r="L468" s="13"/>
    </row>
    <row r="469" spans="1:12" x14ac:dyDescent="0.25">
      <c r="A469" s="16"/>
      <c r="B469" s="13"/>
      <c r="C469" s="12">
        <f>IF(B469="","",IFERROR(INDEX(Productos!$B$5:$B$104,MATCH(B469,Productos!$A$5:$A$104,0)),"Código no encontrado"))</f>
      </c>
      <c r="D469" s="13"/>
      <c r="E469" s="17"/>
      <c r="F469" s="13"/>
      <c r="G469" s="16"/>
      <c r="H469" s="13"/>
      <c r="I469" s="13"/>
      <c r="J469" s="11">
        <f>IF(OR(B469="",E469=""),"",SUMIFS($E$5:$E469,$B$5:$B469,B469,$D$5:$D469,"Entrada")-SUMIFS($E$5:$E469,$B$5:$B469,B469,$D$5:$D469,"Salida"))</f>
      </c>
      <c r="K469" s="12">
        <f>IF(J469="","",IF(J469&lt;0,"Saldo negativo: revisa",IFERROR(IF(J469&lt;=INDEX(Productos!$D$5:$D$104,MATCH(B469,Productos!$A$5:$A$104,0)),"En el mínimo o por debajo",""),"")))</f>
      </c>
      <c r="L469" s="13"/>
    </row>
    <row r="470" spans="1:12" x14ac:dyDescent="0.25">
      <c r="A470" s="16"/>
      <c r="B470" s="13"/>
      <c r="C470" s="12">
        <f>IF(B470="","",IFERROR(INDEX(Productos!$B$5:$B$104,MATCH(B470,Productos!$A$5:$A$104,0)),"Código no encontrado"))</f>
      </c>
      <c r="D470" s="13"/>
      <c r="E470" s="17"/>
      <c r="F470" s="13"/>
      <c r="G470" s="16"/>
      <c r="H470" s="13"/>
      <c r="I470" s="13"/>
      <c r="J470" s="11">
        <f>IF(OR(B470="",E470=""),"",SUMIFS($E$5:$E470,$B$5:$B470,B470,$D$5:$D470,"Entrada")-SUMIFS($E$5:$E470,$B$5:$B470,B470,$D$5:$D470,"Salida"))</f>
      </c>
      <c r="K470" s="12">
        <f>IF(J470="","",IF(J470&lt;0,"Saldo negativo: revisa",IFERROR(IF(J470&lt;=INDEX(Productos!$D$5:$D$104,MATCH(B470,Productos!$A$5:$A$104,0)),"En el mínimo o por debajo",""),"")))</f>
      </c>
      <c r="L470" s="13"/>
    </row>
    <row r="471" spans="1:12" x14ac:dyDescent="0.25">
      <c r="A471" s="16"/>
      <c r="B471" s="13"/>
      <c r="C471" s="12">
        <f>IF(B471="","",IFERROR(INDEX(Productos!$B$5:$B$104,MATCH(B471,Productos!$A$5:$A$104,0)),"Código no encontrado"))</f>
      </c>
      <c r="D471" s="13"/>
      <c r="E471" s="17"/>
      <c r="F471" s="13"/>
      <c r="G471" s="16"/>
      <c r="H471" s="13"/>
      <c r="I471" s="13"/>
      <c r="J471" s="11">
        <f>IF(OR(B471="",E471=""),"",SUMIFS($E$5:$E471,$B$5:$B471,B471,$D$5:$D471,"Entrada")-SUMIFS($E$5:$E471,$B$5:$B471,B471,$D$5:$D471,"Salida"))</f>
      </c>
      <c r="K471" s="12">
        <f>IF(J471="","",IF(J471&lt;0,"Saldo negativo: revisa",IFERROR(IF(J471&lt;=INDEX(Productos!$D$5:$D$104,MATCH(B471,Productos!$A$5:$A$104,0)),"En el mínimo o por debajo",""),"")))</f>
      </c>
      <c r="L471" s="13"/>
    </row>
    <row r="472" spans="1:12" x14ac:dyDescent="0.25">
      <c r="A472" s="16"/>
      <c r="B472" s="13"/>
      <c r="C472" s="12">
        <f>IF(B472="","",IFERROR(INDEX(Productos!$B$5:$B$104,MATCH(B472,Productos!$A$5:$A$104,0)),"Código no encontrado"))</f>
      </c>
      <c r="D472" s="13"/>
      <c r="E472" s="17"/>
      <c r="F472" s="13"/>
      <c r="G472" s="16"/>
      <c r="H472" s="13"/>
      <c r="I472" s="13"/>
      <c r="J472" s="11">
        <f>IF(OR(B472="",E472=""),"",SUMIFS($E$5:$E472,$B$5:$B472,B472,$D$5:$D472,"Entrada")-SUMIFS($E$5:$E472,$B$5:$B472,B472,$D$5:$D472,"Salida"))</f>
      </c>
      <c r="K472" s="12">
        <f>IF(J472="","",IF(J472&lt;0,"Saldo negativo: revisa",IFERROR(IF(J472&lt;=INDEX(Productos!$D$5:$D$104,MATCH(B472,Productos!$A$5:$A$104,0)),"En el mínimo o por debajo",""),"")))</f>
      </c>
      <c r="L472" s="13"/>
    </row>
    <row r="473" spans="1:12" x14ac:dyDescent="0.25">
      <c r="A473" s="16"/>
      <c r="B473" s="13"/>
      <c r="C473" s="12">
        <f>IF(B473="","",IFERROR(INDEX(Productos!$B$5:$B$104,MATCH(B473,Productos!$A$5:$A$104,0)),"Código no encontrado"))</f>
      </c>
      <c r="D473" s="13"/>
      <c r="E473" s="17"/>
      <c r="F473" s="13"/>
      <c r="G473" s="16"/>
      <c r="H473" s="13"/>
      <c r="I473" s="13"/>
      <c r="J473" s="11">
        <f>IF(OR(B473="",E473=""),"",SUMIFS($E$5:$E473,$B$5:$B473,B473,$D$5:$D473,"Entrada")-SUMIFS($E$5:$E473,$B$5:$B473,B473,$D$5:$D473,"Salida"))</f>
      </c>
      <c r="K473" s="12">
        <f>IF(J473="","",IF(J473&lt;0,"Saldo negativo: revisa",IFERROR(IF(J473&lt;=INDEX(Productos!$D$5:$D$104,MATCH(B473,Productos!$A$5:$A$104,0)),"En el mínimo o por debajo",""),"")))</f>
      </c>
      <c r="L473" s="13"/>
    </row>
    <row r="474" spans="1:12" x14ac:dyDescent="0.25">
      <c r="A474" s="16"/>
      <c r="B474" s="13"/>
      <c r="C474" s="12">
        <f>IF(B474="","",IFERROR(INDEX(Productos!$B$5:$B$104,MATCH(B474,Productos!$A$5:$A$104,0)),"Código no encontrado"))</f>
      </c>
      <c r="D474" s="13"/>
      <c r="E474" s="17"/>
      <c r="F474" s="13"/>
      <c r="G474" s="16"/>
      <c r="H474" s="13"/>
      <c r="I474" s="13"/>
      <c r="J474" s="11">
        <f>IF(OR(B474="",E474=""),"",SUMIFS($E$5:$E474,$B$5:$B474,B474,$D$5:$D474,"Entrada")-SUMIFS($E$5:$E474,$B$5:$B474,B474,$D$5:$D474,"Salida"))</f>
      </c>
      <c r="K474" s="12">
        <f>IF(J474="","",IF(J474&lt;0,"Saldo negativo: revisa",IFERROR(IF(J474&lt;=INDEX(Productos!$D$5:$D$104,MATCH(B474,Productos!$A$5:$A$104,0)),"En el mínimo o por debajo",""),"")))</f>
      </c>
      <c r="L474" s="13"/>
    </row>
    <row r="475" spans="1:12" x14ac:dyDescent="0.25">
      <c r="A475" s="16"/>
      <c r="B475" s="13"/>
      <c r="C475" s="12">
        <f>IF(B475="","",IFERROR(INDEX(Productos!$B$5:$B$104,MATCH(B475,Productos!$A$5:$A$104,0)),"Código no encontrado"))</f>
      </c>
      <c r="D475" s="13"/>
      <c r="E475" s="17"/>
      <c r="F475" s="13"/>
      <c r="G475" s="16"/>
      <c r="H475" s="13"/>
      <c r="I475" s="13"/>
      <c r="J475" s="11">
        <f>IF(OR(B475="",E475=""),"",SUMIFS($E$5:$E475,$B$5:$B475,B475,$D$5:$D475,"Entrada")-SUMIFS($E$5:$E475,$B$5:$B475,B475,$D$5:$D475,"Salida"))</f>
      </c>
      <c r="K475" s="12">
        <f>IF(J475="","",IF(J475&lt;0,"Saldo negativo: revisa",IFERROR(IF(J475&lt;=INDEX(Productos!$D$5:$D$104,MATCH(B475,Productos!$A$5:$A$104,0)),"En el mínimo o por debajo",""),"")))</f>
      </c>
      <c r="L475" s="13"/>
    </row>
    <row r="476" spans="1:12" x14ac:dyDescent="0.25">
      <c r="A476" s="16"/>
      <c r="B476" s="13"/>
      <c r="C476" s="12">
        <f>IF(B476="","",IFERROR(INDEX(Productos!$B$5:$B$104,MATCH(B476,Productos!$A$5:$A$104,0)),"Código no encontrado"))</f>
      </c>
      <c r="D476" s="13"/>
      <c r="E476" s="17"/>
      <c r="F476" s="13"/>
      <c r="G476" s="16"/>
      <c r="H476" s="13"/>
      <c r="I476" s="13"/>
      <c r="J476" s="11">
        <f>IF(OR(B476="",E476=""),"",SUMIFS($E$5:$E476,$B$5:$B476,B476,$D$5:$D476,"Entrada")-SUMIFS($E$5:$E476,$B$5:$B476,B476,$D$5:$D476,"Salida"))</f>
      </c>
      <c r="K476" s="12">
        <f>IF(J476="","",IF(J476&lt;0,"Saldo negativo: revisa",IFERROR(IF(J476&lt;=INDEX(Productos!$D$5:$D$104,MATCH(B476,Productos!$A$5:$A$104,0)),"En el mínimo o por debajo",""),"")))</f>
      </c>
      <c r="L476" s="13"/>
    </row>
    <row r="477" spans="1:12" x14ac:dyDescent="0.25">
      <c r="A477" s="16"/>
      <c r="B477" s="13"/>
      <c r="C477" s="12">
        <f>IF(B477="","",IFERROR(INDEX(Productos!$B$5:$B$104,MATCH(B477,Productos!$A$5:$A$104,0)),"Código no encontrado"))</f>
      </c>
      <c r="D477" s="13"/>
      <c r="E477" s="17"/>
      <c r="F477" s="13"/>
      <c r="G477" s="16"/>
      <c r="H477" s="13"/>
      <c r="I477" s="13"/>
      <c r="J477" s="11">
        <f>IF(OR(B477="",E477=""),"",SUMIFS($E$5:$E477,$B$5:$B477,B477,$D$5:$D477,"Entrada")-SUMIFS($E$5:$E477,$B$5:$B477,B477,$D$5:$D477,"Salida"))</f>
      </c>
      <c r="K477" s="12">
        <f>IF(J477="","",IF(J477&lt;0,"Saldo negativo: revisa",IFERROR(IF(J477&lt;=INDEX(Productos!$D$5:$D$104,MATCH(B477,Productos!$A$5:$A$104,0)),"En el mínimo o por debajo",""),"")))</f>
      </c>
      <c r="L477" s="13"/>
    </row>
    <row r="478" spans="1:12" x14ac:dyDescent="0.25">
      <c r="A478" s="16"/>
      <c r="B478" s="13"/>
      <c r="C478" s="12">
        <f>IF(B478="","",IFERROR(INDEX(Productos!$B$5:$B$104,MATCH(B478,Productos!$A$5:$A$104,0)),"Código no encontrado"))</f>
      </c>
      <c r="D478" s="13"/>
      <c r="E478" s="17"/>
      <c r="F478" s="13"/>
      <c r="G478" s="16"/>
      <c r="H478" s="13"/>
      <c r="I478" s="13"/>
      <c r="J478" s="11">
        <f>IF(OR(B478="",E478=""),"",SUMIFS($E$5:$E478,$B$5:$B478,B478,$D$5:$D478,"Entrada")-SUMIFS($E$5:$E478,$B$5:$B478,B478,$D$5:$D478,"Salida"))</f>
      </c>
      <c r="K478" s="12">
        <f>IF(J478="","",IF(J478&lt;0,"Saldo negativo: revisa",IFERROR(IF(J478&lt;=INDEX(Productos!$D$5:$D$104,MATCH(B478,Productos!$A$5:$A$104,0)),"En el mínimo o por debajo",""),"")))</f>
      </c>
      <c r="L478" s="13"/>
    </row>
    <row r="479" spans="1:12" x14ac:dyDescent="0.25">
      <c r="A479" s="16"/>
      <c r="B479" s="13"/>
      <c r="C479" s="12">
        <f>IF(B479="","",IFERROR(INDEX(Productos!$B$5:$B$104,MATCH(B479,Productos!$A$5:$A$104,0)),"Código no encontrado"))</f>
      </c>
      <c r="D479" s="13"/>
      <c r="E479" s="17"/>
      <c r="F479" s="13"/>
      <c r="G479" s="16"/>
      <c r="H479" s="13"/>
      <c r="I479" s="13"/>
      <c r="J479" s="11">
        <f>IF(OR(B479="",E479=""),"",SUMIFS($E$5:$E479,$B$5:$B479,B479,$D$5:$D479,"Entrada")-SUMIFS($E$5:$E479,$B$5:$B479,B479,$D$5:$D479,"Salida"))</f>
      </c>
      <c r="K479" s="12">
        <f>IF(J479="","",IF(J479&lt;0,"Saldo negativo: revisa",IFERROR(IF(J479&lt;=INDEX(Productos!$D$5:$D$104,MATCH(B479,Productos!$A$5:$A$104,0)),"En el mínimo o por debajo",""),"")))</f>
      </c>
      <c r="L479" s="13"/>
    </row>
    <row r="480" spans="1:12" x14ac:dyDescent="0.25">
      <c r="A480" s="16"/>
      <c r="B480" s="13"/>
      <c r="C480" s="12">
        <f>IF(B480="","",IFERROR(INDEX(Productos!$B$5:$B$104,MATCH(B480,Productos!$A$5:$A$104,0)),"Código no encontrado"))</f>
      </c>
      <c r="D480" s="13"/>
      <c r="E480" s="17"/>
      <c r="F480" s="13"/>
      <c r="G480" s="16"/>
      <c r="H480" s="13"/>
      <c r="I480" s="13"/>
      <c r="J480" s="11">
        <f>IF(OR(B480="",E480=""),"",SUMIFS($E$5:$E480,$B$5:$B480,B480,$D$5:$D480,"Entrada")-SUMIFS($E$5:$E480,$B$5:$B480,B480,$D$5:$D480,"Salida"))</f>
      </c>
      <c r="K480" s="12">
        <f>IF(J480="","",IF(J480&lt;0,"Saldo negativo: revisa",IFERROR(IF(J480&lt;=INDEX(Productos!$D$5:$D$104,MATCH(B480,Productos!$A$5:$A$104,0)),"En el mínimo o por debajo",""),"")))</f>
      </c>
      <c r="L480" s="13"/>
    </row>
    <row r="481" spans="1:12" x14ac:dyDescent="0.25">
      <c r="A481" s="16"/>
      <c r="B481" s="13"/>
      <c r="C481" s="12">
        <f>IF(B481="","",IFERROR(INDEX(Productos!$B$5:$B$104,MATCH(B481,Productos!$A$5:$A$104,0)),"Código no encontrado"))</f>
      </c>
      <c r="D481" s="13"/>
      <c r="E481" s="17"/>
      <c r="F481" s="13"/>
      <c r="G481" s="16"/>
      <c r="H481" s="13"/>
      <c r="I481" s="13"/>
      <c r="J481" s="11">
        <f>IF(OR(B481="",E481=""),"",SUMIFS($E$5:$E481,$B$5:$B481,B481,$D$5:$D481,"Entrada")-SUMIFS($E$5:$E481,$B$5:$B481,B481,$D$5:$D481,"Salida"))</f>
      </c>
      <c r="K481" s="12">
        <f>IF(J481="","",IF(J481&lt;0,"Saldo negativo: revisa",IFERROR(IF(J481&lt;=INDEX(Productos!$D$5:$D$104,MATCH(B481,Productos!$A$5:$A$104,0)),"En el mínimo o por debajo",""),"")))</f>
      </c>
      <c r="L481" s="13"/>
    </row>
    <row r="482" spans="1:12" x14ac:dyDescent="0.25">
      <c r="A482" s="16"/>
      <c r="B482" s="13"/>
      <c r="C482" s="12">
        <f>IF(B482="","",IFERROR(INDEX(Productos!$B$5:$B$104,MATCH(B482,Productos!$A$5:$A$104,0)),"Código no encontrado"))</f>
      </c>
      <c r="D482" s="13"/>
      <c r="E482" s="17"/>
      <c r="F482" s="13"/>
      <c r="G482" s="16"/>
      <c r="H482" s="13"/>
      <c r="I482" s="13"/>
      <c r="J482" s="11">
        <f>IF(OR(B482="",E482=""),"",SUMIFS($E$5:$E482,$B$5:$B482,B482,$D$5:$D482,"Entrada")-SUMIFS($E$5:$E482,$B$5:$B482,B482,$D$5:$D482,"Salida"))</f>
      </c>
      <c r="K482" s="12">
        <f>IF(J482="","",IF(J482&lt;0,"Saldo negativo: revisa",IFERROR(IF(J482&lt;=INDEX(Productos!$D$5:$D$104,MATCH(B482,Productos!$A$5:$A$104,0)),"En el mínimo o por debajo",""),"")))</f>
      </c>
      <c r="L482" s="13"/>
    </row>
    <row r="483" spans="1:12" x14ac:dyDescent="0.25">
      <c r="A483" s="16"/>
      <c r="B483" s="13"/>
      <c r="C483" s="12">
        <f>IF(B483="","",IFERROR(INDEX(Productos!$B$5:$B$104,MATCH(B483,Productos!$A$5:$A$104,0)),"Código no encontrado"))</f>
      </c>
      <c r="D483" s="13"/>
      <c r="E483" s="17"/>
      <c r="F483" s="13"/>
      <c r="G483" s="16"/>
      <c r="H483" s="13"/>
      <c r="I483" s="13"/>
      <c r="J483" s="11">
        <f>IF(OR(B483="",E483=""),"",SUMIFS($E$5:$E483,$B$5:$B483,B483,$D$5:$D483,"Entrada")-SUMIFS($E$5:$E483,$B$5:$B483,B483,$D$5:$D483,"Salida"))</f>
      </c>
      <c r="K483" s="12">
        <f>IF(J483="","",IF(J483&lt;0,"Saldo negativo: revisa",IFERROR(IF(J483&lt;=INDEX(Productos!$D$5:$D$104,MATCH(B483,Productos!$A$5:$A$104,0)),"En el mínimo o por debajo",""),"")))</f>
      </c>
      <c r="L483" s="13"/>
    </row>
    <row r="484" spans="1:12" x14ac:dyDescent="0.25">
      <c r="A484" s="16"/>
      <c r="B484" s="13"/>
      <c r="C484" s="12">
        <f>IF(B484="","",IFERROR(INDEX(Productos!$B$5:$B$104,MATCH(B484,Productos!$A$5:$A$104,0)),"Código no encontrado"))</f>
      </c>
      <c r="D484" s="13"/>
      <c r="E484" s="17"/>
      <c r="F484" s="13"/>
      <c r="G484" s="16"/>
      <c r="H484" s="13"/>
      <c r="I484" s="13"/>
      <c r="J484" s="11">
        <f>IF(OR(B484="",E484=""),"",SUMIFS($E$5:$E484,$B$5:$B484,B484,$D$5:$D484,"Entrada")-SUMIFS($E$5:$E484,$B$5:$B484,B484,$D$5:$D484,"Salida"))</f>
      </c>
      <c r="K484" s="12">
        <f>IF(J484="","",IF(J484&lt;0,"Saldo negativo: revisa",IFERROR(IF(J484&lt;=INDEX(Productos!$D$5:$D$104,MATCH(B484,Productos!$A$5:$A$104,0)),"En el mínimo o por debajo",""),"")))</f>
      </c>
      <c r="L484" s="13"/>
    </row>
    <row r="485" spans="1:12" x14ac:dyDescent="0.25">
      <c r="A485" s="16"/>
      <c r="B485" s="13"/>
      <c r="C485" s="12">
        <f>IF(B485="","",IFERROR(INDEX(Productos!$B$5:$B$104,MATCH(B485,Productos!$A$5:$A$104,0)),"Código no encontrado"))</f>
      </c>
      <c r="D485" s="13"/>
      <c r="E485" s="17"/>
      <c r="F485" s="13"/>
      <c r="G485" s="16"/>
      <c r="H485" s="13"/>
      <c r="I485" s="13"/>
      <c r="J485" s="11">
        <f>IF(OR(B485="",E485=""),"",SUMIFS($E$5:$E485,$B$5:$B485,B485,$D$5:$D485,"Entrada")-SUMIFS($E$5:$E485,$B$5:$B485,B485,$D$5:$D485,"Salida"))</f>
      </c>
      <c r="K485" s="12">
        <f>IF(J485="","",IF(J485&lt;0,"Saldo negativo: revisa",IFERROR(IF(J485&lt;=INDEX(Productos!$D$5:$D$104,MATCH(B485,Productos!$A$5:$A$104,0)),"En el mínimo o por debajo",""),"")))</f>
      </c>
      <c r="L485" s="13"/>
    </row>
    <row r="486" spans="1:12" x14ac:dyDescent="0.25">
      <c r="A486" s="16"/>
      <c r="B486" s="13"/>
      <c r="C486" s="12">
        <f>IF(B486="","",IFERROR(INDEX(Productos!$B$5:$B$104,MATCH(B486,Productos!$A$5:$A$104,0)),"Código no encontrado"))</f>
      </c>
      <c r="D486" s="13"/>
      <c r="E486" s="17"/>
      <c r="F486" s="13"/>
      <c r="G486" s="16"/>
      <c r="H486" s="13"/>
      <c r="I486" s="13"/>
      <c r="J486" s="11">
        <f>IF(OR(B486="",E486=""),"",SUMIFS($E$5:$E486,$B$5:$B486,B486,$D$5:$D486,"Entrada")-SUMIFS($E$5:$E486,$B$5:$B486,B486,$D$5:$D486,"Salida"))</f>
      </c>
      <c r="K486" s="12">
        <f>IF(J486="","",IF(J486&lt;0,"Saldo negativo: revisa",IFERROR(IF(J486&lt;=INDEX(Productos!$D$5:$D$104,MATCH(B486,Productos!$A$5:$A$104,0)),"En el mínimo o por debajo",""),"")))</f>
      </c>
      <c r="L486" s="13"/>
    </row>
    <row r="487" spans="1:12" x14ac:dyDescent="0.25">
      <c r="A487" s="16"/>
      <c r="B487" s="13"/>
      <c r="C487" s="12">
        <f>IF(B487="","",IFERROR(INDEX(Productos!$B$5:$B$104,MATCH(B487,Productos!$A$5:$A$104,0)),"Código no encontrado"))</f>
      </c>
      <c r="D487" s="13"/>
      <c r="E487" s="17"/>
      <c r="F487" s="13"/>
      <c r="G487" s="16"/>
      <c r="H487" s="13"/>
      <c r="I487" s="13"/>
      <c r="J487" s="11">
        <f>IF(OR(B487="",E487=""),"",SUMIFS($E$5:$E487,$B$5:$B487,B487,$D$5:$D487,"Entrada")-SUMIFS($E$5:$E487,$B$5:$B487,B487,$D$5:$D487,"Salida"))</f>
      </c>
      <c r="K487" s="12">
        <f>IF(J487="","",IF(J487&lt;0,"Saldo negativo: revisa",IFERROR(IF(J487&lt;=INDEX(Productos!$D$5:$D$104,MATCH(B487,Productos!$A$5:$A$104,0)),"En el mínimo o por debajo",""),"")))</f>
      </c>
      <c r="L487" s="13"/>
    </row>
    <row r="488" spans="1:12" x14ac:dyDescent="0.25">
      <c r="A488" s="16"/>
      <c r="B488" s="13"/>
      <c r="C488" s="12">
        <f>IF(B488="","",IFERROR(INDEX(Productos!$B$5:$B$104,MATCH(B488,Productos!$A$5:$A$104,0)),"Código no encontrado"))</f>
      </c>
      <c r="D488" s="13"/>
      <c r="E488" s="17"/>
      <c r="F488" s="13"/>
      <c r="G488" s="16"/>
      <c r="H488" s="13"/>
      <c r="I488" s="13"/>
      <c r="J488" s="11">
        <f>IF(OR(B488="",E488=""),"",SUMIFS($E$5:$E488,$B$5:$B488,B488,$D$5:$D488,"Entrada")-SUMIFS($E$5:$E488,$B$5:$B488,B488,$D$5:$D488,"Salida"))</f>
      </c>
      <c r="K488" s="12">
        <f>IF(J488="","",IF(J488&lt;0,"Saldo negativo: revisa",IFERROR(IF(J488&lt;=INDEX(Productos!$D$5:$D$104,MATCH(B488,Productos!$A$5:$A$104,0)),"En el mínimo o por debajo",""),"")))</f>
      </c>
      <c r="L488" s="13"/>
    </row>
    <row r="489" spans="1:12" x14ac:dyDescent="0.25">
      <c r="A489" s="16"/>
      <c r="B489" s="13"/>
      <c r="C489" s="12">
        <f>IF(B489="","",IFERROR(INDEX(Productos!$B$5:$B$104,MATCH(B489,Productos!$A$5:$A$104,0)),"Código no encontrado"))</f>
      </c>
      <c r="D489" s="13"/>
      <c r="E489" s="17"/>
      <c r="F489" s="13"/>
      <c r="G489" s="16"/>
      <c r="H489" s="13"/>
      <c r="I489" s="13"/>
      <c r="J489" s="11">
        <f>IF(OR(B489="",E489=""),"",SUMIFS($E$5:$E489,$B$5:$B489,B489,$D$5:$D489,"Entrada")-SUMIFS($E$5:$E489,$B$5:$B489,B489,$D$5:$D489,"Salida"))</f>
      </c>
      <c r="K489" s="12">
        <f>IF(J489="","",IF(J489&lt;0,"Saldo negativo: revisa",IFERROR(IF(J489&lt;=INDEX(Productos!$D$5:$D$104,MATCH(B489,Productos!$A$5:$A$104,0)),"En el mínimo o por debajo",""),"")))</f>
      </c>
      <c r="L489" s="13"/>
    </row>
    <row r="490" spans="1:12" x14ac:dyDescent="0.25">
      <c r="A490" s="16"/>
      <c r="B490" s="13"/>
      <c r="C490" s="12">
        <f>IF(B490="","",IFERROR(INDEX(Productos!$B$5:$B$104,MATCH(B490,Productos!$A$5:$A$104,0)),"Código no encontrado"))</f>
      </c>
      <c r="D490" s="13"/>
      <c r="E490" s="17"/>
      <c r="F490" s="13"/>
      <c r="G490" s="16"/>
      <c r="H490" s="13"/>
      <c r="I490" s="13"/>
      <c r="J490" s="11">
        <f>IF(OR(B490="",E490=""),"",SUMIFS($E$5:$E490,$B$5:$B490,B490,$D$5:$D490,"Entrada")-SUMIFS($E$5:$E490,$B$5:$B490,B490,$D$5:$D490,"Salida"))</f>
      </c>
      <c r="K490" s="12">
        <f>IF(J490="","",IF(J490&lt;0,"Saldo negativo: revisa",IFERROR(IF(J490&lt;=INDEX(Productos!$D$5:$D$104,MATCH(B490,Productos!$A$5:$A$104,0)),"En el mínimo o por debajo",""),"")))</f>
      </c>
      <c r="L490" s="13"/>
    </row>
    <row r="491" spans="1:12" x14ac:dyDescent="0.25">
      <c r="A491" s="16"/>
      <c r="B491" s="13"/>
      <c r="C491" s="12">
        <f>IF(B491="","",IFERROR(INDEX(Productos!$B$5:$B$104,MATCH(B491,Productos!$A$5:$A$104,0)),"Código no encontrado"))</f>
      </c>
      <c r="D491" s="13"/>
      <c r="E491" s="17"/>
      <c r="F491" s="13"/>
      <c r="G491" s="16"/>
      <c r="H491" s="13"/>
      <c r="I491" s="13"/>
      <c r="J491" s="11">
        <f>IF(OR(B491="",E491=""),"",SUMIFS($E$5:$E491,$B$5:$B491,B491,$D$5:$D491,"Entrada")-SUMIFS($E$5:$E491,$B$5:$B491,B491,$D$5:$D491,"Salida"))</f>
      </c>
      <c r="K491" s="12">
        <f>IF(J491="","",IF(J491&lt;0,"Saldo negativo: revisa",IFERROR(IF(J491&lt;=INDEX(Productos!$D$5:$D$104,MATCH(B491,Productos!$A$5:$A$104,0)),"En el mínimo o por debajo",""),"")))</f>
      </c>
      <c r="L491" s="13"/>
    </row>
    <row r="492" spans="1:12" x14ac:dyDescent="0.25">
      <c r="A492" s="16"/>
      <c r="B492" s="13"/>
      <c r="C492" s="12">
        <f>IF(B492="","",IFERROR(INDEX(Productos!$B$5:$B$104,MATCH(B492,Productos!$A$5:$A$104,0)),"Código no encontrado"))</f>
      </c>
      <c r="D492" s="13"/>
      <c r="E492" s="17"/>
      <c r="F492" s="13"/>
      <c r="G492" s="16"/>
      <c r="H492" s="13"/>
      <c r="I492" s="13"/>
      <c r="J492" s="11">
        <f>IF(OR(B492="",E492=""),"",SUMIFS($E$5:$E492,$B$5:$B492,B492,$D$5:$D492,"Entrada")-SUMIFS($E$5:$E492,$B$5:$B492,B492,$D$5:$D492,"Salida"))</f>
      </c>
      <c r="K492" s="12">
        <f>IF(J492="","",IF(J492&lt;0,"Saldo negativo: revisa",IFERROR(IF(J492&lt;=INDEX(Productos!$D$5:$D$104,MATCH(B492,Productos!$A$5:$A$104,0)),"En el mínimo o por debajo",""),"")))</f>
      </c>
      <c r="L492" s="13"/>
    </row>
    <row r="493" spans="1:12" x14ac:dyDescent="0.25">
      <c r="A493" s="16"/>
      <c r="B493" s="13"/>
      <c r="C493" s="12">
        <f>IF(B493="","",IFERROR(INDEX(Productos!$B$5:$B$104,MATCH(B493,Productos!$A$5:$A$104,0)),"Código no encontrado"))</f>
      </c>
      <c r="D493" s="13"/>
      <c r="E493" s="17"/>
      <c r="F493" s="13"/>
      <c r="G493" s="16"/>
      <c r="H493" s="13"/>
      <c r="I493" s="13"/>
      <c r="J493" s="11">
        <f>IF(OR(B493="",E493=""),"",SUMIFS($E$5:$E493,$B$5:$B493,B493,$D$5:$D493,"Entrada")-SUMIFS($E$5:$E493,$B$5:$B493,B493,$D$5:$D493,"Salida"))</f>
      </c>
      <c r="K493" s="12">
        <f>IF(J493="","",IF(J493&lt;0,"Saldo negativo: revisa",IFERROR(IF(J493&lt;=INDEX(Productos!$D$5:$D$104,MATCH(B493,Productos!$A$5:$A$104,0)),"En el mínimo o por debajo",""),"")))</f>
      </c>
      <c r="L493" s="13"/>
    </row>
    <row r="494" spans="1:12" x14ac:dyDescent="0.25">
      <c r="A494" s="16"/>
      <c r="B494" s="13"/>
      <c r="C494" s="12">
        <f>IF(B494="","",IFERROR(INDEX(Productos!$B$5:$B$104,MATCH(B494,Productos!$A$5:$A$104,0)),"Código no encontrado"))</f>
      </c>
      <c r="D494" s="13"/>
      <c r="E494" s="17"/>
      <c r="F494" s="13"/>
      <c r="G494" s="16"/>
      <c r="H494" s="13"/>
      <c r="I494" s="13"/>
      <c r="J494" s="11">
        <f>IF(OR(B494="",E494=""),"",SUMIFS($E$5:$E494,$B$5:$B494,B494,$D$5:$D494,"Entrada")-SUMIFS($E$5:$E494,$B$5:$B494,B494,$D$5:$D494,"Salida"))</f>
      </c>
      <c r="K494" s="12">
        <f>IF(J494="","",IF(J494&lt;0,"Saldo negativo: revisa",IFERROR(IF(J494&lt;=INDEX(Productos!$D$5:$D$104,MATCH(B494,Productos!$A$5:$A$104,0)),"En el mínimo o por debajo",""),"")))</f>
      </c>
      <c r="L494" s="13"/>
    </row>
    <row r="495" spans="1:12" x14ac:dyDescent="0.25">
      <c r="A495" s="16"/>
      <c r="B495" s="13"/>
      <c r="C495" s="12">
        <f>IF(B495="","",IFERROR(INDEX(Productos!$B$5:$B$104,MATCH(B495,Productos!$A$5:$A$104,0)),"Código no encontrado"))</f>
      </c>
      <c r="D495" s="13"/>
      <c r="E495" s="17"/>
      <c r="F495" s="13"/>
      <c r="G495" s="16"/>
      <c r="H495" s="13"/>
      <c r="I495" s="13"/>
      <c r="J495" s="11">
        <f>IF(OR(B495="",E495=""),"",SUMIFS($E$5:$E495,$B$5:$B495,B495,$D$5:$D495,"Entrada")-SUMIFS($E$5:$E495,$B$5:$B495,B495,$D$5:$D495,"Salida"))</f>
      </c>
      <c r="K495" s="12">
        <f>IF(J495="","",IF(J495&lt;0,"Saldo negativo: revisa",IFERROR(IF(J495&lt;=INDEX(Productos!$D$5:$D$104,MATCH(B495,Productos!$A$5:$A$104,0)),"En el mínimo o por debajo",""),"")))</f>
      </c>
      <c r="L495" s="13"/>
    </row>
    <row r="496" spans="1:12" x14ac:dyDescent="0.25">
      <c r="A496" s="16"/>
      <c r="B496" s="13"/>
      <c r="C496" s="12">
        <f>IF(B496="","",IFERROR(INDEX(Productos!$B$5:$B$104,MATCH(B496,Productos!$A$5:$A$104,0)),"Código no encontrado"))</f>
      </c>
      <c r="D496" s="13"/>
      <c r="E496" s="17"/>
      <c r="F496" s="13"/>
      <c r="G496" s="16"/>
      <c r="H496" s="13"/>
      <c r="I496" s="13"/>
      <c r="J496" s="11">
        <f>IF(OR(B496="",E496=""),"",SUMIFS($E$5:$E496,$B$5:$B496,B496,$D$5:$D496,"Entrada")-SUMIFS($E$5:$E496,$B$5:$B496,B496,$D$5:$D496,"Salida"))</f>
      </c>
      <c r="K496" s="12">
        <f>IF(J496="","",IF(J496&lt;0,"Saldo negativo: revisa",IFERROR(IF(J496&lt;=INDEX(Productos!$D$5:$D$104,MATCH(B496,Productos!$A$5:$A$104,0)),"En el mínimo o por debajo",""),"")))</f>
      </c>
      <c r="L496" s="13"/>
    </row>
    <row r="497" spans="1:12" x14ac:dyDescent="0.25">
      <c r="A497" s="16"/>
      <c r="B497" s="13"/>
      <c r="C497" s="12">
        <f>IF(B497="","",IFERROR(INDEX(Productos!$B$5:$B$104,MATCH(B497,Productos!$A$5:$A$104,0)),"Código no encontrado"))</f>
      </c>
      <c r="D497" s="13"/>
      <c r="E497" s="17"/>
      <c r="F497" s="13"/>
      <c r="G497" s="16"/>
      <c r="H497" s="13"/>
      <c r="I497" s="13"/>
      <c r="J497" s="11">
        <f>IF(OR(B497="",E497=""),"",SUMIFS($E$5:$E497,$B$5:$B497,B497,$D$5:$D497,"Entrada")-SUMIFS($E$5:$E497,$B$5:$B497,B497,$D$5:$D497,"Salida"))</f>
      </c>
      <c r="K497" s="12">
        <f>IF(J497="","",IF(J497&lt;0,"Saldo negativo: revisa",IFERROR(IF(J497&lt;=INDEX(Productos!$D$5:$D$104,MATCH(B497,Productos!$A$5:$A$104,0)),"En el mínimo o por debajo",""),"")))</f>
      </c>
      <c r="L497" s="13"/>
    </row>
    <row r="498" spans="1:12" x14ac:dyDescent="0.25">
      <c r="A498" s="16"/>
      <c r="B498" s="13"/>
      <c r="C498" s="12">
        <f>IF(B498="","",IFERROR(INDEX(Productos!$B$5:$B$104,MATCH(B498,Productos!$A$5:$A$104,0)),"Código no encontrado"))</f>
      </c>
      <c r="D498" s="13"/>
      <c r="E498" s="17"/>
      <c r="F498" s="13"/>
      <c r="G498" s="16"/>
      <c r="H498" s="13"/>
      <c r="I498" s="13"/>
      <c r="J498" s="11">
        <f>IF(OR(B498="",E498=""),"",SUMIFS($E$5:$E498,$B$5:$B498,B498,$D$5:$D498,"Entrada")-SUMIFS($E$5:$E498,$B$5:$B498,B498,$D$5:$D498,"Salida"))</f>
      </c>
      <c r="K498" s="12">
        <f>IF(J498="","",IF(J498&lt;0,"Saldo negativo: revisa",IFERROR(IF(J498&lt;=INDEX(Productos!$D$5:$D$104,MATCH(B498,Productos!$A$5:$A$104,0)),"En el mínimo o por debajo",""),"")))</f>
      </c>
      <c r="L498" s="13"/>
    </row>
    <row r="499" spans="1:12" x14ac:dyDescent="0.25">
      <c r="A499" s="16"/>
      <c r="B499" s="13"/>
      <c r="C499" s="12">
        <f>IF(B499="","",IFERROR(INDEX(Productos!$B$5:$B$104,MATCH(B499,Productos!$A$5:$A$104,0)),"Código no encontrado"))</f>
      </c>
      <c r="D499" s="13"/>
      <c r="E499" s="17"/>
      <c r="F499" s="13"/>
      <c r="G499" s="16"/>
      <c r="H499" s="13"/>
      <c r="I499" s="13"/>
      <c r="J499" s="11">
        <f>IF(OR(B499="",E499=""),"",SUMIFS($E$5:$E499,$B$5:$B499,B499,$D$5:$D499,"Entrada")-SUMIFS($E$5:$E499,$B$5:$B499,B499,$D$5:$D499,"Salida"))</f>
      </c>
      <c r="K499" s="12">
        <f>IF(J499="","",IF(J499&lt;0,"Saldo negativo: revisa",IFERROR(IF(J499&lt;=INDEX(Productos!$D$5:$D$104,MATCH(B499,Productos!$A$5:$A$104,0)),"En el mínimo o por debajo",""),"")))</f>
      </c>
      <c r="L499" s="13"/>
    </row>
    <row r="500" spans="1:12" x14ac:dyDescent="0.25">
      <c r="A500" s="16"/>
      <c r="B500" s="13"/>
      <c r="C500" s="12">
        <f>IF(B500="","",IFERROR(INDEX(Productos!$B$5:$B$104,MATCH(B500,Productos!$A$5:$A$104,0)),"Código no encontrado"))</f>
      </c>
      <c r="D500" s="13"/>
      <c r="E500" s="17"/>
      <c r="F500" s="13"/>
      <c r="G500" s="16"/>
      <c r="H500" s="13"/>
      <c r="I500" s="13"/>
      <c r="J500" s="11">
        <f>IF(OR(B500="",E500=""),"",SUMIFS($E$5:$E500,$B$5:$B500,B500,$D$5:$D500,"Entrada")-SUMIFS($E$5:$E500,$B$5:$B500,B500,$D$5:$D500,"Salida"))</f>
      </c>
      <c r="K500" s="12">
        <f>IF(J500="","",IF(J500&lt;0,"Saldo negativo: revisa",IFERROR(IF(J500&lt;=INDEX(Productos!$D$5:$D$104,MATCH(B500,Productos!$A$5:$A$104,0)),"En el mínimo o por debajo",""),"")))</f>
      </c>
      <c r="L500" s="13"/>
    </row>
    <row r="501" spans="1:12" x14ac:dyDescent="0.25">
      <c r="A501" s="16"/>
      <c r="B501" s="13"/>
      <c r="C501" s="12">
        <f>IF(B501="","",IFERROR(INDEX(Productos!$B$5:$B$104,MATCH(B501,Productos!$A$5:$A$104,0)),"Código no encontrado"))</f>
      </c>
      <c r="D501" s="13"/>
      <c r="E501" s="17"/>
      <c r="F501" s="13"/>
      <c r="G501" s="16"/>
      <c r="H501" s="13"/>
      <c r="I501" s="13"/>
      <c r="J501" s="11">
        <f>IF(OR(B501="",E501=""),"",SUMIFS($E$5:$E501,$B$5:$B501,B501,$D$5:$D501,"Entrada")-SUMIFS($E$5:$E501,$B$5:$B501,B501,$D$5:$D501,"Salida"))</f>
      </c>
      <c r="K501" s="12">
        <f>IF(J501="","",IF(J501&lt;0,"Saldo negativo: revisa",IFERROR(IF(J501&lt;=INDEX(Productos!$D$5:$D$104,MATCH(B501,Productos!$A$5:$A$104,0)),"En el mínimo o por debajo",""),"")))</f>
      </c>
      <c r="L501" s="13"/>
    </row>
    <row r="502" spans="1:12" x14ac:dyDescent="0.25">
      <c r="A502" s="16"/>
      <c r="B502" s="13"/>
      <c r="C502" s="12">
        <f>IF(B502="","",IFERROR(INDEX(Productos!$B$5:$B$104,MATCH(B502,Productos!$A$5:$A$104,0)),"Código no encontrado"))</f>
      </c>
      <c r="D502" s="13"/>
      <c r="E502" s="17"/>
      <c r="F502" s="13"/>
      <c r="G502" s="16"/>
      <c r="H502" s="13"/>
      <c r="I502" s="13"/>
      <c r="J502" s="11">
        <f>IF(OR(B502="",E502=""),"",SUMIFS($E$5:$E502,$B$5:$B502,B502,$D$5:$D502,"Entrada")-SUMIFS($E$5:$E502,$B$5:$B502,B502,$D$5:$D502,"Salida"))</f>
      </c>
      <c r="K502" s="12">
        <f>IF(J502="","",IF(J502&lt;0,"Saldo negativo: revisa",IFERROR(IF(J502&lt;=INDEX(Productos!$D$5:$D$104,MATCH(B502,Productos!$A$5:$A$104,0)),"En el mínimo o por debajo",""),"")))</f>
      </c>
      <c r="L502" s="13"/>
    </row>
    <row r="503" spans="1:12" x14ac:dyDescent="0.25">
      <c r="A503" s="16"/>
      <c r="B503" s="13"/>
      <c r="C503" s="12">
        <f>IF(B503="","",IFERROR(INDEX(Productos!$B$5:$B$104,MATCH(B503,Productos!$A$5:$A$104,0)),"Código no encontrado"))</f>
      </c>
      <c r="D503" s="13"/>
      <c r="E503" s="17"/>
      <c r="F503" s="13"/>
      <c r="G503" s="16"/>
      <c r="H503" s="13"/>
      <c r="I503" s="13"/>
      <c r="J503" s="11">
        <f>IF(OR(B503="",E503=""),"",SUMIFS($E$5:$E503,$B$5:$B503,B503,$D$5:$D503,"Entrada")-SUMIFS($E$5:$E503,$B$5:$B503,B503,$D$5:$D503,"Salida"))</f>
      </c>
      <c r="K503" s="12">
        <f>IF(J503="","",IF(J503&lt;0,"Saldo negativo: revisa",IFERROR(IF(J503&lt;=INDEX(Productos!$D$5:$D$104,MATCH(B503,Productos!$A$5:$A$104,0)),"En el mínimo o por debajo",""),"")))</f>
      </c>
      <c r="L503" s="13"/>
    </row>
    <row r="504" spans="1:12" x14ac:dyDescent="0.25">
      <c r="A504" s="16"/>
      <c r="B504" s="13"/>
      <c r="C504" s="12">
        <f>IF(B504="","",IFERROR(INDEX(Productos!$B$5:$B$104,MATCH(B504,Productos!$A$5:$A$104,0)),"Código no encontrado"))</f>
      </c>
      <c r="D504" s="13"/>
      <c r="E504" s="17"/>
      <c r="F504" s="13"/>
      <c r="G504" s="16"/>
      <c r="H504" s="13"/>
      <c r="I504" s="13"/>
      <c r="J504" s="11">
        <f>IF(OR(B504="",E504=""),"",SUMIFS($E$5:$E504,$B$5:$B504,B504,$D$5:$D504,"Entrada")-SUMIFS($E$5:$E504,$B$5:$B504,B504,$D$5:$D504,"Salida"))</f>
      </c>
      <c r="K504" s="12">
        <f>IF(J504="","",IF(J504&lt;0,"Saldo negativo: revisa",IFERROR(IF(J504&lt;=INDEX(Productos!$D$5:$D$104,MATCH(B504,Productos!$A$5:$A$104,0)),"En el mínimo o por debajo",""),"")))</f>
      </c>
      <c r="L504" s="13"/>
    </row>
  </sheetData>
  <autoFilter ref="A4:L504"/>
  <mergeCells count="2">
    <mergeCell ref="A1:L1"/>
    <mergeCell ref="A2:L2"/>
  </mergeCells>
  <conditionalFormatting sqref="J5:K504">
    <cfRule type="expression" dxfId="2" priority="10">
      <formula>LEFT($K5,5)="Saldo"</formula>
    </cfRule>
  </conditionalFormatting>
  <conditionalFormatting sqref="J5:K504">
    <cfRule type="expression" dxfId="3" priority="11">
      <formula>LEFT($K5,2)="En"</formula>
    </cfRule>
  </conditionalFormatting>
  <conditionalFormatting sqref="D5:D504">
    <cfRule type="expression" dxfId="4" priority="12">
      <formula>$D5="Entrada"</formula>
    </cfRule>
  </conditionalFormatting>
  <conditionalFormatting sqref="D5:D504">
    <cfRule type="expression" dxfId="5" priority="13">
      <formula>$D5="Salida"</formula>
    </cfRule>
  </conditionalFormatting>
  <dataValidations count="5">
    <dataValidation type="date" operator="greaterThan" allowBlank="1" promptTitle="Fecha" showErrorMessage="1" errorStyle="warning" errorTitle="Fecha" error="Escribe una fecha válida, por ejemplo 15/03/2026." sqref="A5:A504">
      <formula1>32874</formula1>
    </dataValidation>
    <dataValidation type="list" allowBlank="1" promptTitle="Código" showErrorMessage="1" errorStyle="warning" errorTitle="Elige de la lista" error="Elige una opción de la lista desplegable." sqref="B5:B504">
      <formula1>Productos!$A$5:$A$104</formula1>
    </dataValidation>
    <dataValidation type="list" allowBlank="1" promptTitle="Tipo" showErrorMessage="1" errorStyle="warning" errorTitle="Elige de la lista" error="Elige una opción de la lista desplegable." sqref="D5:D504">
      <formula1>"Entrada,Salida"</formula1>
    </dataValidation>
    <dataValidation type="decimal" allowBlank="1" promptTitle="Cantidad" showErrorMessage="1" errorStyle="warning" errorTitle="Número" error="Escribe un número entre 0 y 1000000." sqref="E5:E504">
      <formula1>0</formula1>
      <formula2>1000000</formula2>
    </dataValidation>
    <dataValidation type="date" operator="greaterThan" allowBlank="1" promptTitle="Caducidad" showErrorMessage="1" errorStyle="warning" errorTitle="Fecha" error="Escribe una fecha válida, por ejemplo 15/03/2026." sqref="G5:G504">
      <formula1>32874</formula1>
    </dataValidation>
  </dataValidations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Productos</vt:lpstr>
      <vt:lpstr>Movimientos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Libro de entradas y salidas de insumos</dc:title>
  <dc:subject>Registro interno de entradas y salidas de insumos con saldo automático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