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Recintos" state="visible" r:id="rId5"/>
    <sheet sheetId="3" name="Alimentos" state="visible" r:id="rId6"/>
    <sheet sheetId="4" name="Registro" state="visible" r:id="rId7"/>
    <sheet sheetId="5" name="Resumen" state="visible" r:id="rId8"/>
  </sheets>
  <calcPr calcId="171027" fullCalcOnLoad="1"/>
</workbook>
</file>

<file path=xl/sharedStrings.xml><?xml version="1.0" encoding="utf-8"?>
<sst xmlns="http://schemas.openxmlformats.org/spreadsheetml/2006/main" count="120" uniqueCount="78">
  <si>
    <t>Control de alimentación por recinto</t>
  </si>
  <si>
    <t>Zoorigen · Club VIP · Versión 1.0 · 22 de octubre de 2026 · Material original de Zoorigen</t>
  </si>
  <si>
    <t>Para qué sirve</t>
  </si>
  <si>
    <t/>
  </si>
  <si>
    <t>Anota cuánto alimento se ofrece y cuánto sobra en cada recinto y la hoja calcula lo consumido, el porcentaje de consumo y el costo. Sirve para llevar el control de tu inventario de alimento y detectar cambios en el consumo que valga la pena comentar con tu médico veterinario. NO define dietas, raciones ni cantidades: eso lo hace el responsable técnico de cada especie.</t>
  </si>
  <si>
    <t>Qué hay en cada hoja</t>
  </si>
  <si>
    <t>Recintos</t>
  </si>
  <si>
    <t>Tus recintos y cuántos animales hay en cada uno.</t>
  </si>
  <si>
    <t>Alimentos</t>
  </si>
  <si>
    <t>Los alimentos que manejas, su unidad y su costo por unidad (opcional).</t>
  </si>
  <si>
    <t>Registro</t>
  </si>
  <si>
    <t>Una fila por alimento ofrecido en un recinto en una fecha.</t>
  </si>
  <si>
    <t>Resumen</t>
  </si>
  <si>
    <t>Totales por recinto en el periodo que elijas.</t>
  </si>
  <si>
    <t>Cómo usarlo, paso a paso</t>
  </si>
  <si>
    <t>Paso 1</t>
  </si>
  <si>
    <t>En «Recintos» y «Alimentos» borra los EJEMPLOS y escribe los tuyos. El costo por unidad es opcional.</t>
  </si>
  <si>
    <t>Paso 2</t>
  </si>
  <si>
    <t>En «Registro» escribe la fecha, elige el recinto y el alimento, y escribe la cantidad ofrecida y la sobrante (en la unidad del alimento).</t>
  </si>
  <si>
    <t>Paso 3</t>
  </si>
  <si>
    <t>La hoja calcula la cantidad consumida, el porcentaje consumido y el costo del alimento ofrecido.</t>
  </si>
  <si>
    <t>Paso 4</t>
  </si>
  <si>
    <t>En «Resumen» elige las fechas «Desde» y «Hasta» para ver los totales por recinto.</t>
  </si>
  <si>
    <t>Paso 5</t>
  </si>
  <si>
    <t>Si el consumo de un recinto cambia mucho respecto a lo habitual, avísalo a tu médico veterinario o biólogo responsable.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</si>
  <si>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</si>
  <si>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</si>
  <si>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</si>
  <si>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</si>
  <si>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</si>
  <si>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</si>
  <si>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</si>
  <si>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</si>
  <si>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Las cantidades son las que tú registras: el libro no sugiere cantidades ni dietas.</t>
  </si>
  <si>
    <t>Un porcentaje bajo de consumo no es un diagnóstico por sí solo: es una alerta para observar.</t>
  </si>
  <si>
    <t>Aviso</t>
  </si>
  <si>
    <t>Material de apoyo de Zoorigen: no sustituye el criterio profesional ni la asesoría legal. Consulta siempre la normatividad vigente.</t>
  </si>
  <si>
    <t>Zoorigen · Material de apoyo</t>
  </si>
  <si>
    <t>Recinto</t>
  </si>
  <si>
    <t>Especie o grupo</t>
  </si>
  <si>
    <t>N.º de animales</t>
  </si>
  <si>
    <t>Nota</t>
  </si>
  <si>
    <t>Recinto 1 (ejemplo)</t>
  </si>
  <si>
    <t>Grupo A (ejemplo)</t>
  </si>
  <si>
    <t>EJEMPLO</t>
  </si>
  <si>
    <t>Recinto 2 (ejemplo)</t>
  </si>
  <si>
    <t>Grupo B (ejemplo)</t>
  </si>
  <si>
    <t>Recinto 3 (ejemplo)</t>
  </si>
  <si>
    <t>Grupo C (ejemplo)</t>
  </si>
  <si>
    <t>Zoorigen · Material de apoyo. El costo es opcional y ilustrativo en el ejemplo.</t>
  </si>
  <si>
    <t>Alimento</t>
  </si>
  <si>
    <t>Unidad</t>
  </si>
  <si>
    <t>Costo por unidad</t>
  </si>
  <si>
    <t>Alimento A (ejemplo)</t>
  </si>
  <si>
    <t>kg</t>
  </si>
  <si>
    <t>Alimento B (ejemplo)</t>
  </si>
  <si>
    <t>Alimento C (ejemplo)</t>
  </si>
  <si>
    <t>pieza</t>
  </si>
  <si>
    <t>Registro de alimentación</t>
  </si>
  <si>
    <t>Zoorigen · Material de apoyo. Una fila por alimento y recinto.</t>
  </si>
  <si>
    <t>Fecha</t>
  </si>
  <si>
    <t>Cantidad ofrecida</t>
  </si>
  <si>
    <t>Cantidad sobrante</t>
  </si>
  <si>
    <t>Consumida</t>
  </si>
  <si>
    <t>% consumido</t>
  </si>
  <si>
    <t>Costo ofrecido</t>
  </si>
  <si>
    <t>Responsable</t>
  </si>
  <si>
    <t>Observaciones</t>
  </si>
  <si>
    <t>Nombre</t>
  </si>
  <si>
    <t>Sobró más de lo habitual (ejemplo)</t>
  </si>
  <si>
    <t>Resumen por recinto</t>
  </si>
  <si>
    <t>Elige el periodo.</t>
  </si>
  <si>
    <t>Desde</t>
  </si>
  <si>
    <t>Hasta</t>
  </si>
  <si>
    <t>Ofrecido</t>
  </si>
  <si>
    <t>Sobrante</t>
  </si>
  <si>
    <t>Consumido</t>
  </si>
  <si>
    <t>Nota: las cantidades de recintos con alimentos en distintas unidades se suman tal como las escribas; úsalo con alimentos de la misma unidad o revisa «Registro».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</si>
</sst>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##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4" fontId="8" fillId="3" borderId="2" xfId="0" applyNumberFormat="1" applyFont="1" applyFill="1" applyBorder="1" applyAlignment="1" applyProtection="1">
      <alignment vertical="center"/>
      <protection locked="0"/>
    </xf>
    <xf numFmtId="4" fontId="5" fillId="0" borderId="2" xfId="0" applyNumberFormat="1" applyFont="1" applyBorder="1" applyAlignment="1" applyProtection="1">
      <alignment vertical="center"/>
      <protection locked="0"/>
    </xf>
    <xf numFmtId="0" fontId="7" fillId="4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0" fontId="9" fillId="5" borderId="2" xfId="0" applyFont="1" applyFill="1" applyBorder="1" applyAlignment="1" applyProtection="1">
      <alignment vertical="center"/>
    </xf>
    <xf numFmtId="165" fontId="8" fillId="3" borderId="2" xfId="0" applyNumberFormat="1" applyFont="1" applyFill="1" applyBorder="1" applyAlignment="1" applyProtection="1">
      <alignment vertical="center"/>
      <protection locked="0"/>
    </xf>
    <xf numFmtId="165" fontId="9" fillId="5" borderId="2" xfId="0" applyNumberFormat="1" applyFont="1" applyFill="1" applyBorder="1" applyAlignment="1" applyProtection="1">
      <alignment vertical="center"/>
    </xf>
    <xf numFmtId="9" fontId="9" fillId="5" borderId="2" xfId="0" applyNumberFormat="1" applyFont="1" applyFill="1" applyBorder="1" applyAlignment="1" applyProtection="1">
      <alignment vertical="center"/>
    </xf>
    <xf numFmtId="4" fontId="9" fillId="5" borderId="2" xfId="0" applyNumberFormat="1" applyFont="1" applyFill="1" applyBorder="1" applyAlignment="1" applyProtection="1">
      <alignment vertical="center"/>
    </xf>
    <xf numFmtId="164" fontId="5" fillId="0" borderId="2" xfId="0" applyNumberFormat="1" applyFont="1" applyBorder="1" applyAlignment="1" applyProtection="1">
      <alignment vertical="center"/>
      <protection locked="0"/>
    </xf>
    <xf numFmtId="165" fontId="5" fillId="0" borderId="2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64" fontId="3" fillId="6" borderId="2" xfId="0" applyNumberFormat="1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/>
        <color rgb="FF7A5200"/>
      </font>
      <fill>
        <patternFill patternType="solid">
          <fgColor rgb="FFFDEFD0"/>
          <bgColor rgb="FFFDEF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Costo del alimento ofrecido por recinto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ofrecido</c:v>
          </c:tx>
          <c:spPr>
            <a:solidFill>
              <a:srgbClr val="1F5F3A"/>
            </a:solidFill>
          </c:spPr>
          <c:invertIfNegative val="0"/>
          <c:cat>
            <c:strRef>
              <c:f>Resumen!$A$6:$A$15</c:f>
            </c:strRef>
          </c:cat>
          <c:val>
            <c:numRef>
              <c:f>Resumen!$F$6:$F$15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Costo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Gráfico 1" descr="Costo del alimento ofrecido por recin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68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1" ht="20" customHeight="1" spans="2:3" x14ac:dyDescent="0.25">
      <c r="B11" s="4" t="s">
        <v>12</v>
      </c>
      <c r="C11" s="5" t="s">
        <v>13</v>
      </c>
    </row>
    <row r="13" spans="2:3" x14ac:dyDescent="0.25">
      <c r="B13" s="3" t="s">
        <v>14</v>
      </c>
      <c r="C13" s="3"/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36" customHeight="1" spans="2:3" x14ac:dyDescent="0.25">
      <c r="B16" s="4" t="s">
        <v>19</v>
      </c>
      <c r="C16" s="5" t="s">
        <v>20</v>
      </c>
    </row>
    <row r="17" ht="20" customHeight="1" spans="2:3" x14ac:dyDescent="0.25">
      <c r="B17" s="4" t="s">
        <v>21</v>
      </c>
      <c r="C17" s="5" t="s">
        <v>22</v>
      </c>
    </row>
    <row r="18" ht="36" customHeight="1" spans="2:3" x14ac:dyDescent="0.25">
      <c r="B18" s="4" t="s">
        <v>23</v>
      </c>
      <c r="C18" s="5" t="s">
        <v>24</v>
      </c>
    </row>
    <row r="20" spans="2:3" x14ac:dyDescent="0.25">
      <c r="B20" s="3" t="s">
        <v>25</v>
      </c>
      <c r="C20" s="3"/>
    </row>
    <row r="21" ht="20" customHeight="1" spans="2:3" x14ac:dyDescent="0.25">
      <c r="B21" s="4" t="s">
        <v>26</v>
      </c>
      <c r="C21" s="5" t="s">
        <v>27</v>
      </c>
    </row>
    <row r="22" ht="20" customHeight="1" spans="2:3" x14ac:dyDescent="0.25">
      <c r="B22" s="4" t="s">
        <v>28</v>
      </c>
      <c r="C22" s="5" t="s">
        <v>29</v>
      </c>
    </row>
    <row r="23" ht="52" customHeight="1" spans="2:3" x14ac:dyDescent="0.25">
      <c r="B23" s="4" t="s">
        <v>30</v>
      </c>
      <c r="C23" s="5" t="s">
        <v>31</v>
      </c>
    </row>
    <row r="25" spans="2:3" x14ac:dyDescent="0.25">
      <c r="B25" s="3" t="s">
        <v>32</v>
      </c>
      <c r="C25" s="3"/>
    </row>
    <row r="26" ht="20" customHeight="1" spans="2:3" x14ac:dyDescent="0.25">
      <c r="B26" s="4" t="s">
        <v>3</v>
      </c>
      <c r="C26" s="5" t="s">
        <v>33</v>
      </c>
    </row>
    <row r="27" ht="20" customHeight="1" spans="2:3" x14ac:dyDescent="0.25">
      <c r="B27" s="4" t="s">
        <v>3</v>
      </c>
      <c r="C27" s="5" t="s">
        <v>34</v>
      </c>
    </row>
    <row r="29" spans="2:3" x14ac:dyDescent="0.25">
      <c r="B29" s="3" t="s">
        <v>35</v>
      </c>
      <c r="C29" s="3"/>
    </row>
    <row r="30" ht="36" customHeight="1" spans="2:3" x14ac:dyDescent="0.25">
      <c r="B30" s="4" t="s">
        <v>3</v>
      </c>
      <c r="C30" s="5" t="s">
        <v>36</v>
      </c>
    </row>
  </sheetData>
  <sheetProtection sheet="1"/>
  <mergeCells count="8">
    <mergeCell ref="A1:C1"/>
    <mergeCell ref="A2:C2"/>
    <mergeCell ref="B4:C4"/>
    <mergeCell ref="B7:C7"/>
    <mergeCell ref="B13:C13"/>
    <mergeCell ref="B20:C20"/>
    <mergeCell ref="B25:C25"/>
    <mergeCell ref="B29:C29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E5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1" customWidth="1"/>
  </cols>
  <sheetData>
    <row r="1" ht="30" customHeight="1" spans="1:5" x14ac:dyDescent="0.25">
      <c r="A1" s="6" t="s">
        <v>6</v>
      </c>
      <c r="B1" s="6"/>
      <c r="C1" s="6"/>
      <c r="D1" s="6"/>
      <c r="E1" s="6"/>
    </row>
    <row r="2" ht="22" customHeight="1" spans="1:5" x14ac:dyDescent="0.25">
      <c r="A2" s="7" t="s">
        <v>37</v>
      </c>
      <c r="B2" s="7"/>
      <c r="C2" s="7"/>
      <c r="D2" s="7"/>
      <c r="E2" s="7"/>
    </row>
    <row r="4" ht="34" customHeight="1" spans="1:4" x14ac:dyDescent="0.25">
      <c r="A4" s="8" t="s">
        <v>38</v>
      </c>
      <c r="B4" s="8" t="s">
        <v>39</v>
      </c>
      <c r="C4" s="8" t="s">
        <v>40</v>
      </c>
      <c r="D4" s="8" t="s">
        <v>41</v>
      </c>
    </row>
    <row r="5" spans="1:4" x14ac:dyDescent="0.25">
      <c r="A5" s="9" t="s">
        <v>42</v>
      </c>
      <c r="B5" s="9" t="s">
        <v>43</v>
      </c>
      <c r="C5" s="9">
        <v>4</v>
      </c>
      <c r="D5" s="9" t="s">
        <v>44</v>
      </c>
    </row>
    <row r="6" spans="1:4" x14ac:dyDescent="0.25">
      <c r="A6" s="9" t="s">
        <v>45</v>
      </c>
      <c r="B6" s="9" t="s">
        <v>46</v>
      </c>
      <c r="C6" s="9">
        <v>2</v>
      </c>
      <c r="D6" s="9" t="s">
        <v>44</v>
      </c>
    </row>
    <row r="7" spans="1:4" x14ac:dyDescent="0.25">
      <c r="A7" s="9" t="s">
        <v>47</v>
      </c>
      <c r="B7" s="9" t="s">
        <v>48</v>
      </c>
      <c r="C7" s="9">
        <v>6</v>
      </c>
      <c r="D7" s="9" t="s">
        <v>44</v>
      </c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</sheetData>
  <mergeCells count="2">
    <mergeCell ref="A1:E1"/>
    <mergeCell ref="A2:E2"/>
  </mergeCells>
  <dataValidations count="1">
    <dataValidation type="decimal" allowBlank="1" promptTitle="N.º de animales" showErrorMessage="1" errorStyle="warning" errorTitle="Número" error="Escribe un número entre 0 y 100000." sqref="C5:C54">
      <formula1>0</formula1>
      <formula2>100000</formula2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E10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11" customWidth="1"/>
  </cols>
  <sheetData>
    <row r="1" ht="30" customHeight="1" spans="1:5" x14ac:dyDescent="0.25">
      <c r="A1" s="6" t="s">
        <v>8</v>
      </c>
      <c r="B1" s="6"/>
      <c r="C1" s="6"/>
      <c r="D1" s="6"/>
      <c r="E1" s="6"/>
    </row>
    <row r="2" ht="22" customHeight="1" spans="1:5" x14ac:dyDescent="0.25">
      <c r="A2" s="7" t="s">
        <v>49</v>
      </c>
      <c r="B2" s="7"/>
      <c r="C2" s="7"/>
      <c r="D2" s="7"/>
      <c r="E2" s="7"/>
    </row>
    <row r="4" ht="34" customHeight="1" spans="1:4" x14ac:dyDescent="0.25">
      <c r="A4" s="8" t="s">
        <v>50</v>
      </c>
      <c r="B4" s="8" t="s">
        <v>51</v>
      </c>
      <c r="C4" s="8" t="s">
        <v>52</v>
      </c>
      <c r="D4" s="8" t="s">
        <v>41</v>
      </c>
    </row>
    <row r="5" spans="1:4" x14ac:dyDescent="0.25">
      <c r="A5" s="9" t="s">
        <v>53</v>
      </c>
      <c r="B5" s="9" t="s">
        <v>54</v>
      </c>
      <c r="C5" s="11">
        <v>30</v>
      </c>
      <c r="D5" s="9" t="s">
        <v>44</v>
      </c>
    </row>
    <row r="6" spans="1:4" x14ac:dyDescent="0.25">
      <c r="A6" s="9" t="s">
        <v>55</v>
      </c>
      <c r="B6" s="9" t="s">
        <v>54</v>
      </c>
      <c r="C6" s="11">
        <v>55</v>
      </c>
      <c r="D6" s="9" t="s">
        <v>44</v>
      </c>
    </row>
    <row r="7" spans="1:4" x14ac:dyDescent="0.25">
      <c r="A7" s="9" t="s">
        <v>56</v>
      </c>
      <c r="B7" s="9" t="s">
        <v>57</v>
      </c>
      <c r="C7" s="11">
        <v>4.5</v>
      </c>
      <c r="D7" s="9" t="s">
        <v>44</v>
      </c>
    </row>
    <row r="8" spans="1:4" x14ac:dyDescent="0.25">
      <c r="A8" s="10"/>
      <c r="B8" s="10"/>
      <c r="C8" s="12"/>
      <c r="D8" s="10"/>
    </row>
    <row r="9" spans="1:4" x14ac:dyDescent="0.25">
      <c r="A9" s="10"/>
      <c r="B9" s="10"/>
      <c r="C9" s="12"/>
      <c r="D9" s="10"/>
    </row>
    <row r="10" spans="1:4" x14ac:dyDescent="0.25">
      <c r="A10" s="10"/>
      <c r="B10" s="10"/>
      <c r="C10" s="12"/>
      <c r="D10" s="10"/>
    </row>
    <row r="11" spans="1:4" x14ac:dyDescent="0.25">
      <c r="A11" s="10"/>
      <c r="B11" s="10"/>
      <c r="C11" s="12"/>
      <c r="D11" s="10"/>
    </row>
    <row r="12" spans="1:4" x14ac:dyDescent="0.25">
      <c r="A12" s="10"/>
      <c r="B12" s="10"/>
      <c r="C12" s="12"/>
      <c r="D12" s="10"/>
    </row>
    <row r="13" spans="1:4" x14ac:dyDescent="0.25">
      <c r="A13" s="10"/>
      <c r="B13" s="10"/>
      <c r="C13" s="12"/>
      <c r="D13" s="10"/>
    </row>
    <row r="14" spans="1:4" x14ac:dyDescent="0.25">
      <c r="A14" s="10"/>
      <c r="B14" s="10"/>
      <c r="C14" s="12"/>
      <c r="D14" s="10"/>
    </row>
    <row r="15" spans="1:4" x14ac:dyDescent="0.25">
      <c r="A15" s="10"/>
      <c r="B15" s="10"/>
      <c r="C15" s="12"/>
      <c r="D15" s="10"/>
    </row>
    <row r="16" spans="1:4" x14ac:dyDescent="0.25">
      <c r="A16" s="10"/>
      <c r="B16" s="10"/>
      <c r="C16" s="12"/>
      <c r="D16" s="10"/>
    </row>
    <row r="17" spans="1:4" x14ac:dyDescent="0.25">
      <c r="A17" s="10"/>
      <c r="B17" s="10"/>
      <c r="C17" s="12"/>
      <c r="D17" s="10"/>
    </row>
    <row r="18" spans="1:4" x14ac:dyDescent="0.25">
      <c r="A18" s="10"/>
      <c r="B18" s="10"/>
      <c r="C18" s="12"/>
      <c r="D18" s="10"/>
    </row>
    <row r="19" spans="1:4" x14ac:dyDescent="0.25">
      <c r="A19" s="10"/>
      <c r="B19" s="10"/>
      <c r="C19" s="12"/>
      <c r="D19" s="10"/>
    </row>
    <row r="20" spans="1:4" x14ac:dyDescent="0.25">
      <c r="A20" s="10"/>
      <c r="B20" s="10"/>
      <c r="C20" s="12"/>
      <c r="D20" s="10"/>
    </row>
    <row r="21" spans="1:4" x14ac:dyDescent="0.25">
      <c r="A21" s="10"/>
      <c r="B21" s="10"/>
      <c r="C21" s="12"/>
      <c r="D21" s="10"/>
    </row>
    <row r="22" spans="1:4" x14ac:dyDescent="0.25">
      <c r="A22" s="10"/>
      <c r="B22" s="10"/>
      <c r="C22" s="12"/>
      <c r="D22" s="10"/>
    </row>
    <row r="23" spans="1:4" x14ac:dyDescent="0.25">
      <c r="A23" s="10"/>
      <c r="B23" s="10"/>
      <c r="C23" s="12"/>
      <c r="D23" s="10"/>
    </row>
    <row r="24" spans="1:4" x14ac:dyDescent="0.25">
      <c r="A24" s="10"/>
      <c r="B24" s="10"/>
      <c r="C24" s="12"/>
      <c r="D24" s="10"/>
    </row>
    <row r="25" spans="1:4" x14ac:dyDescent="0.25">
      <c r="A25" s="10"/>
      <c r="B25" s="10"/>
      <c r="C25" s="12"/>
      <c r="D25" s="10"/>
    </row>
    <row r="26" spans="1:4" x14ac:dyDescent="0.25">
      <c r="A26" s="10"/>
      <c r="B26" s="10"/>
      <c r="C26" s="12"/>
      <c r="D26" s="10"/>
    </row>
    <row r="27" spans="1:4" x14ac:dyDescent="0.25">
      <c r="A27" s="10"/>
      <c r="B27" s="10"/>
      <c r="C27" s="12"/>
      <c r="D27" s="10"/>
    </row>
    <row r="28" spans="1:4" x14ac:dyDescent="0.25">
      <c r="A28" s="10"/>
      <c r="B28" s="10"/>
      <c r="C28" s="12"/>
      <c r="D28" s="10"/>
    </row>
    <row r="29" spans="1:4" x14ac:dyDescent="0.25">
      <c r="A29" s="10"/>
      <c r="B29" s="10"/>
      <c r="C29" s="12"/>
      <c r="D29" s="10"/>
    </row>
    <row r="30" spans="1:4" x14ac:dyDescent="0.25">
      <c r="A30" s="10"/>
      <c r="B30" s="10"/>
      <c r="C30" s="12"/>
      <c r="D30" s="10"/>
    </row>
    <row r="31" spans="1:4" x14ac:dyDescent="0.25">
      <c r="A31" s="10"/>
      <c r="B31" s="10"/>
      <c r="C31" s="12"/>
      <c r="D31" s="10"/>
    </row>
    <row r="32" spans="1:4" x14ac:dyDescent="0.25">
      <c r="A32" s="10"/>
      <c r="B32" s="10"/>
      <c r="C32" s="12"/>
      <c r="D32" s="10"/>
    </row>
    <row r="33" spans="1:4" x14ac:dyDescent="0.25">
      <c r="A33" s="10"/>
      <c r="B33" s="10"/>
      <c r="C33" s="12"/>
      <c r="D33" s="10"/>
    </row>
    <row r="34" spans="1:4" x14ac:dyDescent="0.25">
      <c r="A34" s="10"/>
      <c r="B34" s="10"/>
      <c r="C34" s="12"/>
      <c r="D34" s="10"/>
    </row>
    <row r="35" spans="1:4" x14ac:dyDescent="0.25">
      <c r="A35" s="10"/>
      <c r="B35" s="10"/>
      <c r="C35" s="12"/>
      <c r="D35" s="10"/>
    </row>
    <row r="36" spans="1:4" x14ac:dyDescent="0.25">
      <c r="A36" s="10"/>
      <c r="B36" s="10"/>
      <c r="C36" s="12"/>
      <c r="D36" s="10"/>
    </row>
    <row r="37" spans="1:4" x14ac:dyDescent="0.25">
      <c r="A37" s="10"/>
      <c r="B37" s="10"/>
      <c r="C37" s="12"/>
      <c r="D37" s="10"/>
    </row>
    <row r="38" spans="1:4" x14ac:dyDescent="0.25">
      <c r="A38" s="10"/>
      <c r="B38" s="10"/>
      <c r="C38" s="12"/>
      <c r="D38" s="10"/>
    </row>
    <row r="39" spans="1:4" x14ac:dyDescent="0.25">
      <c r="A39" s="10"/>
      <c r="B39" s="10"/>
      <c r="C39" s="12"/>
      <c r="D39" s="10"/>
    </row>
    <row r="40" spans="1:4" x14ac:dyDescent="0.25">
      <c r="A40" s="10"/>
      <c r="B40" s="10"/>
      <c r="C40" s="12"/>
      <c r="D40" s="10"/>
    </row>
    <row r="41" spans="1:4" x14ac:dyDescent="0.25">
      <c r="A41" s="10"/>
      <c r="B41" s="10"/>
      <c r="C41" s="12"/>
      <c r="D41" s="10"/>
    </row>
    <row r="42" spans="1:4" x14ac:dyDescent="0.25">
      <c r="A42" s="10"/>
      <c r="B42" s="10"/>
      <c r="C42" s="12"/>
      <c r="D42" s="10"/>
    </row>
    <row r="43" spans="1:4" x14ac:dyDescent="0.25">
      <c r="A43" s="10"/>
      <c r="B43" s="10"/>
      <c r="C43" s="12"/>
      <c r="D43" s="10"/>
    </row>
    <row r="44" spans="1:4" x14ac:dyDescent="0.25">
      <c r="A44" s="10"/>
      <c r="B44" s="10"/>
      <c r="C44" s="12"/>
      <c r="D44" s="10"/>
    </row>
    <row r="45" spans="1:4" x14ac:dyDescent="0.25">
      <c r="A45" s="10"/>
      <c r="B45" s="10"/>
      <c r="C45" s="12"/>
      <c r="D45" s="10"/>
    </row>
    <row r="46" spans="1:4" x14ac:dyDescent="0.25">
      <c r="A46" s="10"/>
      <c r="B46" s="10"/>
      <c r="C46" s="12"/>
      <c r="D46" s="10"/>
    </row>
    <row r="47" spans="1:4" x14ac:dyDescent="0.25">
      <c r="A47" s="10"/>
      <c r="B47" s="10"/>
      <c r="C47" s="12"/>
      <c r="D47" s="10"/>
    </row>
    <row r="48" spans="1:4" x14ac:dyDescent="0.25">
      <c r="A48" s="10"/>
      <c r="B48" s="10"/>
      <c r="C48" s="12"/>
      <c r="D48" s="10"/>
    </row>
    <row r="49" spans="1:4" x14ac:dyDescent="0.25">
      <c r="A49" s="10"/>
      <c r="B49" s="10"/>
      <c r="C49" s="12"/>
      <c r="D49" s="10"/>
    </row>
    <row r="50" spans="1:4" x14ac:dyDescent="0.25">
      <c r="A50" s="10"/>
      <c r="B50" s="10"/>
      <c r="C50" s="12"/>
      <c r="D50" s="10"/>
    </row>
    <row r="51" spans="1:4" x14ac:dyDescent="0.25">
      <c r="A51" s="10"/>
      <c r="B51" s="10"/>
      <c r="C51" s="12"/>
      <c r="D51" s="10"/>
    </row>
    <row r="52" spans="1:4" x14ac:dyDescent="0.25">
      <c r="A52" s="10"/>
      <c r="B52" s="10"/>
      <c r="C52" s="12"/>
      <c r="D52" s="10"/>
    </row>
    <row r="53" spans="1:4" x14ac:dyDescent="0.25">
      <c r="A53" s="10"/>
      <c r="B53" s="10"/>
      <c r="C53" s="12"/>
      <c r="D53" s="10"/>
    </row>
    <row r="54" spans="1:4" x14ac:dyDescent="0.25">
      <c r="A54" s="10"/>
      <c r="B54" s="10"/>
      <c r="C54" s="12"/>
      <c r="D54" s="10"/>
    </row>
    <row r="55" spans="1:4" x14ac:dyDescent="0.25">
      <c r="A55" s="10"/>
      <c r="B55" s="10"/>
      <c r="C55" s="12"/>
      <c r="D55" s="10"/>
    </row>
    <row r="56" spans="1:4" x14ac:dyDescent="0.25">
      <c r="A56" s="10"/>
      <c r="B56" s="10"/>
      <c r="C56" s="12"/>
      <c r="D56" s="10"/>
    </row>
    <row r="57" spans="1:4" x14ac:dyDescent="0.25">
      <c r="A57" s="10"/>
      <c r="B57" s="10"/>
      <c r="C57" s="12"/>
      <c r="D57" s="10"/>
    </row>
    <row r="58" spans="1:4" x14ac:dyDescent="0.25">
      <c r="A58" s="10"/>
      <c r="B58" s="10"/>
      <c r="C58" s="12"/>
      <c r="D58" s="10"/>
    </row>
    <row r="59" spans="1:4" x14ac:dyDescent="0.25">
      <c r="A59" s="10"/>
      <c r="B59" s="10"/>
      <c r="C59" s="12"/>
      <c r="D59" s="10"/>
    </row>
    <row r="60" spans="1:4" x14ac:dyDescent="0.25">
      <c r="A60" s="10"/>
      <c r="B60" s="10"/>
      <c r="C60" s="12"/>
      <c r="D60" s="10"/>
    </row>
    <row r="61" spans="1:4" x14ac:dyDescent="0.25">
      <c r="A61" s="10"/>
      <c r="B61" s="10"/>
      <c r="C61" s="12"/>
      <c r="D61" s="10"/>
    </row>
    <row r="62" spans="1:4" x14ac:dyDescent="0.25">
      <c r="A62" s="10"/>
      <c r="B62" s="10"/>
      <c r="C62" s="12"/>
      <c r="D62" s="10"/>
    </row>
    <row r="63" spans="1:4" x14ac:dyDescent="0.25">
      <c r="A63" s="10"/>
      <c r="B63" s="10"/>
      <c r="C63" s="12"/>
      <c r="D63" s="10"/>
    </row>
    <row r="64" spans="1:4" x14ac:dyDescent="0.25">
      <c r="A64" s="10"/>
      <c r="B64" s="10"/>
      <c r="C64" s="12"/>
      <c r="D64" s="10"/>
    </row>
    <row r="65" spans="1:4" x14ac:dyDescent="0.25">
      <c r="A65" s="10"/>
      <c r="B65" s="10"/>
      <c r="C65" s="12"/>
      <c r="D65" s="10"/>
    </row>
    <row r="66" spans="1:4" x14ac:dyDescent="0.25">
      <c r="A66" s="10"/>
      <c r="B66" s="10"/>
      <c r="C66" s="12"/>
      <c r="D66" s="10"/>
    </row>
    <row r="67" spans="1:4" x14ac:dyDescent="0.25">
      <c r="A67" s="10"/>
      <c r="B67" s="10"/>
      <c r="C67" s="12"/>
      <c r="D67" s="10"/>
    </row>
    <row r="68" spans="1:4" x14ac:dyDescent="0.25">
      <c r="A68" s="10"/>
      <c r="B68" s="10"/>
      <c r="C68" s="12"/>
      <c r="D68" s="10"/>
    </row>
    <row r="69" spans="1:4" x14ac:dyDescent="0.25">
      <c r="A69" s="10"/>
      <c r="B69" s="10"/>
      <c r="C69" s="12"/>
      <c r="D69" s="10"/>
    </row>
    <row r="70" spans="1:4" x14ac:dyDescent="0.25">
      <c r="A70" s="10"/>
      <c r="B70" s="10"/>
      <c r="C70" s="12"/>
      <c r="D70" s="10"/>
    </row>
    <row r="71" spans="1:4" x14ac:dyDescent="0.25">
      <c r="A71" s="10"/>
      <c r="B71" s="10"/>
      <c r="C71" s="12"/>
      <c r="D71" s="10"/>
    </row>
    <row r="72" spans="1:4" x14ac:dyDescent="0.25">
      <c r="A72" s="10"/>
      <c r="B72" s="10"/>
      <c r="C72" s="12"/>
      <c r="D72" s="10"/>
    </row>
    <row r="73" spans="1:4" x14ac:dyDescent="0.25">
      <c r="A73" s="10"/>
      <c r="B73" s="10"/>
      <c r="C73" s="12"/>
      <c r="D73" s="10"/>
    </row>
    <row r="74" spans="1:4" x14ac:dyDescent="0.25">
      <c r="A74" s="10"/>
      <c r="B74" s="10"/>
      <c r="C74" s="12"/>
      <c r="D74" s="10"/>
    </row>
    <row r="75" spans="1:4" x14ac:dyDescent="0.25">
      <c r="A75" s="10"/>
      <c r="B75" s="10"/>
      <c r="C75" s="12"/>
      <c r="D75" s="10"/>
    </row>
    <row r="76" spans="1:4" x14ac:dyDescent="0.25">
      <c r="A76" s="10"/>
      <c r="B76" s="10"/>
      <c r="C76" s="12"/>
      <c r="D76" s="10"/>
    </row>
    <row r="77" spans="1:4" x14ac:dyDescent="0.25">
      <c r="A77" s="10"/>
      <c r="B77" s="10"/>
      <c r="C77" s="12"/>
      <c r="D77" s="10"/>
    </row>
    <row r="78" spans="1:4" x14ac:dyDescent="0.25">
      <c r="A78" s="10"/>
      <c r="B78" s="10"/>
      <c r="C78" s="12"/>
      <c r="D78" s="10"/>
    </row>
    <row r="79" spans="1:4" x14ac:dyDescent="0.25">
      <c r="A79" s="10"/>
      <c r="B79" s="10"/>
      <c r="C79" s="12"/>
      <c r="D79" s="10"/>
    </row>
    <row r="80" spans="1:4" x14ac:dyDescent="0.25">
      <c r="A80" s="10"/>
      <c r="B80" s="10"/>
      <c r="C80" s="12"/>
      <c r="D80" s="10"/>
    </row>
    <row r="81" spans="1:4" x14ac:dyDescent="0.25">
      <c r="A81" s="10"/>
      <c r="B81" s="10"/>
      <c r="C81" s="12"/>
      <c r="D81" s="10"/>
    </row>
    <row r="82" spans="1:4" x14ac:dyDescent="0.25">
      <c r="A82" s="10"/>
      <c r="B82" s="10"/>
      <c r="C82" s="12"/>
      <c r="D82" s="10"/>
    </row>
    <row r="83" spans="1:4" x14ac:dyDescent="0.25">
      <c r="A83" s="10"/>
      <c r="B83" s="10"/>
      <c r="C83" s="12"/>
      <c r="D83" s="10"/>
    </row>
    <row r="84" spans="1:4" x14ac:dyDescent="0.25">
      <c r="A84" s="10"/>
      <c r="B84" s="10"/>
      <c r="C84" s="12"/>
      <c r="D84" s="10"/>
    </row>
    <row r="85" spans="1:4" x14ac:dyDescent="0.25">
      <c r="A85" s="10"/>
      <c r="B85" s="10"/>
      <c r="C85" s="12"/>
      <c r="D85" s="10"/>
    </row>
    <row r="86" spans="1:4" x14ac:dyDescent="0.25">
      <c r="A86" s="10"/>
      <c r="B86" s="10"/>
      <c r="C86" s="12"/>
      <c r="D86" s="10"/>
    </row>
    <row r="87" spans="1:4" x14ac:dyDescent="0.25">
      <c r="A87" s="10"/>
      <c r="B87" s="10"/>
      <c r="C87" s="12"/>
      <c r="D87" s="10"/>
    </row>
    <row r="88" spans="1:4" x14ac:dyDescent="0.25">
      <c r="A88" s="10"/>
      <c r="B88" s="10"/>
      <c r="C88" s="12"/>
      <c r="D88" s="10"/>
    </row>
    <row r="89" spans="1:4" x14ac:dyDescent="0.25">
      <c r="A89" s="10"/>
      <c r="B89" s="10"/>
      <c r="C89" s="12"/>
      <c r="D89" s="10"/>
    </row>
    <row r="90" spans="1:4" x14ac:dyDescent="0.25">
      <c r="A90" s="10"/>
      <c r="B90" s="10"/>
      <c r="C90" s="12"/>
      <c r="D90" s="10"/>
    </row>
    <row r="91" spans="1:4" x14ac:dyDescent="0.25">
      <c r="A91" s="10"/>
      <c r="B91" s="10"/>
      <c r="C91" s="12"/>
      <c r="D91" s="10"/>
    </row>
    <row r="92" spans="1:4" x14ac:dyDescent="0.25">
      <c r="A92" s="10"/>
      <c r="B92" s="10"/>
      <c r="C92" s="12"/>
      <c r="D92" s="10"/>
    </row>
    <row r="93" spans="1:4" x14ac:dyDescent="0.25">
      <c r="A93" s="10"/>
      <c r="B93" s="10"/>
      <c r="C93" s="12"/>
      <c r="D93" s="10"/>
    </row>
    <row r="94" spans="1:4" x14ac:dyDescent="0.25">
      <c r="A94" s="10"/>
      <c r="B94" s="10"/>
      <c r="C94" s="12"/>
      <c r="D94" s="10"/>
    </row>
    <row r="95" spans="1:4" x14ac:dyDescent="0.25">
      <c r="A95" s="10"/>
      <c r="B95" s="10"/>
      <c r="C95" s="12"/>
      <c r="D95" s="10"/>
    </row>
    <row r="96" spans="1:4" x14ac:dyDescent="0.25">
      <c r="A96" s="10"/>
      <c r="B96" s="10"/>
      <c r="C96" s="12"/>
      <c r="D96" s="10"/>
    </row>
    <row r="97" spans="1:4" x14ac:dyDescent="0.25">
      <c r="A97" s="10"/>
      <c r="B97" s="10"/>
      <c r="C97" s="12"/>
      <c r="D97" s="10"/>
    </row>
    <row r="98" spans="1:4" x14ac:dyDescent="0.25">
      <c r="A98" s="10"/>
      <c r="B98" s="10"/>
      <c r="C98" s="12"/>
      <c r="D98" s="10"/>
    </row>
    <row r="99" spans="1:4" x14ac:dyDescent="0.25">
      <c r="A99" s="10"/>
      <c r="B99" s="10"/>
      <c r="C99" s="12"/>
      <c r="D99" s="10"/>
    </row>
    <row r="100" spans="1:4" x14ac:dyDescent="0.25">
      <c r="A100" s="10"/>
      <c r="B100" s="10"/>
      <c r="C100" s="12"/>
      <c r="D100" s="10"/>
    </row>
    <row r="101" spans="1:4" x14ac:dyDescent="0.25">
      <c r="A101" s="10"/>
      <c r="B101" s="10"/>
      <c r="C101" s="12"/>
      <c r="D101" s="10"/>
    </row>
    <row r="102" spans="1:4" x14ac:dyDescent="0.25">
      <c r="A102" s="10"/>
      <c r="B102" s="10"/>
      <c r="C102" s="12"/>
      <c r="D102" s="10"/>
    </row>
    <row r="103" spans="1:4" x14ac:dyDescent="0.25">
      <c r="A103" s="10"/>
      <c r="B103" s="10"/>
      <c r="C103" s="12"/>
      <c r="D103" s="10"/>
    </row>
    <row r="104" spans="1:4" x14ac:dyDescent="0.25">
      <c r="A104" s="10"/>
      <c r="B104" s="10"/>
      <c r="C104" s="12"/>
      <c r="D104" s="10"/>
    </row>
  </sheetData>
  <mergeCells count="2">
    <mergeCell ref="A1:E1"/>
    <mergeCell ref="A2:E2"/>
  </mergeCells>
  <dataValidations count="2">
    <dataValidation type="list" allowBlank="1" promptTitle="Unidad" showErrorMessage="1" errorStyle="warning" errorTitle="Elige de la lista" error="Elige una opción de la lista desplegable." sqref="B5:B104">
      <formula1>"kg,g,litro,pieza,porción"</formula1>
    </dataValidation>
    <dataValidation type="decimal" allowBlank="1" promptTitle="Costo por unidad" showErrorMessage="1" errorStyle="warning" errorTitle="Número" error="Escribe un número entre 0 y 1000000000." sqref="C5:C104">
      <formula1>0</formula1>
      <formula2>1000000000</formula2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L804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26" customWidth="1"/>
    <col min="5" max="6" width="12" customWidth="1"/>
    <col min="7" max="8" width="11" customWidth="1"/>
    <col min="9" max="9" width="13" customWidth="1"/>
    <col min="10" max="10" width="16" customWidth="1"/>
    <col min="11" max="11" width="26" customWidth="1"/>
    <col min="12" max="12" width="11" customWidth="1"/>
  </cols>
  <sheetData>
    <row r="1" ht="30" customHeight="1" spans="1:12" x14ac:dyDescent="0.25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2" customHeight="1" spans="1:12" x14ac:dyDescent="0.25">
      <c r="A2" s="7" t="s">
        <v>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ht="32" customHeight="1" spans="1:12" x14ac:dyDescent="0.25">
      <c r="A4" s="8" t="s">
        <v>60</v>
      </c>
      <c r="B4" s="8" t="s">
        <v>38</v>
      </c>
      <c r="C4" s="8" t="s">
        <v>50</v>
      </c>
      <c r="D4" s="13" t="s">
        <v>51</v>
      </c>
      <c r="E4" s="8" t="s">
        <v>61</v>
      </c>
      <c r="F4" s="8" t="s">
        <v>62</v>
      </c>
      <c r="G4" s="13" t="s">
        <v>63</v>
      </c>
      <c r="H4" s="13" t="s">
        <v>64</v>
      </c>
      <c r="I4" s="13" t="s">
        <v>65</v>
      </c>
      <c r="J4" s="8" t="s">
        <v>66</v>
      </c>
      <c r="K4" s="8" t="s">
        <v>67</v>
      </c>
      <c r="L4" s="8" t="s">
        <v>41</v>
      </c>
    </row>
    <row r="5" spans="1:12" x14ac:dyDescent="0.25">
      <c r="A5" s="14">
        <v>46311</v>
      </c>
      <c r="B5" s="9" t="s">
        <v>42</v>
      </c>
      <c r="C5" s="9" t="s">
        <v>53</v>
      </c>
      <c r="D5" s="15">
        <f>IF(C5="","",IFERROR(INDEX(Alimentos!$B$5:$B$104,MATCH(C5,Alimentos!$A$5:$A$104,0)),""))</f>
      </c>
      <c r="E5" s="16">
        <v>8</v>
      </c>
      <c r="F5" s="16">
        <v>1</v>
      </c>
      <c r="G5" s="17">
        <f>IF(OR(E5="",F5=""),"",E5-F5)</f>
      </c>
      <c r="H5" s="18">
        <f>IF(OR(G5="",E5="",E5=0),"",G5/E5)</f>
      </c>
      <c r="I5" s="19">
        <f>IF(OR(E5="",C5=""),"",IFERROR(E5*INDEX(Alimentos!$C$5:$C$104,MATCH(C5,Alimentos!$A$5:$A$104,0)),""))</f>
      </c>
      <c r="J5" s="9" t="s">
        <v>68</v>
      </c>
      <c r="K5" s="9"/>
      <c r="L5" s="9" t="s">
        <v>44</v>
      </c>
    </row>
    <row r="6" spans="1:12" x14ac:dyDescent="0.25">
      <c r="A6" s="14">
        <v>46311</v>
      </c>
      <c r="B6" s="9" t="s">
        <v>45</v>
      </c>
      <c r="C6" s="9" t="s">
        <v>55</v>
      </c>
      <c r="D6" s="15">
        <f>IF(C6="","",IFERROR(INDEX(Alimentos!$B$5:$B$104,MATCH(C6,Alimentos!$A$5:$A$104,0)),""))</f>
      </c>
      <c r="E6" s="16">
        <v>3</v>
      </c>
      <c r="F6" s="16">
        <v>0.2</v>
      </c>
      <c r="G6" s="17">
        <f>IF(OR(E6="",F6=""),"",E6-F6)</f>
      </c>
      <c r="H6" s="18">
        <f>IF(OR(G6="",E6="",E6=0),"",G6/E6)</f>
      </c>
      <c r="I6" s="19">
        <f>IF(OR(E6="",C6=""),"",IFERROR(E6*INDEX(Alimentos!$C$5:$C$104,MATCH(C6,Alimentos!$A$5:$A$104,0)),""))</f>
      </c>
      <c r="J6" s="9" t="s">
        <v>68</v>
      </c>
      <c r="K6" s="9"/>
      <c r="L6" s="9" t="s">
        <v>44</v>
      </c>
    </row>
    <row r="7" spans="1:12" x14ac:dyDescent="0.25">
      <c r="A7" s="14">
        <v>46312</v>
      </c>
      <c r="B7" s="9" t="s">
        <v>42</v>
      </c>
      <c r="C7" s="9" t="s">
        <v>53</v>
      </c>
      <c r="D7" s="15">
        <f>IF(C7="","",IFERROR(INDEX(Alimentos!$B$5:$B$104,MATCH(C7,Alimentos!$A$5:$A$104,0)),""))</f>
      </c>
      <c r="E7" s="16">
        <v>8</v>
      </c>
      <c r="F7" s="16">
        <v>2.5</v>
      </c>
      <c r="G7" s="17">
        <f>IF(OR(E7="",F7=""),"",E7-F7)</f>
      </c>
      <c r="H7" s="18">
        <f>IF(OR(G7="",E7="",E7=0),"",G7/E7)</f>
      </c>
      <c r="I7" s="19">
        <f>IF(OR(E7="",C7=""),"",IFERROR(E7*INDEX(Alimentos!$C$5:$C$104,MATCH(C7,Alimentos!$A$5:$A$104,0)),""))</f>
      </c>
      <c r="J7" s="9" t="s">
        <v>68</v>
      </c>
      <c r="K7" s="9" t="s">
        <v>69</v>
      </c>
      <c r="L7" s="9" t="s">
        <v>44</v>
      </c>
    </row>
    <row r="8" spans="1:12" x14ac:dyDescent="0.25">
      <c r="A8" s="14">
        <v>46312</v>
      </c>
      <c r="B8" s="9" t="s">
        <v>47</v>
      </c>
      <c r="C8" s="9" t="s">
        <v>56</v>
      </c>
      <c r="D8" s="15">
        <f>IF(C8="","",IFERROR(INDEX(Alimentos!$B$5:$B$104,MATCH(C8,Alimentos!$A$5:$A$104,0)),""))</f>
      </c>
      <c r="E8" s="16">
        <v>24</v>
      </c>
      <c r="F8" s="16">
        <v>2</v>
      </c>
      <c r="G8" s="17">
        <f>IF(OR(E8="",F8=""),"",E8-F8)</f>
      </c>
      <c r="H8" s="18">
        <f>IF(OR(G8="",E8="",E8=0),"",G8/E8)</f>
      </c>
      <c r="I8" s="19">
        <f>IF(OR(E8="",C8=""),"",IFERROR(E8*INDEX(Alimentos!$C$5:$C$104,MATCH(C8,Alimentos!$A$5:$A$104,0)),""))</f>
      </c>
      <c r="J8" s="9" t="s">
        <v>68</v>
      </c>
      <c r="K8" s="9"/>
      <c r="L8" s="9" t="s">
        <v>44</v>
      </c>
    </row>
    <row r="9" spans="1:12" x14ac:dyDescent="0.25">
      <c r="A9" s="14">
        <v>46313</v>
      </c>
      <c r="B9" s="9" t="s">
        <v>45</v>
      </c>
      <c r="C9" s="9" t="s">
        <v>55</v>
      </c>
      <c r="D9" s="15">
        <f>IF(C9="","",IFERROR(INDEX(Alimentos!$B$5:$B$104,MATCH(C9,Alimentos!$A$5:$A$104,0)),""))</f>
      </c>
      <c r="E9" s="16">
        <v>3</v>
      </c>
      <c r="F9" s="16">
        <v>0.1</v>
      </c>
      <c r="G9" s="17">
        <f>IF(OR(E9="",F9=""),"",E9-F9)</f>
      </c>
      <c r="H9" s="18">
        <f>IF(OR(G9="",E9="",E9=0),"",G9/E9)</f>
      </c>
      <c r="I9" s="19">
        <f>IF(OR(E9="",C9=""),"",IFERROR(E9*INDEX(Alimentos!$C$5:$C$104,MATCH(C9,Alimentos!$A$5:$A$104,0)),""))</f>
      </c>
      <c r="J9" s="9" t="s">
        <v>68</v>
      </c>
      <c r="K9" s="9"/>
      <c r="L9" s="9" t="s">
        <v>44</v>
      </c>
    </row>
    <row r="10" spans="1:12" x14ac:dyDescent="0.25">
      <c r="A10" s="14">
        <v>46314</v>
      </c>
      <c r="B10" s="9" t="s">
        <v>47</v>
      </c>
      <c r="C10" s="9" t="s">
        <v>56</v>
      </c>
      <c r="D10" s="15">
        <f>IF(C10="","",IFERROR(INDEX(Alimentos!$B$5:$B$104,MATCH(C10,Alimentos!$A$5:$A$104,0)),""))</f>
      </c>
      <c r="E10" s="16">
        <v>24</v>
      </c>
      <c r="F10" s="16">
        <v>5</v>
      </c>
      <c r="G10" s="17">
        <f>IF(OR(E10="",F10=""),"",E10-F10)</f>
      </c>
      <c r="H10" s="18">
        <f>IF(OR(G10="",E10="",E10=0),"",G10/E10)</f>
      </c>
      <c r="I10" s="19">
        <f>IF(OR(E10="",C10=""),"",IFERROR(E10*INDEX(Alimentos!$C$5:$C$104,MATCH(C10,Alimentos!$A$5:$A$104,0)),""))</f>
      </c>
      <c r="J10" s="9" t="s">
        <v>68</v>
      </c>
      <c r="K10" s="9"/>
      <c r="L10" s="9" t="s">
        <v>44</v>
      </c>
    </row>
    <row r="11" spans="1:12" x14ac:dyDescent="0.25">
      <c r="A11" s="20"/>
      <c r="B11" s="10"/>
      <c r="C11" s="10"/>
      <c r="D11" s="15">
        <f>IF(C11="","",IFERROR(INDEX(Alimentos!$B$5:$B$104,MATCH(C11,Alimentos!$A$5:$A$104,0)),""))</f>
      </c>
      <c r="E11" s="21"/>
      <c r="F11" s="21"/>
      <c r="G11" s="17">
        <f>IF(OR(E11="",F11=""),"",E11-F11)</f>
      </c>
      <c r="H11" s="18">
        <f>IF(OR(G11="",E11="",E11=0),"",G11/E11)</f>
      </c>
      <c r="I11" s="19">
        <f>IF(OR(E11="",C11=""),"",IFERROR(E11*INDEX(Alimentos!$C$5:$C$104,MATCH(C11,Alimentos!$A$5:$A$104,0)),""))</f>
      </c>
      <c r="J11" s="10"/>
      <c r="K11" s="10"/>
      <c r="L11" s="10"/>
    </row>
    <row r="12" spans="1:12" x14ac:dyDescent="0.25">
      <c r="A12" s="20"/>
      <c r="B12" s="10"/>
      <c r="C12" s="10"/>
      <c r="D12" s="15">
        <f>IF(C12="","",IFERROR(INDEX(Alimentos!$B$5:$B$104,MATCH(C12,Alimentos!$A$5:$A$104,0)),""))</f>
      </c>
      <c r="E12" s="21"/>
      <c r="F12" s="21"/>
      <c r="G12" s="17">
        <f>IF(OR(E12="",F12=""),"",E12-F12)</f>
      </c>
      <c r="H12" s="18">
        <f>IF(OR(G12="",E12="",E12=0),"",G12/E12)</f>
      </c>
      <c r="I12" s="19">
        <f>IF(OR(E12="",C12=""),"",IFERROR(E12*INDEX(Alimentos!$C$5:$C$104,MATCH(C12,Alimentos!$A$5:$A$104,0)),""))</f>
      </c>
      <c r="J12" s="10"/>
      <c r="K12" s="10"/>
      <c r="L12" s="10"/>
    </row>
    <row r="13" spans="1:12" x14ac:dyDescent="0.25">
      <c r="A13" s="20"/>
      <c r="B13" s="10"/>
      <c r="C13" s="10"/>
      <c r="D13" s="15">
        <f>IF(C13="","",IFERROR(INDEX(Alimentos!$B$5:$B$104,MATCH(C13,Alimentos!$A$5:$A$104,0)),""))</f>
      </c>
      <c r="E13" s="21"/>
      <c r="F13" s="21"/>
      <c r="G13" s="17">
        <f>IF(OR(E13="",F13=""),"",E13-F13)</f>
      </c>
      <c r="H13" s="18">
        <f>IF(OR(G13="",E13="",E13=0),"",G13/E13)</f>
      </c>
      <c r="I13" s="19">
        <f>IF(OR(E13="",C13=""),"",IFERROR(E13*INDEX(Alimentos!$C$5:$C$104,MATCH(C13,Alimentos!$A$5:$A$104,0)),""))</f>
      </c>
      <c r="J13" s="10"/>
      <c r="K13" s="10"/>
      <c r="L13" s="10"/>
    </row>
    <row r="14" spans="1:12" x14ac:dyDescent="0.25">
      <c r="A14" s="20"/>
      <c r="B14" s="10"/>
      <c r="C14" s="10"/>
      <c r="D14" s="15">
        <f>IF(C14="","",IFERROR(INDEX(Alimentos!$B$5:$B$104,MATCH(C14,Alimentos!$A$5:$A$104,0)),""))</f>
      </c>
      <c r="E14" s="21"/>
      <c r="F14" s="21"/>
      <c r="G14" s="17">
        <f>IF(OR(E14="",F14=""),"",E14-F14)</f>
      </c>
      <c r="H14" s="18">
        <f>IF(OR(G14="",E14="",E14=0),"",G14/E14)</f>
      </c>
      <c r="I14" s="19">
        <f>IF(OR(E14="",C14=""),"",IFERROR(E14*INDEX(Alimentos!$C$5:$C$104,MATCH(C14,Alimentos!$A$5:$A$104,0)),""))</f>
      </c>
      <c r="J14" s="10"/>
      <c r="K14" s="10"/>
      <c r="L14" s="10"/>
    </row>
    <row r="15" spans="1:12" x14ac:dyDescent="0.25">
      <c r="A15" s="20"/>
      <c r="B15" s="10"/>
      <c r="C15" s="10"/>
      <c r="D15" s="15">
        <f>IF(C15="","",IFERROR(INDEX(Alimentos!$B$5:$B$104,MATCH(C15,Alimentos!$A$5:$A$104,0)),""))</f>
      </c>
      <c r="E15" s="21"/>
      <c r="F15" s="21"/>
      <c r="G15" s="17">
        <f>IF(OR(E15="",F15=""),"",E15-F15)</f>
      </c>
      <c r="H15" s="18">
        <f>IF(OR(G15="",E15="",E15=0),"",G15/E15)</f>
      </c>
      <c r="I15" s="19">
        <f>IF(OR(E15="",C15=""),"",IFERROR(E15*INDEX(Alimentos!$C$5:$C$104,MATCH(C15,Alimentos!$A$5:$A$104,0)),""))</f>
      </c>
      <c r="J15" s="10"/>
      <c r="K15" s="10"/>
      <c r="L15" s="10"/>
    </row>
    <row r="16" spans="1:12" x14ac:dyDescent="0.25">
      <c r="A16" s="20"/>
      <c r="B16" s="10"/>
      <c r="C16" s="10"/>
      <c r="D16" s="15">
        <f>IF(C16="","",IFERROR(INDEX(Alimentos!$B$5:$B$104,MATCH(C16,Alimentos!$A$5:$A$104,0)),""))</f>
      </c>
      <c r="E16" s="21"/>
      <c r="F16" s="21"/>
      <c r="G16" s="17">
        <f>IF(OR(E16="",F16=""),"",E16-F16)</f>
      </c>
      <c r="H16" s="18">
        <f>IF(OR(G16="",E16="",E16=0),"",G16/E16)</f>
      </c>
      <c r="I16" s="19">
        <f>IF(OR(E16="",C16=""),"",IFERROR(E16*INDEX(Alimentos!$C$5:$C$104,MATCH(C16,Alimentos!$A$5:$A$104,0)),""))</f>
      </c>
      <c r="J16" s="10"/>
      <c r="K16" s="10"/>
      <c r="L16" s="10"/>
    </row>
    <row r="17" spans="1:12" x14ac:dyDescent="0.25">
      <c r="A17" s="20"/>
      <c r="B17" s="10"/>
      <c r="C17" s="10"/>
      <c r="D17" s="15">
        <f>IF(C17="","",IFERROR(INDEX(Alimentos!$B$5:$B$104,MATCH(C17,Alimentos!$A$5:$A$104,0)),""))</f>
      </c>
      <c r="E17" s="21"/>
      <c r="F17" s="21"/>
      <c r="G17" s="17">
        <f>IF(OR(E17="",F17=""),"",E17-F17)</f>
      </c>
      <c r="H17" s="18">
        <f>IF(OR(G17="",E17="",E17=0),"",G17/E17)</f>
      </c>
      <c r="I17" s="19">
        <f>IF(OR(E17="",C17=""),"",IFERROR(E17*INDEX(Alimentos!$C$5:$C$104,MATCH(C17,Alimentos!$A$5:$A$104,0)),""))</f>
      </c>
      <c r="J17" s="10"/>
      <c r="K17" s="10"/>
      <c r="L17" s="10"/>
    </row>
    <row r="18" spans="1:12" x14ac:dyDescent="0.25">
      <c r="A18" s="20"/>
      <c r="B18" s="10"/>
      <c r="C18" s="10"/>
      <c r="D18" s="15">
        <f>IF(C18="","",IFERROR(INDEX(Alimentos!$B$5:$B$104,MATCH(C18,Alimentos!$A$5:$A$104,0)),""))</f>
      </c>
      <c r="E18" s="21"/>
      <c r="F18" s="21"/>
      <c r="G18" s="17">
        <f>IF(OR(E18="",F18=""),"",E18-F18)</f>
      </c>
      <c r="H18" s="18">
        <f>IF(OR(G18="",E18="",E18=0),"",G18/E18)</f>
      </c>
      <c r="I18" s="19">
        <f>IF(OR(E18="",C18=""),"",IFERROR(E18*INDEX(Alimentos!$C$5:$C$104,MATCH(C18,Alimentos!$A$5:$A$104,0)),""))</f>
      </c>
      <c r="J18" s="10"/>
      <c r="K18" s="10"/>
      <c r="L18" s="10"/>
    </row>
    <row r="19" spans="1:12" x14ac:dyDescent="0.25">
      <c r="A19" s="20"/>
      <c r="B19" s="10"/>
      <c r="C19" s="10"/>
      <c r="D19" s="15">
        <f>IF(C19="","",IFERROR(INDEX(Alimentos!$B$5:$B$104,MATCH(C19,Alimentos!$A$5:$A$104,0)),""))</f>
      </c>
      <c r="E19" s="21"/>
      <c r="F19" s="21"/>
      <c r="G19" s="17">
        <f>IF(OR(E19="",F19=""),"",E19-F19)</f>
      </c>
      <c r="H19" s="18">
        <f>IF(OR(G19="",E19="",E19=0),"",G19/E19)</f>
      </c>
      <c r="I19" s="19">
        <f>IF(OR(E19="",C19=""),"",IFERROR(E19*INDEX(Alimentos!$C$5:$C$104,MATCH(C19,Alimentos!$A$5:$A$104,0)),""))</f>
      </c>
      <c r="J19" s="10"/>
      <c r="K19" s="10"/>
      <c r="L19" s="10"/>
    </row>
    <row r="20" spans="1:12" x14ac:dyDescent="0.25">
      <c r="A20" s="20"/>
      <c r="B20" s="10"/>
      <c r="C20" s="10"/>
      <c r="D20" s="15">
        <f>IF(C20="","",IFERROR(INDEX(Alimentos!$B$5:$B$104,MATCH(C20,Alimentos!$A$5:$A$104,0)),""))</f>
      </c>
      <c r="E20" s="21"/>
      <c r="F20" s="21"/>
      <c r="G20" s="17">
        <f>IF(OR(E20="",F20=""),"",E20-F20)</f>
      </c>
      <c r="H20" s="18">
        <f>IF(OR(G20="",E20="",E20=0),"",G20/E20)</f>
      </c>
      <c r="I20" s="19">
        <f>IF(OR(E20="",C20=""),"",IFERROR(E20*INDEX(Alimentos!$C$5:$C$104,MATCH(C20,Alimentos!$A$5:$A$104,0)),""))</f>
      </c>
      <c r="J20" s="10"/>
      <c r="K20" s="10"/>
      <c r="L20" s="10"/>
    </row>
    <row r="21" spans="1:12" x14ac:dyDescent="0.25">
      <c r="A21" s="20"/>
      <c r="B21" s="10"/>
      <c r="C21" s="10"/>
      <c r="D21" s="15">
        <f>IF(C21="","",IFERROR(INDEX(Alimentos!$B$5:$B$104,MATCH(C21,Alimentos!$A$5:$A$104,0)),""))</f>
      </c>
      <c r="E21" s="21"/>
      <c r="F21" s="21"/>
      <c r="G21" s="17">
        <f>IF(OR(E21="",F21=""),"",E21-F21)</f>
      </c>
      <c r="H21" s="18">
        <f>IF(OR(G21="",E21="",E21=0),"",G21/E21)</f>
      </c>
      <c r="I21" s="19">
        <f>IF(OR(E21="",C21=""),"",IFERROR(E21*INDEX(Alimentos!$C$5:$C$104,MATCH(C21,Alimentos!$A$5:$A$104,0)),""))</f>
      </c>
      <c r="J21" s="10"/>
      <c r="K21" s="10"/>
      <c r="L21" s="10"/>
    </row>
    <row r="22" spans="1:12" x14ac:dyDescent="0.25">
      <c r="A22" s="20"/>
      <c r="B22" s="10"/>
      <c r="C22" s="10"/>
      <c r="D22" s="15">
        <f>IF(C22="","",IFERROR(INDEX(Alimentos!$B$5:$B$104,MATCH(C22,Alimentos!$A$5:$A$104,0)),""))</f>
      </c>
      <c r="E22" s="21"/>
      <c r="F22" s="21"/>
      <c r="G22" s="17">
        <f>IF(OR(E22="",F22=""),"",E22-F22)</f>
      </c>
      <c r="H22" s="18">
        <f>IF(OR(G22="",E22="",E22=0),"",G22/E22)</f>
      </c>
      <c r="I22" s="19">
        <f>IF(OR(E22="",C22=""),"",IFERROR(E22*INDEX(Alimentos!$C$5:$C$104,MATCH(C22,Alimentos!$A$5:$A$104,0)),""))</f>
      </c>
      <c r="J22" s="10"/>
      <c r="K22" s="10"/>
      <c r="L22" s="10"/>
    </row>
    <row r="23" spans="1:12" x14ac:dyDescent="0.25">
      <c r="A23" s="20"/>
      <c r="B23" s="10"/>
      <c r="C23" s="10"/>
      <c r="D23" s="15">
        <f>IF(C23="","",IFERROR(INDEX(Alimentos!$B$5:$B$104,MATCH(C23,Alimentos!$A$5:$A$104,0)),""))</f>
      </c>
      <c r="E23" s="21"/>
      <c r="F23" s="21"/>
      <c r="G23" s="17">
        <f>IF(OR(E23="",F23=""),"",E23-F23)</f>
      </c>
      <c r="H23" s="18">
        <f>IF(OR(G23="",E23="",E23=0),"",G23/E23)</f>
      </c>
      <c r="I23" s="19">
        <f>IF(OR(E23="",C23=""),"",IFERROR(E23*INDEX(Alimentos!$C$5:$C$104,MATCH(C23,Alimentos!$A$5:$A$104,0)),""))</f>
      </c>
      <c r="J23" s="10"/>
      <c r="K23" s="10"/>
      <c r="L23" s="10"/>
    </row>
    <row r="24" spans="1:12" x14ac:dyDescent="0.25">
      <c r="A24" s="20"/>
      <c r="B24" s="10"/>
      <c r="C24" s="10"/>
      <c r="D24" s="15">
        <f>IF(C24="","",IFERROR(INDEX(Alimentos!$B$5:$B$104,MATCH(C24,Alimentos!$A$5:$A$104,0)),""))</f>
      </c>
      <c r="E24" s="21"/>
      <c r="F24" s="21"/>
      <c r="G24" s="17">
        <f>IF(OR(E24="",F24=""),"",E24-F24)</f>
      </c>
      <c r="H24" s="18">
        <f>IF(OR(G24="",E24="",E24=0),"",G24/E24)</f>
      </c>
      <c r="I24" s="19">
        <f>IF(OR(E24="",C24=""),"",IFERROR(E24*INDEX(Alimentos!$C$5:$C$104,MATCH(C24,Alimentos!$A$5:$A$104,0)),""))</f>
      </c>
      <c r="J24" s="10"/>
      <c r="K24" s="10"/>
      <c r="L24" s="10"/>
    </row>
    <row r="25" spans="1:12" x14ac:dyDescent="0.25">
      <c r="A25" s="20"/>
      <c r="B25" s="10"/>
      <c r="C25" s="10"/>
      <c r="D25" s="15">
        <f>IF(C25="","",IFERROR(INDEX(Alimentos!$B$5:$B$104,MATCH(C25,Alimentos!$A$5:$A$104,0)),""))</f>
      </c>
      <c r="E25" s="21"/>
      <c r="F25" s="21"/>
      <c r="G25" s="17">
        <f>IF(OR(E25="",F25=""),"",E25-F25)</f>
      </c>
      <c r="H25" s="18">
        <f>IF(OR(G25="",E25="",E25=0),"",G25/E25)</f>
      </c>
      <c r="I25" s="19">
        <f>IF(OR(E25="",C25=""),"",IFERROR(E25*INDEX(Alimentos!$C$5:$C$104,MATCH(C25,Alimentos!$A$5:$A$104,0)),""))</f>
      </c>
      <c r="J25" s="10"/>
      <c r="K25" s="10"/>
      <c r="L25" s="10"/>
    </row>
    <row r="26" spans="1:12" x14ac:dyDescent="0.25">
      <c r="A26" s="20"/>
      <c r="B26" s="10"/>
      <c r="C26" s="10"/>
      <c r="D26" s="15">
        <f>IF(C26="","",IFERROR(INDEX(Alimentos!$B$5:$B$104,MATCH(C26,Alimentos!$A$5:$A$104,0)),""))</f>
      </c>
      <c r="E26" s="21"/>
      <c r="F26" s="21"/>
      <c r="G26" s="17">
        <f>IF(OR(E26="",F26=""),"",E26-F26)</f>
      </c>
      <c r="H26" s="18">
        <f>IF(OR(G26="",E26="",E26=0),"",G26/E26)</f>
      </c>
      <c r="I26" s="19">
        <f>IF(OR(E26="",C26=""),"",IFERROR(E26*INDEX(Alimentos!$C$5:$C$104,MATCH(C26,Alimentos!$A$5:$A$104,0)),""))</f>
      </c>
      <c r="J26" s="10"/>
      <c r="K26" s="10"/>
      <c r="L26" s="10"/>
    </row>
    <row r="27" spans="1:12" x14ac:dyDescent="0.25">
      <c r="A27" s="20"/>
      <c r="B27" s="10"/>
      <c r="C27" s="10"/>
      <c r="D27" s="15">
        <f>IF(C27="","",IFERROR(INDEX(Alimentos!$B$5:$B$104,MATCH(C27,Alimentos!$A$5:$A$104,0)),""))</f>
      </c>
      <c r="E27" s="21"/>
      <c r="F27" s="21"/>
      <c r="G27" s="17">
        <f>IF(OR(E27="",F27=""),"",E27-F27)</f>
      </c>
      <c r="H27" s="18">
        <f>IF(OR(G27="",E27="",E27=0),"",G27/E27)</f>
      </c>
      <c r="I27" s="19">
        <f>IF(OR(E27="",C27=""),"",IFERROR(E27*INDEX(Alimentos!$C$5:$C$104,MATCH(C27,Alimentos!$A$5:$A$104,0)),""))</f>
      </c>
      <c r="J27" s="10"/>
      <c r="K27" s="10"/>
      <c r="L27" s="10"/>
    </row>
    <row r="28" spans="1:12" x14ac:dyDescent="0.25">
      <c r="A28" s="20"/>
      <c r="B28" s="10"/>
      <c r="C28" s="10"/>
      <c r="D28" s="15">
        <f>IF(C28="","",IFERROR(INDEX(Alimentos!$B$5:$B$104,MATCH(C28,Alimentos!$A$5:$A$104,0)),""))</f>
      </c>
      <c r="E28" s="21"/>
      <c r="F28" s="21"/>
      <c r="G28" s="17">
        <f>IF(OR(E28="",F28=""),"",E28-F28)</f>
      </c>
      <c r="H28" s="18">
        <f>IF(OR(G28="",E28="",E28=0),"",G28/E28)</f>
      </c>
      <c r="I28" s="19">
        <f>IF(OR(E28="",C28=""),"",IFERROR(E28*INDEX(Alimentos!$C$5:$C$104,MATCH(C28,Alimentos!$A$5:$A$104,0)),""))</f>
      </c>
      <c r="J28" s="10"/>
      <c r="K28" s="10"/>
      <c r="L28" s="10"/>
    </row>
    <row r="29" spans="1:12" x14ac:dyDescent="0.25">
      <c r="A29" s="20"/>
      <c r="B29" s="10"/>
      <c r="C29" s="10"/>
      <c r="D29" s="15">
        <f>IF(C29="","",IFERROR(INDEX(Alimentos!$B$5:$B$104,MATCH(C29,Alimentos!$A$5:$A$104,0)),""))</f>
      </c>
      <c r="E29" s="21"/>
      <c r="F29" s="21"/>
      <c r="G29" s="17">
        <f>IF(OR(E29="",F29=""),"",E29-F29)</f>
      </c>
      <c r="H29" s="18">
        <f>IF(OR(G29="",E29="",E29=0),"",G29/E29)</f>
      </c>
      <c r="I29" s="19">
        <f>IF(OR(E29="",C29=""),"",IFERROR(E29*INDEX(Alimentos!$C$5:$C$104,MATCH(C29,Alimentos!$A$5:$A$104,0)),""))</f>
      </c>
      <c r="J29" s="10"/>
      <c r="K29" s="10"/>
      <c r="L29" s="10"/>
    </row>
    <row r="30" spans="1:12" x14ac:dyDescent="0.25">
      <c r="A30" s="20"/>
      <c r="B30" s="10"/>
      <c r="C30" s="10"/>
      <c r="D30" s="15">
        <f>IF(C30="","",IFERROR(INDEX(Alimentos!$B$5:$B$104,MATCH(C30,Alimentos!$A$5:$A$104,0)),""))</f>
      </c>
      <c r="E30" s="21"/>
      <c r="F30" s="21"/>
      <c r="G30" s="17">
        <f>IF(OR(E30="",F30=""),"",E30-F30)</f>
      </c>
      <c r="H30" s="18">
        <f>IF(OR(G30="",E30="",E30=0),"",G30/E30)</f>
      </c>
      <c r="I30" s="19">
        <f>IF(OR(E30="",C30=""),"",IFERROR(E30*INDEX(Alimentos!$C$5:$C$104,MATCH(C30,Alimentos!$A$5:$A$104,0)),""))</f>
      </c>
      <c r="J30" s="10"/>
      <c r="K30" s="10"/>
      <c r="L30" s="10"/>
    </row>
    <row r="31" spans="1:12" x14ac:dyDescent="0.25">
      <c r="A31" s="20"/>
      <c r="B31" s="10"/>
      <c r="C31" s="10"/>
      <c r="D31" s="15">
        <f>IF(C31="","",IFERROR(INDEX(Alimentos!$B$5:$B$104,MATCH(C31,Alimentos!$A$5:$A$104,0)),""))</f>
      </c>
      <c r="E31" s="21"/>
      <c r="F31" s="21"/>
      <c r="G31" s="17">
        <f>IF(OR(E31="",F31=""),"",E31-F31)</f>
      </c>
      <c r="H31" s="18">
        <f>IF(OR(G31="",E31="",E31=0),"",G31/E31)</f>
      </c>
      <c r="I31" s="19">
        <f>IF(OR(E31="",C31=""),"",IFERROR(E31*INDEX(Alimentos!$C$5:$C$104,MATCH(C31,Alimentos!$A$5:$A$104,0)),""))</f>
      </c>
      <c r="J31" s="10"/>
      <c r="K31" s="10"/>
      <c r="L31" s="10"/>
    </row>
    <row r="32" spans="1:12" x14ac:dyDescent="0.25">
      <c r="A32" s="20"/>
      <c r="B32" s="10"/>
      <c r="C32" s="10"/>
      <c r="D32" s="15">
        <f>IF(C32="","",IFERROR(INDEX(Alimentos!$B$5:$B$104,MATCH(C32,Alimentos!$A$5:$A$104,0)),""))</f>
      </c>
      <c r="E32" s="21"/>
      <c r="F32" s="21"/>
      <c r="G32" s="17">
        <f>IF(OR(E32="",F32=""),"",E32-F32)</f>
      </c>
      <c r="H32" s="18">
        <f>IF(OR(G32="",E32="",E32=0),"",G32/E32)</f>
      </c>
      <c r="I32" s="19">
        <f>IF(OR(E32="",C32=""),"",IFERROR(E32*INDEX(Alimentos!$C$5:$C$104,MATCH(C32,Alimentos!$A$5:$A$104,0)),""))</f>
      </c>
      <c r="J32" s="10"/>
      <c r="K32" s="10"/>
      <c r="L32" s="10"/>
    </row>
    <row r="33" spans="1:12" x14ac:dyDescent="0.25">
      <c r="A33" s="20"/>
      <c r="B33" s="10"/>
      <c r="C33" s="10"/>
      <c r="D33" s="15">
        <f>IF(C33="","",IFERROR(INDEX(Alimentos!$B$5:$B$104,MATCH(C33,Alimentos!$A$5:$A$104,0)),""))</f>
      </c>
      <c r="E33" s="21"/>
      <c r="F33" s="21"/>
      <c r="G33" s="17">
        <f>IF(OR(E33="",F33=""),"",E33-F33)</f>
      </c>
      <c r="H33" s="18">
        <f>IF(OR(G33="",E33="",E33=0),"",G33/E33)</f>
      </c>
      <c r="I33" s="19">
        <f>IF(OR(E33="",C33=""),"",IFERROR(E33*INDEX(Alimentos!$C$5:$C$104,MATCH(C33,Alimentos!$A$5:$A$104,0)),""))</f>
      </c>
      <c r="J33" s="10"/>
      <c r="K33" s="10"/>
      <c r="L33" s="10"/>
    </row>
    <row r="34" spans="1:12" x14ac:dyDescent="0.25">
      <c r="A34" s="20"/>
      <c r="B34" s="10"/>
      <c r="C34" s="10"/>
      <c r="D34" s="15">
        <f>IF(C34="","",IFERROR(INDEX(Alimentos!$B$5:$B$104,MATCH(C34,Alimentos!$A$5:$A$104,0)),""))</f>
      </c>
      <c r="E34" s="21"/>
      <c r="F34" s="21"/>
      <c r="G34" s="17">
        <f>IF(OR(E34="",F34=""),"",E34-F34)</f>
      </c>
      <c r="H34" s="18">
        <f>IF(OR(G34="",E34="",E34=0),"",G34/E34)</f>
      </c>
      <c r="I34" s="19">
        <f>IF(OR(E34="",C34=""),"",IFERROR(E34*INDEX(Alimentos!$C$5:$C$104,MATCH(C34,Alimentos!$A$5:$A$104,0)),""))</f>
      </c>
      <c r="J34" s="10"/>
      <c r="K34" s="10"/>
      <c r="L34" s="10"/>
    </row>
    <row r="35" spans="1:12" x14ac:dyDescent="0.25">
      <c r="A35" s="20"/>
      <c r="B35" s="10"/>
      <c r="C35" s="10"/>
      <c r="D35" s="15">
        <f>IF(C35="","",IFERROR(INDEX(Alimentos!$B$5:$B$104,MATCH(C35,Alimentos!$A$5:$A$104,0)),""))</f>
      </c>
      <c r="E35" s="21"/>
      <c r="F35" s="21"/>
      <c r="G35" s="17">
        <f>IF(OR(E35="",F35=""),"",E35-F35)</f>
      </c>
      <c r="H35" s="18">
        <f>IF(OR(G35="",E35="",E35=0),"",G35/E35)</f>
      </c>
      <c r="I35" s="19">
        <f>IF(OR(E35="",C35=""),"",IFERROR(E35*INDEX(Alimentos!$C$5:$C$104,MATCH(C35,Alimentos!$A$5:$A$104,0)),""))</f>
      </c>
      <c r="J35" s="10"/>
      <c r="K35" s="10"/>
      <c r="L35" s="10"/>
    </row>
    <row r="36" spans="1:12" x14ac:dyDescent="0.25">
      <c r="A36" s="20"/>
      <c r="B36" s="10"/>
      <c r="C36" s="10"/>
      <c r="D36" s="15">
        <f>IF(C36="","",IFERROR(INDEX(Alimentos!$B$5:$B$104,MATCH(C36,Alimentos!$A$5:$A$104,0)),""))</f>
      </c>
      <c r="E36" s="21"/>
      <c r="F36" s="21"/>
      <c r="G36" s="17">
        <f>IF(OR(E36="",F36=""),"",E36-F36)</f>
      </c>
      <c r="H36" s="18">
        <f>IF(OR(G36="",E36="",E36=0),"",G36/E36)</f>
      </c>
      <c r="I36" s="19">
        <f>IF(OR(E36="",C36=""),"",IFERROR(E36*INDEX(Alimentos!$C$5:$C$104,MATCH(C36,Alimentos!$A$5:$A$104,0)),""))</f>
      </c>
      <c r="J36" s="10"/>
      <c r="K36" s="10"/>
      <c r="L36" s="10"/>
    </row>
    <row r="37" spans="1:12" x14ac:dyDescent="0.25">
      <c r="A37" s="20"/>
      <c r="B37" s="10"/>
      <c r="C37" s="10"/>
      <c r="D37" s="15">
        <f>IF(C37="","",IFERROR(INDEX(Alimentos!$B$5:$B$104,MATCH(C37,Alimentos!$A$5:$A$104,0)),""))</f>
      </c>
      <c r="E37" s="21"/>
      <c r="F37" s="21"/>
      <c r="G37" s="17">
        <f>IF(OR(E37="",F37=""),"",E37-F37)</f>
      </c>
      <c r="H37" s="18">
        <f>IF(OR(G37="",E37="",E37=0),"",G37/E37)</f>
      </c>
      <c r="I37" s="19">
        <f>IF(OR(E37="",C37=""),"",IFERROR(E37*INDEX(Alimentos!$C$5:$C$104,MATCH(C37,Alimentos!$A$5:$A$104,0)),""))</f>
      </c>
      <c r="J37" s="10"/>
      <c r="K37" s="10"/>
      <c r="L37" s="10"/>
    </row>
    <row r="38" spans="1:12" x14ac:dyDescent="0.25">
      <c r="A38" s="20"/>
      <c r="B38" s="10"/>
      <c r="C38" s="10"/>
      <c r="D38" s="15">
        <f>IF(C38="","",IFERROR(INDEX(Alimentos!$B$5:$B$104,MATCH(C38,Alimentos!$A$5:$A$104,0)),""))</f>
      </c>
      <c r="E38" s="21"/>
      <c r="F38" s="21"/>
      <c r="G38" s="17">
        <f>IF(OR(E38="",F38=""),"",E38-F38)</f>
      </c>
      <c r="H38" s="18">
        <f>IF(OR(G38="",E38="",E38=0),"",G38/E38)</f>
      </c>
      <c r="I38" s="19">
        <f>IF(OR(E38="",C38=""),"",IFERROR(E38*INDEX(Alimentos!$C$5:$C$104,MATCH(C38,Alimentos!$A$5:$A$104,0)),""))</f>
      </c>
      <c r="J38" s="10"/>
      <c r="K38" s="10"/>
      <c r="L38" s="10"/>
    </row>
    <row r="39" spans="1:12" x14ac:dyDescent="0.25">
      <c r="A39" s="20"/>
      <c r="B39" s="10"/>
      <c r="C39" s="10"/>
      <c r="D39" s="15">
        <f>IF(C39="","",IFERROR(INDEX(Alimentos!$B$5:$B$104,MATCH(C39,Alimentos!$A$5:$A$104,0)),""))</f>
      </c>
      <c r="E39" s="21"/>
      <c r="F39" s="21"/>
      <c r="G39" s="17">
        <f>IF(OR(E39="",F39=""),"",E39-F39)</f>
      </c>
      <c r="H39" s="18">
        <f>IF(OR(G39="",E39="",E39=0),"",G39/E39)</f>
      </c>
      <c r="I39" s="19">
        <f>IF(OR(E39="",C39=""),"",IFERROR(E39*INDEX(Alimentos!$C$5:$C$104,MATCH(C39,Alimentos!$A$5:$A$104,0)),""))</f>
      </c>
      <c r="J39" s="10"/>
      <c r="K39" s="10"/>
      <c r="L39" s="10"/>
    </row>
    <row r="40" spans="1:12" x14ac:dyDescent="0.25">
      <c r="A40" s="20"/>
      <c r="B40" s="10"/>
      <c r="C40" s="10"/>
      <c r="D40" s="15">
        <f>IF(C40="","",IFERROR(INDEX(Alimentos!$B$5:$B$104,MATCH(C40,Alimentos!$A$5:$A$104,0)),""))</f>
      </c>
      <c r="E40" s="21"/>
      <c r="F40" s="21"/>
      <c r="G40" s="17">
        <f>IF(OR(E40="",F40=""),"",E40-F40)</f>
      </c>
      <c r="H40" s="18">
        <f>IF(OR(G40="",E40="",E40=0),"",G40/E40)</f>
      </c>
      <c r="I40" s="19">
        <f>IF(OR(E40="",C40=""),"",IFERROR(E40*INDEX(Alimentos!$C$5:$C$104,MATCH(C40,Alimentos!$A$5:$A$104,0)),""))</f>
      </c>
      <c r="J40" s="10"/>
      <c r="K40" s="10"/>
      <c r="L40" s="10"/>
    </row>
    <row r="41" spans="1:12" x14ac:dyDescent="0.25">
      <c r="A41" s="20"/>
      <c r="B41" s="10"/>
      <c r="C41" s="10"/>
      <c r="D41" s="15">
        <f>IF(C41="","",IFERROR(INDEX(Alimentos!$B$5:$B$104,MATCH(C41,Alimentos!$A$5:$A$104,0)),""))</f>
      </c>
      <c r="E41" s="21"/>
      <c r="F41" s="21"/>
      <c r="G41" s="17">
        <f>IF(OR(E41="",F41=""),"",E41-F41)</f>
      </c>
      <c r="H41" s="18">
        <f>IF(OR(G41="",E41="",E41=0),"",G41/E41)</f>
      </c>
      <c r="I41" s="19">
        <f>IF(OR(E41="",C41=""),"",IFERROR(E41*INDEX(Alimentos!$C$5:$C$104,MATCH(C41,Alimentos!$A$5:$A$104,0)),""))</f>
      </c>
      <c r="J41" s="10"/>
      <c r="K41" s="10"/>
      <c r="L41" s="10"/>
    </row>
    <row r="42" spans="1:12" x14ac:dyDescent="0.25">
      <c r="A42" s="20"/>
      <c r="B42" s="10"/>
      <c r="C42" s="10"/>
      <c r="D42" s="15">
        <f>IF(C42="","",IFERROR(INDEX(Alimentos!$B$5:$B$104,MATCH(C42,Alimentos!$A$5:$A$104,0)),""))</f>
      </c>
      <c r="E42" s="21"/>
      <c r="F42" s="21"/>
      <c r="G42" s="17">
        <f>IF(OR(E42="",F42=""),"",E42-F42)</f>
      </c>
      <c r="H42" s="18">
        <f>IF(OR(G42="",E42="",E42=0),"",G42/E42)</f>
      </c>
      <c r="I42" s="19">
        <f>IF(OR(E42="",C42=""),"",IFERROR(E42*INDEX(Alimentos!$C$5:$C$104,MATCH(C42,Alimentos!$A$5:$A$104,0)),""))</f>
      </c>
      <c r="J42" s="10"/>
      <c r="K42" s="10"/>
      <c r="L42" s="10"/>
    </row>
    <row r="43" spans="1:12" x14ac:dyDescent="0.25">
      <c r="A43" s="20"/>
      <c r="B43" s="10"/>
      <c r="C43" s="10"/>
      <c r="D43" s="15">
        <f>IF(C43="","",IFERROR(INDEX(Alimentos!$B$5:$B$104,MATCH(C43,Alimentos!$A$5:$A$104,0)),""))</f>
      </c>
      <c r="E43" s="21"/>
      <c r="F43" s="21"/>
      <c r="G43" s="17">
        <f>IF(OR(E43="",F43=""),"",E43-F43)</f>
      </c>
      <c r="H43" s="18">
        <f>IF(OR(G43="",E43="",E43=0),"",G43/E43)</f>
      </c>
      <c r="I43" s="19">
        <f>IF(OR(E43="",C43=""),"",IFERROR(E43*INDEX(Alimentos!$C$5:$C$104,MATCH(C43,Alimentos!$A$5:$A$104,0)),""))</f>
      </c>
      <c r="J43" s="10"/>
      <c r="K43" s="10"/>
      <c r="L43" s="10"/>
    </row>
    <row r="44" spans="1:12" x14ac:dyDescent="0.25">
      <c r="A44" s="20"/>
      <c r="B44" s="10"/>
      <c r="C44" s="10"/>
      <c r="D44" s="15">
        <f>IF(C44="","",IFERROR(INDEX(Alimentos!$B$5:$B$104,MATCH(C44,Alimentos!$A$5:$A$104,0)),""))</f>
      </c>
      <c r="E44" s="21"/>
      <c r="F44" s="21"/>
      <c r="G44" s="17">
        <f>IF(OR(E44="",F44=""),"",E44-F44)</f>
      </c>
      <c r="H44" s="18">
        <f>IF(OR(G44="",E44="",E44=0),"",G44/E44)</f>
      </c>
      <c r="I44" s="19">
        <f>IF(OR(E44="",C44=""),"",IFERROR(E44*INDEX(Alimentos!$C$5:$C$104,MATCH(C44,Alimentos!$A$5:$A$104,0)),""))</f>
      </c>
      <c r="J44" s="10"/>
      <c r="K44" s="10"/>
      <c r="L44" s="10"/>
    </row>
    <row r="45" spans="1:12" x14ac:dyDescent="0.25">
      <c r="A45" s="20"/>
      <c r="B45" s="10"/>
      <c r="C45" s="10"/>
      <c r="D45" s="15">
        <f>IF(C45="","",IFERROR(INDEX(Alimentos!$B$5:$B$104,MATCH(C45,Alimentos!$A$5:$A$104,0)),""))</f>
      </c>
      <c r="E45" s="21"/>
      <c r="F45" s="21"/>
      <c r="G45" s="17">
        <f>IF(OR(E45="",F45=""),"",E45-F45)</f>
      </c>
      <c r="H45" s="18">
        <f>IF(OR(G45="",E45="",E45=0),"",G45/E45)</f>
      </c>
      <c r="I45" s="19">
        <f>IF(OR(E45="",C45=""),"",IFERROR(E45*INDEX(Alimentos!$C$5:$C$104,MATCH(C45,Alimentos!$A$5:$A$104,0)),""))</f>
      </c>
      <c r="J45" s="10"/>
      <c r="K45" s="10"/>
      <c r="L45" s="10"/>
    </row>
    <row r="46" spans="1:12" x14ac:dyDescent="0.25">
      <c r="A46" s="20"/>
      <c r="B46" s="10"/>
      <c r="C46" s="10"/>
      <c r="D46" s="15">
        <f>IF(C46="","",IFERROR(INDEX(Alimentos!$B$5:$B$104,MATCH(C46,Alimentos!$A$5:$A$104,0)),""))</f>
      </c>
      <c r="E46" s="21"/>
      <c r="F46" s="21"/>
      <c r="G46" s="17">
        <f>IF(OR(E46="",F46=""),"",E46-F46)</f>
      </c>
      <c r="H46" s="18">
        <f>IF(OR(G46="",E46="",E46=0),"",G46/E46)</f>
      </c>
      <c r="I46" s="19">
        <f>IF(OR(E46="",C46=""),"",IFERROR(E46*INDEX(Alimentos!$C$5:$C$104,MATCH(C46,Alimentos!$A$5:$A$104,0)),""))</f>
      </c>
      <c r="J46" s="10"/>
      <c r="K46" s="10"/>
      <c r="L46" s="10"/>
    </row>
    <row r="47" spans="1:12" x14ac:dyDescent="0.25">
      <c r="A47" s="20"/>
      <c r="B47" s="10"/>
      <c r="C47" s="10"/>
      <c r="D47" s="15">
        <f>IF(C47="","",IFERROR(INDEX(Alimentos!$B$5:$B$104,MATCH(C47,Alimentos!$A$5:$A$104,0)),""))</f>
      </c>
      <c r="E47" s="21"/>
      <c r="F47" s="21"/>
      <c r="G47" s="17">
        <f>IF(OR(E47="",F47=""),"",E47-F47)</f>
      </c>
      <c r="H47" s="18">
        <f>IF(OR(G47="",E47="",E47=0),"",G47/E47)</f>
      </c>
      <c r="I47" s="19">
        <f>IF(OR(E47="",C47=""),"",IFERROR(E47*INDEX(Alimentos!$C$5:$C$104,MATCH(C47,Alimentos!$A$5:$A$104,0)),""))</f>
      </c>
      <c r="J47" s="10"/>
      <c r="K47" s="10"/>
      <c r="L47" s="10"/>
    </row>
    <row r="48" spans="1:12" x14ac:dyDescent="0.25">
      <c r="A48" s="20"/>
      <c r="B48" s="10"/>
      <c r="C48" s="10"/>
      <c r="D48" s="15">
        <f>IF(C48="","",IFERROR(INDEX(Alimentos!$B$5:$B$104,MATCH(C48,Alimentos!$A$5:$A$104,0)),""))</f>
      </c>
      <c r="E48" s="21"/>
      <c r="F48" s="21"/>
      <c r="G48" s="17">
        <f>IF(OR(E48="",F48=""),"",E48-F48)</f>
      </c>
      <c r="H48" s="18">
        <f>IF(OR(G48="",E48="",E48=0),"",G48/E48)</f>
      </c>
      <c r="I48" s="19">
        <f>IF(OR(E48="",C48=""),"",IFERROR(E48*INDEX(Alimentos!$C$5:$C$104,MATCH(C48,Alimentos!$A$5:$A$104,0)),""))</f>
      </c>
      <c r="J48" s="10"/>
      <c r="K48" s="10"/>
      <c r="L48" s="10"/>
    </row>
    <row r="49" spans="1:12" x14ac:dyDescent="0.25">
      <c r="A49" s="20"/>
      <c r="B49" s="10"/>
      <c r="C49" s="10"/>
      <c r="D49" s="15">
        <f>IF(C49="","",IFERROR(INDEX(Alimentos!$B$5:$B$104,MATCH(C49,Alimentos!$A$5:$A$104,0)),""))</f>
      </c>
      <c r="E49" s="21"/>
      <c r="F49" s="21"/>
      <c r="G49" s="17">
        <f>IF(OR(E49="",F49=""),"",E49-F49)</f>
      </c>
      <c r="H49" s="18">
        <f>IF(OR(G49="",E49="",E49=0),"",G49/E49)</f>
      </c>
      <c r="I49" s="19">
        <f>IF(OR(E49="",C49=""),"",IFERROR(E49*INDEX(Alimentos!$C$5:$C$104,MATCH(C49,Alimentos!$A$5:$A$104,0)),""))</f>
      </c>
      <c r="J49" s="10"/>
      <c r="K49" s="10"/>
      <c r="L49" s="10"/>
    </row>
    <row r="50" spans="1:12" x14ac:dyDescent="0.25">
      <c r="A50" s="20"/>
      <c r="B50" s="10"/>
      <c r="C50" s="10"/>
      <c r="D50" s="15">
        <f>IF(C50="","",IFERROR(INDEX(Alimentos!$B$5:$B$104,MATCH(C50,Alimentos!$A$5:$A$104,0)),""))</f>
      </c>
      <c r="E50" s="21"/>
      <c r="F50" s="21"/>
      <c r="G50" s="17">
        <f>IF(OR(E50="",F50=""),"",E50-F50)</f>
      </c>
      <c r="H50" s="18">
        <f>IF(OR(G50="",E50="",E50=0),"",G50/E50)</f>
      </c>
      <c r="I50" s="19">
        <f>IF(OR(E50="",C50=""),"",IFERROR(E50*INDEX(Alimentos!$C$5:$C$104,MATCH(C50,Alimentos!$A$5:$A$104,0)),""))</f>
      </c>
      <c r="J50" s="10"/>
      <c r="K50" s="10"/>
      <c r="L50" s="10"/>
    </row>
    <row r="51" spans="1:12" x14ac:dyDescent="0.25">
      <c r="A51" s="20"/>
      <c r="B51" s="10"/>
      <c r="C51" s="10"/>
      <c r="D51" s="15">
        <f>IF(C51="","",IFERROR(INDEX(Alimentos!$B$5:$B$104,MATCH(C51,Alimentos!$A$5:$A$104,0)),""))</f>
      </c>
      <c r="E51" s="21"/>
      <c r="F51" s="21"/>
      <c r="G51" s="17">
        <f>IF(OR(E51="",F51=""),"",E51-F51)</f>
      </c>
      <c r="H51" s="18">
        <f>IF(OR(G51="",E51="",E51=0),"",G51/E51)</f>
      </c>
      <c r="I51" s="19">
        <f>IF(OR(E51="",C51=""),"",IFERROR(E51*INDEX(Alimentos!$C$5:$C$104,MATCH(C51,Alimentos!$A$5:$A$104,0)),""))</f>
      </c>
      <c r="J51" s="10"/>
      <c r="K51" s="10"/>
      <c r="L51" s="10"/>
    </row>
    <row r="52" spans="1:12" x14ac:dyDescent="0.25">
      <c r="A52" s="20"/>
      <c r="B52" s="10"/>
      <c r="C52" s="10"/>
      <c r="D52" s="15">
        <f>IF(C52="","",IFERROR(INDEX(Alimentos!$B$5:$B$104,MATCH(C52,Alimentos!$A$5:$A$104,0)),""))</f>
      </c>
      <c r="E52" s="21"/>
      <c r="F52" s="21"/>
      <c r="G52" s="17">
        <f>IF(OR(E52="",F52=""),"",E52-F52)</f>
      </c>
      <c r="H52" s="18">
        <f>IF(OR(G52="",E52="",E52=0),"",G52/E52)</f>
      </c>
      <c r="I52" s="19">
        <f>IF(OR(E52="",C52=""),"",IFERROR(E52*INDEX(Alimentos!$C$5:$C$104,MATCH(C52,Alimentos!$A$5:$A$104,0)),""))</f>
      </c>
      <c r="J52" s="10"/>
      <c r="K52" s="10"/>
      <c r="L52" s="10"/>
    </row>
    <row r="53" spans="1:12" x14ac:dyDescent="0.25">
      <c r="A53" s="20"/>
      <c r="B53" s="10"/>
      <c r="C53" s="10"/>
      <c r="D53" s="15">
        <f>IF(C53="","",IFERROR(INDEX(Alimentos!$B$5:$B$104,MATCH(C53,Alimentos!$A$5:$A$104,0)),""))</f>
      </c>
      <c r="E53" s="21"/>
      <c r="F53" s="21"/>
      <c r="G53" s="17">
        <f>IF(OR(E53="",F53=""),"",E53-F53)</f>
      </c>
      <c r="H53" s="18">
        <f>IF(OR(G53="",E53="",E53=0),"",G53/E53)</f>
      </c>
      <c r="I53" s="19">
        <f>IF(OR(E53="",C53=""),"",IFERROR(E53*INDEX(Alimentos!$C$5:$C$104,MATCH(C53,Alimentos!$A$5:$A$104,0)),""))</f>
      </c>
      <c r="J53" s="10"/>
      <c r="K53" s="10"/>
      <c r="L53" s="10"/>
    </row>
    <row r="54" spans="1:12" x14ac:dyDescent="0.25">
      <c r="A54" s="20"/>
      <c r="B54" s="10"/>
      <c r="C54" s="10"/>
      <c r="D54" s="15">
        <f>IF(C54="","",IFERROR(INDEX(Alimentos!$B$5:$B$104,MATCH(C54,Alimentos!$A$5:$A$104,0)),""))</f>
      </c>
      <c r="E54" s="21"/>
      <c r="F54" s="21"/>
      <c r="G54" s="17">
        <f>IF(OR(E54="",F54=""),"",E54-F54)</f>
      </c>
      <c r="H54" s="18">
        <f>IF(OR(G54="",E54="",E54=0),"",G54/E54)</f>
      </c>
      <c r="I54" s="19">
        <f>IF(OR(E54="",C54=""),"",IFERROR(E54*INDEX(Alimentos!$C$5:$C$104,MATCH(C54,Alimentos!$A$5:$A$104,0)),""))</f>
      </c>
      <c r="J54" s="10"/>
      <c r="K54" s="10"/>
      <c r="L54" s="10"/>
    </row>
    <row r="55" spans="1:12" x14ac:dyDescent="0.25">
      <c r="A55" s="20"/>
      <c r="B55" s="10"/>
      <c r="C55" s="10"/>
      <c r="D55" s="15">
        <f>IF(C55="","",IFERROR(INDEX(Alimentos!$B$5:$B$104,MATCH(C55,Alimentos!$A$5:$A$104,0)),""))</f>
      </c>
      <c r="E55" s="21"/>
      <c r="F55" s="21"/>
      <c r="G55" s="17">
        <f>IF(OR(E55="",F55=""),"",E55-F55)</f>
      </c>
      <c r="H55" s="18">
        <f>IF(OR(G55="",E55="",E55=0),"",G55/E55)</f>
      </c>
      <c r="I55" s="19">
        <f>IF(OR(E55="",C55=""),"",IFERROR(E55*INDEX(Alimentos!$C$5:$C$104,MATCH(C55,Alimentos!$A$5:$A$104,0)),""))</f>
      </c>
      <c r="J55" s="10"/>
      <c r="K55" s="10"/>
      <c r="L55" s="10"/>
    </row>
    <row r="56" spans="1:12" x14ac:dyDescent="0.25">
      <c r="A56" s="20"/>
      <c r="B56" s="10"/>
      <c r="C56" s="10"/>
      <c r="D56" s="15">
        <f>IF(C56="","",IFERROR(INDEX(Alimentos!$B$5:$B$104,MATCH(C56,Alimentos!$A$5:$A$104,0)),""))</f>
      </c>
      <c r="E56" s="21"/>
      <c r="F56" s="21"/>
      <c r="G56" s="17">
        <f>IF(OR(E56="",F56=""),"",E56-F56)</f>
      </c>
      <c r="H56" s="18">
        <f>IF(OR(G56="",E56="",E56=0),"",G56/E56)</f>
      </c>
      <c r="I56" s="19">
        <f>IF(OR(E56="",C56=""),"",IFERROR(E56*INDEX(Alimentos!$C$5:$C$104,MATCH(C56,Alimentos!$A$5:$A$104,0)),""))</f>
      </c>
      <c r="J56" s="10"/>
      <c r="K56" s="10"/>
      <c r="L56" s="10"/>
    </row>
    <row r="57" spans="1:12" x14ac:dyDescent="0.25">
      <c r="A57" s="20"/>
      <c r="B57" s="10"/>
      <c r="C57" s="10"/>
      <c r="D57" s="15">
        <f>IF(C57="","",IFERROR(INDEX(Alimentos!$B$5:$B$104,MATCH(C57,Alimentos!$A$5:$A$104,0)),""))</f>
      </c>
      <c r="E57" s="21"/>
      <c r="F57" s="21"/>
      <c r="G57" s="17">
        <f>IF(OR(E57="",F57=""),"",E57-F57)</f>
      </c>
      <c r="H57" s="18">
        <f>IF(OR(G57="",E57="",E57=0),"",G57/E57)</f>
      </c>
      <c r="I57" s="19">
        <f>IF(OR(E57="",C57=""),"",IFERROR(E57*INDEX(Alimentos!$C$5:$C$104,MATCH(C57,Alimentos!$A$5:$A$104,0)),""))</f>
      </c>
      <c r="J57" s="10"/>
      <c r="K57" s="10"/>
      <c r="L57" s="10"/>
    </row>
    <row r="58" spans="1:12" x14ac:dyDescent="0.25">
      <c r="A58" s="20"/>
      <c r="B58" s="10"/>
      <c r="C58" s="10"/>
      <c r="D58" s="15">
        <f>IF(C58="","",IFERROR(INDEX(Alimentos!$B$5:$B$104,MATCH(C58,Alimentos!$A$5:$A$104,0)),""))</f>
      </c>
      <c r="E58" s="21"/>
      <c r="F58" s="21"/>
      <c r="G58" s="17">
        <f>IF(OR(E58="",F58=""),"",E58-F58)</f>
      </c>
      <c r="H58" s="18">
        <f>IF(OR(G58="",E58="",E58=0),"",G58/E58)</f>
      </c>
      <c r="I58" s="19">
        <f>IF(OR(E58="",C58=""),"",IFERROR(E58*INDEX(Alimentos!$C$5:$C$104,MATCH(C58,Alimentos!$A$5:$A$104,0)),""))</f>
      </c>
      <c r="J58" s="10"/>
      <c r="K58" s="10"/>
      <c r="L58" s="10"/>
    </row>
    <row r="59" spans="1:12" x14ac:dyDescent="0.25">
      <c r="A59" s="20"/>
      <c r="B59" s="10"/>
      <c r="C59" s="10"/>
      <c r="D59" s="15">
        <f>IF(C59="","",IFERROR(INDEX(Alimentos!$B$5:$B$104,MATCH(C59,Alimentos!$A$5:$A$104,0)),""))</f>
      </c>
      <c r="E59" s="21"/>
      <c r="F59" s="21"/>
      <c r="G59" s="17">
        <f>IF(OR(E59="",F59=""),"",E59-F59)</f>
      </c>
      <c r="H59" s="18">
        <f>IF(OR(G59="",E59="",E59=0),"",G59/E59)</f>
      </c>
      <c r="I59" s="19">
        <f>IF(OR(E59="",C59=""),"",IFERROR(E59*INDEX(Alimentos!$C$5:$C$104,MATCH(C59,Alimentos!$A$5:$A$104,0)),""))</f>
      </c>
      <c r="J59" s="10"/>
      <c r="K59" s="10"/>
      <c r="L59" s="10"/>
    </row>
    <row r="60" spans="1:12" x14ac:dyDescent="0.25">
      <c r="A60" s="20"/>
      <c r="B60" s="10"/>
      <c r="C60" s="10"/>
      <c r="D60" s="15">
        <f>IF(C60="","",IFERROR(INDEX(Alimentos!$B$5:$B$104,MATCH(C60,Alimentos!$A$5:$A$104,0)),""))</f>
      </c>
      <c r="E60" s="21"/>
      <c r="F60" s="21"/>
      <c r="G60" s="17">
        <f>IF(OR(E60="",F60=""),"",E60-F60)</f>
      </c>
      <c r="H60" s="18">
        <f>IF(OR(G60="",E60="",E60=0),"",G60/E60)</f>
      </c>
      <c r="I60" s="19">
        <f>IF(OR(E60="",C60=""),"",IFERROR(E60*INDEX(Alimentos!$C$5:$C$104,MATCH(C60,Alimentos!$A$5:$A$104,0)),""))</f>
      </c>
      <c r="J60" s="10"/>
      <c r="K60" s="10"/>
      <c r="L60" s="10"/>
    </row>
    <row r="61" spans="1:12" x14ac:dyDescent="0.25">
      <c r="A61" s="20"/>
      <c r="B61" s="10"/>
      <c r="C61" s="10"/>
      <c r="D61" s="15">
        <f>IF(C61="","",IFERROR(INDEX(Alimentos!$B$5:$B$104,MATCH(C61,Alimentos!$A$5:$A$104,0)),""))</f>
      </c>
      <c r="E61" s="21"/>
      <c r="F61" s="21"/>
      <c r="G61" s="17">
        <f>IF(OR(E61="",F61=""),"",E61-F61)</f>
      </c>
      <c r="H61" s="18">
        <f>IF(OR(G61="",E61="",E61=0),"",G61/E61)</f>
      </c>
      <c r="I61" s="19">
        <f>IF(OR(E61="",C61=""),"",IFERROR(E61*INDEX(Alimentos!$C$5:$C$104,MATCH(C61,Alimentos!$A$5:$A$104,0)),""))</f>
      </c>
      <c r="J61" s="10"/>
      <c r="K61" s="10"/>
      <c r="L61" s="10"/>
    </row>
    <row r="62" spans="1:12" x14ac:dyDescent="0.25">
      <c r="A62" s="20"/>
      <c r="B62" s="10"/>
      <c r="C62" s="10"/>
      <c r="D62" s="15">
        <f>IF(C62="","",IFERROR(INDEX(Alimentos!$B$5:$B$104,MATCH(C62,Alimentos!$A$5:$A$104,0)),""))</f>
      </c>
      <c r="E62" s="21"/>
      <c r="F62" s="21"/>
      <c r="G62" s="17">
        <f>IF(OR(E62="",F62=""),"",E62-F62)</f>
      </c>
      <c r="H62" s="18">
        <f>IF(OR(G62="",E62="",E62=0),"",G62/E62)</f>
      </c>
      <c r="I62" s="19">
        <f>IF(OR(E62="",C62=""),"",IFERROR(E62*INDEX(Alimentos!$C$5:$C$104,MATCH(C62,Alimentos!$A$5:$A$104,0)),""))</f>
      </c>
      <c r="J62" s="10"/>
      <c r="K62" s="10"/>
      <c r="L62" s="10"/>
    </row>
    <row r="63" spans="1:12" x14ac:dyDescent="0.25">
      <c r="A63" s="20"/>
      <c r="B63" s="10"/>
      <c r="C63" s="10"/>
      <c r="D63" s="15">
        <f>IF(C63="","",IFERROR(INDEX(Alimentos!$B$5:$B$104,MATCH(C63,Alimentos!$A$5:$A$104,0)),""))</f>
      </c>
      <c r="E63" s="21"/>
      <c r="F63" s="21"/>
      <c r="G63" s="17">
        <f>IF(OR(E63="",F63=""),"",E63-F63)</f>
      </c>
      <c r="H63" s="18">
        <f>IF(OR(G63="",E63="",E63=0),"",G63/E63)</f>
      </c>
      <c r="I63" s="19">
        <f>IF(OR(E63="",C63=""),"",IFERROR(E63*INDEX(Alimentos!$C$5:$C$104,MATCH(C63,Alimentos!$A$5:$A$104,0)),""))</f>
      </c>
      <c r="J63" s="10"/>
      <c r="K63" s="10"/>
      <c r="L63" s="10"/>
    </row>
    <row r="64" spans="1:12" x14ac:dyDescent="0.25">
      <c r="A64" s="20"/>
      <c r="B64" s="10"/>
      <c r="C64" s="10"/>
      <c r="D64" s="15">
        <f>IF(C64="","",IFERROR(INDEX(Alimentos!$B$5:$B$104,MATCH(C64,Alimentos!$A$5:$A$104,0)),""))</f>
      </c>
      <c r="E64" s="21"/>
      <c r="F64" s="21"/>
      <c r="G64" s="17">
        <f>IF(OR(E64="",F64=""),"",E64-F64)</f>
      </c>
      <c r="H64" s="18">
        <f>IF(OR(G64="",E64="",E64=0),"",G64/E64)</f>
      </c>
      <c r="I64" s="19">
        <f>IF(OR(E64="",C64=""),"",IFERROR(E64*INDEX(Alimentos!$C$5:$C$104,MATCH(C64,Alimentos!$A$5:$A$104,0)),""))</f>
      </c>
      <c r="J64" s="10"/>
      <c r="K64" s="10"/>
      <c r="L64" s="10"/>
    </row>
    <row r="65" spans="1:12" x14ac:dyDescent="0.25">
      <c r="A65" s="20"/>
      <c r="B65" s="10"/>
      <c r="C65" s="10"/>
      <c r="D65" s="15">
        <f>IF(C65="","",IFERROR(INDEX(Alimentos!$B$5:$B$104,MATCH(C65,Alimentos!$A$5:$A$104,0)),""))</f>
      </c>
      <c r="E65" s="21"/>
      <c r="F65" s="21"/>
      <c r="G65" s="17">
        <f>IF(OR(E65="",F65=""),"",E65-F65)</f>
      </c>
      <c r="H65" s="18">
        <f>IF(OR(G65="",E65="",E65=0),"",G65/E65)</f>
      </c>
      <c r="I65" s="19">
        <f>IF(OR(E65="",C65=""),"",IFERROR(E65*INDEX(Alimentos!$C$5:$C$104,MATCH(C65,Alimentos!$A$5:$A$104,0)),""))</f>
      </c>
      <c r="J65" s="10"/>
      <c r="K65" s="10"/>
      <c r="L65" s="10"/>
    </row>
    <row r="66" spans="1:12" x14ac:dyDescent="0.25">
      <c r="A66" s="20"/>
      <c r="B66" s="10"/>
      <c r="C66" s="10"/>
      <c r="D66" s="15">
        <f>IF(C66="","",IFERROR(INDEX(Alimentos!$B$5:$B$104,MATCH(C66,Alimentos!$A$5:$A$104,0)),""))</f>
      </c>
      <c r="E66" s="21"/>
      <c r="F66" s="21"/>
      <c r="G66" s="17">
        <f>IF(OR(E66="",F66=""),"",E66-F66)</f>
      </c>
      <c r="H66" s="18">
        <f>IF(OR(G66="",E66="",E66=0),"",G66/E66)</f>
      </c>
      <c r="I66" s="19">
        <f>IF(OR(E66="",C66=""),"",IFERROR(E66*INDEX(Alimentos!$C$5:$C$104,MATCH(C66,Alimentos!$A$5:$A$104,0)),""))</f>
      </c>
      <c r="J66" s="10"/>
      <c r="K66" s="10"/>
      <c r="L66" s="10"/>
    </row>
    <row r="67" spans="1:12" x14ac:dyDescent="0.25">
      <c r="A67" s="20"/>
      <c r="B67" s="10"/>
      <c r="C67" s="10"/>
      <c r="D67" s="15">
        <f>IF(C67="","",IFERROR(INDEX(Alimentos!$B$5:$B$104,MATCH(C67,Alimentos!$A$5:$A$104,0)),""))</f>
      </c>
      <c r="E67" s="21"/>
      <c r="F67" s="21"/>
      <c r="G67" s="17">
        <f>IF(OR(E67="",F67=""),"",E67-F67)</f>
      </c>
      <c r="H67" s="18">
        <f>IF(OR(G67="",E67="",E67=0),"",G67/E67)</f>
      </c>
      <c r="I67" s="19">
        <f>IF(OR(E67="",C67=""),"",IFERROR(E67*INDEX(Alimentos!$C$5:$C$104,MATCH(C67,Alimentos!$A$5:$A$104,0)),""))</f>
      </c>
      <c r="J67" s="10"/>
      <c r="K67" s="10"/>
      <c r="L67" s="10"/>
    </row>
    <row r="68" spans="1:12" x14ac:dyDescent="0.25">
      <c r="A68" s="20"/>
      <c r="B68" s="10"/>
      <c r="C68" s="10"/>
      <c r="D68" s="15">
        <f>IF(C68="","",IFERROR(INDEX(Alimentos!$B$5:$B$104,MATCH(C68,Alimentos!$A$5:$A$104,0)),""))</f>
      </c>
      <c r="E68" s="21"/>
      <c r="F68" s="21"/>
      <c r="G68" s="17">
        <f>IF(OR(E68="",F68=""),"",E68-F68)</f>
      </c>
      <c r="H68" s="18">
        <f>IF(OR(G68="",E68="",E68=0),"",G68/E68)</f>
      </c>
      <c r="I68" s="19">
        <f>IF(OR(E68="",C68=""),"",IFERROR(E68*INDEX(Alimentos!$C$5:$C$104,MATCH(C68,Alimentos!$A$5:$A$104,0)),""))</f>
      </c>
      <c r="J68" s="10"/>
      <c r="K68" s="10"/>
      <c r="L68" s="10"/>
    </row>
    <row r="69" spans="1:12" x14ac:dyDescent="0.25">
      <c r="A69" s="20"/>
      <c r="B69" s="10"/>
      <c r="C69" s="10"/>
      <c r="D69" s="15">
        <f>IF(C69="","",IFERROR(INDEX(Alimentos!$B$5:$B$104,MATCH(C69,Alimentos!$A$5:$A$104,0)),""))</f>
      </c>
      <c r="E69" s="21"/>
      <c r="F69" s="21"/>
      <c r="G69" s="17">
        <f>IF(OR(E69="",F69=""),"",E69-F69)</f>
      </c>
      <c r="H69" s="18">
        <f>IF(OR(G69="",E69="",E69=0),"",G69/E69)</f>
      </c>
      <c r="I69" s="19">
        <f>IF(OR(E69="",C69=""),"",IFERROR(E69*INDEX(Alimentos!$C$5:$C$104,MATCH(C69,Alimentos!$A$5:$A$104,0)),""))</f>
      </c>
      <c r="J69" s="10"/>
      <c r="K69" s="10"/>
      <c r="L69" s="10"/>
    </row>
    <row r="70" spans="1:12" x14ac:dyDescent="0.25">
      <c r="A70" s="20"/>
      <c r="B70" s="10"/>
      <c r="C70" s="10"/>
      <c r="D70" s="15">
        <f>IF(C70="","",IFERROR(INDEX(Alimentos!$B$5:$B$104,MATCH(C70,Alimentos!$A$5:$A$104,0)),""))</f>
      </c>
      <c r="E70" s="21"/>
      <c r="F70" s="21"/>
      <c r="G70" s="17">
        <f>IF(OR(E70="",F70=""),"",E70-F70)</f>
      </c>
      <c r="H70" s="18">
        <f>IF(OR(G70="",E70="",E70=0),"",G70/E70)</f>
      </c>
      <c r="I70" s="19">
        <f>IF(OR(E70="",C70=""),"",IFERROR(E70*INDEX(Alimentos!$C$5:$C$104,MATCH(C70,Alimentos!$A$5:$A$104,0)),""))</f>
      </c>
      <c r="J70" s="10"/>
      <c r="K70" s="10"/>
      <c r="L70" s="10"/>
    </row>
    <row r="71" spans="1:12" x14ac:dyDescent="0.25">
      <c r="A71" s="20"/>
      <c r="B71" s="10"/>
      <c r="C71" s="10"/>
      <c r="D71" s="15">
        <f>IF(C71="","",IFERROR(INDEX(Alimentos!$B$5:$B$104,MATCH(C71,Alimentos!$A$5:$A$104,0)),""))</f>
      </c>
      <c r="E71" s="21"/>
      <c r="F71" s="21"/>
      <c r="G71" s="17">
        <f>IF(OR(E71="",F71=""),"",E71-F71)</f>
      </c>
      <c r="H71" s="18">
        <f>IF(OR(G71="",E71="",E71=0),"",G71/E71)</f>
      </c>
      <c r="I71" s="19">
        <f>IF(OR(E71="",C71=""),"",IFERROR(E71*INDEX(Alimentos!$C$5:$C$104,MATCH(C71,Alimentos!$A$5:$A$104,0)),""))</f>
      </c>
      <c r="J71" s="10"/>
      <c r="K71" s="10"/>
      <c r="L71" s="10"/>
    </row>
    <row r="72" spans="1:12" x14ac:dyDescent="0.25">
      <c r="A72" s="20"/>
      <c r="B72" s="10"/>
      <c r="C72" s="10"/>
      <c r="D72" s="15">
        <f>IF(C72="","",IFERROR(INDEX(Alimentos!$B$5:$B$104,MATCH(C72,Alimentos!$A$5:$A$104,0)),""))</f>
      </c>
      <c r="E72" s="21"/>
      <c r="F72" s="21"/>
      <c r="G72" s="17">
        <f>IF(OR(E72="",F72=""),"",E72-F72)</f>
      </c>
      <c r="H72" s="18">
        <f>IF(OR(G72="",E72="",E72=0),"",G72/E72)</f>
      </c>
      <c r="I72" s="19">
        <f>IF(OR(E72="",C72=""),"",IFERROR(E72*INDEX(Alimentos!$C$5:$C$104,MATCH(C72,Alimentos!$A$5:$A$104,0)),""))</f>
      </c>
      <c r="J72" s="10"/>
      <c r="K72" s="10"/>
      <c r="L72" s="10"/>
    </row>
    <row r="73" spans="1:12" x14ac:dyDescent="0.25">
      <c r="A73" s="20"/>
      <c r="B73" s="10"/>
      <c r="C73" s="10"/>
      <c r="D73" s="15">
        <f>IF(C73="","",IFERROR(INDEX(Alimentos!$B$5:$B$104,MATCH(C73,Alimentos!$A$5:$A$104,0)),""))</f>
      </c>
      <c r="E73" s="21"/>
      <c r="F73" s="21"/>
      <c r="G73" s="17">
        <f>IF(OR(E73="",F73=""),"",E73-F73)</f>
      </c>
      <c r="H73" s="18">
        <f>IF(OR(G73="",E73="",E73=0),"",G73/E73)</f>
      </c>
      <c r="I73" s="19">
        <f>IF(OR(E73="",C73=""),"",IFERROR(E73*INDEX(Alimentos!$C$5:$C$104,MATCH(C73,Alimentos!$A$5:$A$104,0)),""))</f>
      </c>
      <c r="J73" s="10"/>
      <c r="K73" s="10"/>
      <c r="L73" s="10"/>
    </row>
    <row r="74" spans="1:12" x14ac:dyDescent="0.25">
      <c r="A74" s="20"/>
      <c r="B74" s="10"/>
      <c r="C74" s="10"/>
      <c r="D74" s="15">
        <f>IF(C74="","",IFERROR(INDEX(Alimentos!$B$5:$B$104,MATCH(C74,Alimentos!$A$5:$A$104,0)),""))</f>
      </c>
      <c r="E74" s="21"/>
      <c r="F74" s="21"/>
      <c r="G74" s="17">
        <f>IF(OR(E74="",F74=""),"",E74-F74)</f>
      </c>
      <c r="H74" s="18">
        <f>IF(OR(G74="",E74="",E74=0),"",G74/E74)</f>
      </c>
      <c r="I74" s="19">
        <f>IF(OR(E74="",C74=""),"",IFERROR(E74*INDEX(Alimentos!$C$5:$C$104,MATCH(C74,Alimentos!$A$5:$A$104,0)),""))</f>
      </c>
      <c r="J74" s="10"/>
      <c r="K74" s="10"/>
      <c r="L74" s="10"/>
    </row>
    <row r="75" spans="1:12" x14ac:dyDescent="0.25">
      <c r="A75" s="20"/>
      <c r="B75" s="10"/>
      <c r="C75" s="10"/>
      <c r="D75" s="15">
        <f>IF(C75="","",IFERROR(INDEX(Alimentos!$B$5:$B$104,MATCH(C75,Alimentos!$A$5:$A$104,0)),""))</f>
      </c>
      <c r="E75" s="21"/>
      <c r="F75" s="21"/>
      <c r="G75" s="17">
        <f>IF(OR(E75="",F75=""),"",E75-F75)</f>
      </c>
      <c r="H75" s="18">
        <f>IF(OR(G75="",E75="",E75=0),"",G75/E75)</f>
      </c>
      <c r="I75" s="19">
        <f>IF(OR(E75="",C75=""),"",IFERROR(E75*INDEX(Alimentos!$C$5:$C$104,MATCH(C75,Alimentos!$A$5:$A$104,0)),""))</f>
      </c>
      <c r="J75" s="10"/>
      <c r="K75" s="10"/>
      <c r="L75" s="10"/>
    </row>
    <row r="76" spans="1:12" x14ac:dyDescent="0.25">
      <c r="A76" s="20"/>
      <c r="B76" s="10"/>
      <c r="C76" s="10"/>
      <c r="D76" s="15">
        <f>IF(C76="","",IFERROR(INDEX(Alimentos!$B$5:$B$104,MATCH(C76,Alimentos!$A$5:$A$104,0)),""))</f>
      </c>
      <c r="E76" s="21"/>
      <c r="F76" s="21"/>
      <c r="G76" s="17">
        <f>IF(OR(E76="",F76=""),"",E76-F76)</f>
      </c>
      <c r="H76" s="18">
        <f>IF(OR(G76="",E76="",E76=0),"",G76/E76)</f>
      </c>
      <c r="I76" s="19">
        <f>IF(OR(E76="",C76=""),"",IFERROR(E76*INDEX(Alimentos!$C$5:$C$104,MATCH(C76,Alimentos!$A$5:$A$104,0)),""))</f>
      </c>
      <c r="J76" s="10"/>
      <c r="K76" s="10"/>
      <c r="L76" s="10"/>
    </row>
    <row r="77" spans="1:12" x14ac:dyDescent="0.25">
      <c r="A77" s="20"/>
      <c r="B77" s="10"/>
      <c r="C77" s="10"/>
      <c r="D77" s="15">
        <f>IF(C77="","",IFERROR(INDEX(Alimentos!$B$5:$B$104,MATCH(C77,Alimentos!$A$5:$A$104,0)),""))</f>
      </c>
      <c r="E77" s="21"/>
      <c r="F77" s="21"/>
      <c r="G77" s="17">
        <f>IF(OR(E77="",F77=""),"",E77-F77)</f>
      </c>
      <c r="H77" s="18">
        <f>IF(OR(G77="",E77="",E77=0),"",G77/E77)</f>
      </c>
      <c r="I77" s="19">
        <f>IF(OR(E77="",C77=""),"",IFERROR(E77*INDEX(Alimentos!$C$5:$C$104,MATCH(C77,Alimentos!$A$5:$A$104,0)),""))</f>
      </c>
      <c r="J77" s="10"/>
      <c r="K77" s="10"/>
      <c r="L77" s="10"/>
    </row>
    <row r="78" spans="1:12" x14ac:dyDescent="0.25">
      <c r="A78" s="20"/>
      <c r="B78" s="10"/>
      <c r="C78" s="10"/>
      <c r="D78" s="15">
        <f>IF(C78="","",IFERROR(INDEX(Alimentos!$B$5:$B$104,MATCH(C78,Alimentos!$A$5:$A$104,0)),""))</f>
      </c>
      <c r="E78" s="21"/>
      <c r="F78" s="21"/>
      <c r="G78" s="17">
        <f>IF(OR(E78="",F78=""),"",E78-F78)</f>
      </c>
      <c r="H78" s="18">
        <f>IF(OR(G78="",E78="",E78=0),"",G78/E78)</f>
      </c>
      <c r="I78" s="19">
        <f>IF(OR(E78="",C78=""),"",IFERROR(E78*INDEX(Alimentos!$C$5:$C$104,MATCH(C78,Alimentos!$A$5:$A$104,0)),""))</f>
      </c>
      <c r="J78" s="10"/>
      <c r="K78" s="10"/>
      <c r="L78" s="10"/>
    </row>
    <row r="79" spans="1:12" x14ac:dyDescent="0.25">
      <c r="A79" s="20"/>
      <c r="B79" s="10"/>
      <c r="C79" s="10"/>
      <c r="D79" s="15">
        <f>IF(C79="","",IFERROR(INDEX(Alimentos!$B$5:$B$104,MATCH(C79,Alimentos!$A$5:$A$104,0)),""))</f>
      </c>
      <c r="E79" s="21"/>
      <c r="F79" s="21"/>
      <c r="G79" s="17">
        <f>IF(OR(E79="",F79=""),"",E79-F79)</f>
      </c>
      <c r="H79" s="18">
        <f>IF(OR(G79="",E79="",E79=0),"",G79/E79)</f>
      </c>
      <c r="I79" s="19">
        <f>IF(OR(E79="",C79=""),"",IFERROR(E79*INDEX(Alimentos!$C$5:$C$104,MATCH(C79,Alimentos!$A$5:$A$104,0)),""))</f>
      </c>
      <c r="J79" s="10"/>
      <c r="K79" s="10"/>
      <c r="L79" s="10"/>
    </row>
    <row r="80" spans="1:12" x14ac:dyDescent="0.25">
      <c r="A80" s="20"/>
      <c r="B80" s="10"/>
      <c r="C80" s="10"/>
      <c r="D80" s="15">
        <f>IF(C80="","",IFERROR(INDEX(Alimentos!$B$5:$B$104,MATCH(C80,Alimentos!$A$5:$A$104,0)),""))</f>
      </c>
      <c r="E80" s="21"/>
      <c r="F80" s="21"/>
      <c r="G80" s="17">
        <f>IF(OR(E80="",F80=""),"",E80-F80)</f>
      </c>
      <c r="H80" s="18">
        <f>IF(OR(G80="",E80="",E80=0),"",G80/E80)</f>
      </c>
      <c r="I80" s="19">
        <f>IF(OR(E80="",C80=""),"",IFERROR(E80*INDEX(Alimentos!$C$5:$C$104,MATCH(C80,Alimentos!$A$5:$A$104,0)),""))</f>
      </c>
      <c r="J80" s="10"/>
      <c r="K80" s="10"/>
      <c r="L80" s="10"/>
    </row>
    <row r="81" spans="1:12" x14ac:dyDescent="0.25">
      <c r="A81" s="20"/>
      <c r="B81" s="10"/>
      <c r="C81" s="10"/>
      <c r="D81" s="15">
        <f>IF(C81="","",IFERROR(INDEX(Alimentos!$B$5:$B$104,MATCH(C81,Alimentos!$A$5:$A$104,0)),""))</f>
      </c>
      <c r="E81" s="21"/>
      <c r="F81" s="21"/>
      <c r="G81" s="17">
        <f>IF(OR(E81="",F81=""),"",E81-F81)</f>
      </c>
      <c r="H81" s="18">
        <f>IF(OR(G81="",E81="",E81=0),"",G81/E81)</f>
      </c>
      <c r="I81" s="19">
        <f>IF(OR(E81="",C81=""),"",IFERROR(E81*INDEX(Alimentos!$C$5:$C$104,MATCH(C81,Alimentos!$A$5:$A$104,0)),""))</f>
      </c>
      <c r="J81" s="10"/>
      <c r="K81" s="10"/>
      <c r="L81" s="10"/>
    </row>
    <row r="82" spans="1:12" x14ac:dyDescent="0.25">
      <c r="A82" s="20"/>
      <c r="B82" s="10"/>
      <c r="C82" s="10"/>
      <c r="D82" s="15">
        <f>IF(C82="","",IFERROR(INDEX(Alimentos!$B$5:$B$104,MATCH(C82,Alimentos!$A$5:$A$104,0)),""))</f>
      </c>
      <c r="E82" s="21"/>
      <c r="F82" s="21"/>
      <c r="G82" s="17">
        <f>IF(OR(E82="",F82=""),"",E82-F82)</f>
      </c>
      <c r="H82" s="18">
        <f>IF(OR(G82="",E82="",E82=0),"",G82/E82)</f>
      </c>
      <c r="I82" s="19">
        <f>IF(OR(E82="",C82=""),"",IFERROR(E82*INDEX(Alimentos!$C$5:$C$104,MATCH(C82,Alimentos!$A$5:$A$104,0)),""))</f>
      </c>
      <c r="J82" s="10"/>
      <c r="K82" s="10"/>
      <c r="L82" s="10"/>
    </row>
    <row r="83" spans="1:12" x14ac:dyDescent="0.25">
      <c r="A83" s="20"/>
      <c r="B83" s="10"/>
      <c r="C83" s="10"/>
      <c r="D83" s="15">
        <f>IF(C83="","",IFERROR(INDEX(Alimentos!$B$5:$B$104,MATCH(C83,Alimentos!$A$5:$A$104,0)),""))</f>
      </c>
      <c r="E83" s="21"/>
      <c r="F83" s="21"/>
      <c r="G83" s="17">
        <f>IF(OR(E83="",F83=""),"",E83-F83)</f>
      </c>
      <c r="H83" s="18">
        <f>IF(OR(G83="",E83="",E83=0),"",G83/E83)</f>
      </c>
      <c r="I83" s="19">
        <f>IF(OR(E83="",C83=""),"",IFERROR(E83*INDEX(Alimentos!$C$5:$C$104,MATCH(C83,Alimentos!$A$5:$A$104,0)),""))</f>
      </c>
      <c r="J83" s="10"/>
      <c r="K83" s="10"/>
      <c r="L83" s="10"/>
    </row>
    <row r="84" spans="1:12" x14ac:dyDescent="0.25">
      <c r="A84" s="20"/>
      <c r="B84" s="10"/>
      <c r="C84" s="10"/>
      <c r="D84" s="15">
        <f>IF(C84="","",IFERROR(INDEX(Alimentos!$B$5:$B$104,MATCH(C84,Alimentos!$A$5:$A$104,0)),""))</f>
      </c>
      <c r="E84" s="21"/>
      <c r="F84" s="21"/>
      <c r="G84" s="17">
        <f>IF(OR(E84="",F84=""),"",E84-F84)</f>
      </c>
      <c r="H84" s="18">
        <f>IF(OR(G84="",E84="",E84=0),"",G84/E84)</f>
      </c>
      <c r="I84" s="19">
        <f>IF(OR(E84="",C84=""),"",IFERROR(E84*INDEX(Alimentos!$C$5:$C$104,MATCH(C84,Alimentos!$A$5:$A$104,0)),""))</f>
      </c>
      <c r="J84" s="10"/>
      <c r="K84" s="10"/>
      <c r="L84" s="10"/>
    </row>
    <row r="85" spans="1:12" x14ac:dyDescent="0.25">
      <c r="A85" s="20"/>
      <c r="B85" s="10"/>
      <c r="C85" s="10"/>
      <c r="D85" s="15">
        <f>IF(C85="","",IFERROR(INDEX(Alimentos!$B$5:$B$104,MATCH(C85,Alimentos!$A$5:$A$104,0)),""))</f>
      </c>
      <c r="E85" s="21"/>
      <c r="F85" s="21"/>
      <c r="G85" s="17">
        <f>IF(OR(E85="",F85=""),"",E85-F85)</f>
      </c>
      <c r="H85" s="18">
        <f>IF(OR(G85="",E85="",E85=0),"",G85/E85)</f>
      </c>
      <c r="I85" s="19">
        <f>IF(OR(E85="",C85=""),"",IFERROR(E85*INDEX(Alimentos!$C$5:$C$104,MATCH(C85,Alimentos!$A$5:$A$104,0)),""))</f>
      </c>
      <c r="J85" s="10"/>
      <c r="K85" s="10"/>
      <c r="L85" s="10"/>
    </row>
    <row r="86" spans="1:12" x14ac:dyDescent="0.25">
      <c r="A86" s="20"/>
      <c r="B86" s="10"/>
      <c r="C86" s="10"/>
      <c r="D86" s="15">
        <f>IF(C86="","",IFERROR(INDEX(Alimentos!$B$5:$B$104,MATCH(C86,Alimentos!$A$5:$A$104,0)),""))</f>
      </c>
      <c r="E86" s="21"/>
      <c r="F86" s="21"/>
      <c r="G86" s="17">
        <f>IF(OR(E86="",F86=""),"",E86-F86)</f>
      </c>
      <c r="H86" s="18">
        <f>IF(OR(G86="",E86="",E86=0),"",G86/E86)</f>
      </c>
      <c r="I86" s="19">
        <f>IF(OR(E86="",C86=""),"",IFERROR(E86*INDEX(Alimentos!$C$5:$C$104,MATCH(C86,Alimentos!$A$5:$A$104,0)),""))</f>
      </c>
      <c r="J86" s="10"/>
      <c r="K86" s="10"/>
      <c r="L86" s="10"/>
    </row>
    <row r="87" spans="1:12" x14ac:dyDescent="0.25">
      <c r="A87" s="20"/>
      <c r="B87" s="10"/>
      <c r="C87" s="10"/>
      <c r="D87" s="15">
        <f>IF(C87="","",IFERROR(INDEX(Alimentos!$B$5:$B$104,MATCH(C87,Alimentos!$A$5:$A$104,0)),""))</f>
      </c>
      <c r="E87" s="21"/>
      <c r="F87" s="21"/>
      <c r="G87" s="17">
        <f>IF(OR(E87="",F87=""),"",E87-F87)</f>
      </c>
      <c r="H87" s="18">
        <f>IF(OR(G87="",E87="",E87=0),"",G87/E87)</f>
      </c>
      <c r="I87" s="19">
        <f>IF(OR(E87="",C87=""),"",IFERROR(E87*INDEX(Alimentos!$C$5:$C$104,MATCH(C87,Alimentos!$A$5:$A$104,0)),""))</f>
      </c>
      <c r="J87" s="10"/>
      <c r="K87" s="10"/>
      <c r="L87" s="10"/>
    </row>
    <row r="88" spans="1:12" x14ac:dyDescent="0.25">
      <c r="A88" s="20"/>
      <c r="B88" s="10"/>
      <c r="C88" s="10"/>
      <c r="D88" s="15">
        <f>IF(C88="","",IFERROR(INDEX(Alimentos!$B$5:$B$104,MATCH(C88,Alimentos!$A$5:$A$104,0)),""))</f>
      </c>
      <c r="E88" s="21"/>
      <c r="F88" s="21"/>
      <c r="G88" s="17">
        <f>IF(OR(E88="",F88=""),"",E88-F88)</f>
      </c>
      <c r="H88" s="18">
        <f>IF(OR(G88="",E88="",E88=0),"",G88/E88)</f>
      </c>
      <c r="I88" s="19">
        <f>IF(OR(E88="",C88=""),"",IFERROR(E88*INDEX(Alimentos!$C$5:$C$104,MATCH(C88,Alimentos!$A$5:$A$104,0)),""))</f>
      </c>
      <c r="J88" s="10"/>
      <c r="K88" s="10"/>
      <c r="L88" s="10"/>
    </row>
    <row r="89" spans="1:12" x14ac:dyDescent="0.25">
      <c r="A89" s="20"/>
      <c r="B89" s="10"/>
      <c r="C89" s="10"/>
      <c r="D89" s="15">
        <f>IF(C89="","",IFERROR(INDEX(Alimentos!$B$5:$B$104,MATCH(C89,Alimentos!$A$5:$A$104,0)),""))</f>
      </c>
      <c r="E89" s="21"/>
      <c r="F89" s="21"/>
      <c r="G89" s="17">
        <f>IF(OR(E89="",F89=""),"",E89-F89)</f>
      </c>
      <c r="H89" s="18">
        <f>IF(OR(G89="",E89="",E89=0),"",G89/E89)</f>
      </c>
      <c r="I89" s="19">
        <f>IF(OR(E89="",C89=""),"",IFERROR(E89*INDEX(Alimentos!$C$5:$C$104,MATCH(C89,Alimentos!$A$5:$A$104,0)),""))</f>
      </c>
      <c r="J89" s="10"/>
      <c r="K89" s="10"/>
      <c r="L89" s="10"/>
    </row>
    <row r="90" spans="1:12" x14ac:dyDescent="0.25">
      <c r="A90" s="20"/>
      <c r="B90" s="10"/>
      <c r="C90" s="10"/>
      <c r="D90" s="15">
        <f>IF(C90="","",IFERROR(INDEX(Alimentos!$B$5:$B$104,MATCH(C90,Alimentos!$A$5:$A$104,0)),""))</f>
      </c>
      <c r="E90" s="21"/>
      <c r="F90" s="21"/>
      <c r="G90" s="17">
        <f>IF(OR(E90="",F90=""),"",E90-F90)</f>
      </c>
      <c r="H90" s="18">
        <f>IF(OR(G90="",E90="",E90=0),"",G90/E90)</f>
      </c>
      <c r="I90" s="19">
        <f>IF(OR(E90="",C90=""),"",IFERROR(E90*INDEX(Alimentos!$C$5:$C$104,MATCH(C90,Alimentos!$A$5:$A$104,0)),""))</f>
      </c>
      <c r="J90" s="10"/>
      <c r="K90" s="10"/>
      <c r="L90" s="10"/>
    </row>
    <row r="91" spans="1:12" x14ac:dyDescent="0.25">
      <c r="A91" s="20"/>
      <c r="B91" s="10"/>
      <c r="C91" s="10"/>
      <c r="D91" s="15">
        <f>IF(C91="","",IFERROR(INDEX(Alimentos!$B$5:$B$104,MATCH(C91,Alimentos!$A$5:$A$104,0)),""))</f>
      </c>
      <c r="E91" s="21"/>
      <c r="F91" s="21"/>
      <c r="G91" s="17">
        <f>IF(OR(E91="",F91=""),"",E91-F91)</f>
      </c>
      <c r="H91" s="18">
        <f>IF(OR(G91="",E91="",E91=0),"",G91/E91)</f>
      </c>
      <c r="I91" s="19">
        <f>IF(OR(E91="",C91=""),"",IFERROR(E91*INDEX(Alimentos!$C$5:$C$104,MATCH(C91,Alimentos!$A$5:$A$104,0)),""))</f>
      </c>
      <c r="J91" s="10"/>
      <c r="K91" s="10"/>
      <c r="L91" s="10"/>
    </row>
    <row r="92" spans="1:12" x14ac:dyDescent="0.25">
      <c r="A92" s="20"/>
      <c r="B92" s="10"/>
      <c r="C92" s="10"/>
      <c r="D92" s="15">
        <f>IF(C92="","",IFERROR(INDEX(Alimentos!$B$5:$B$104,MATCH(C92,Alimentos!$A$5:$A$104,0)),""))</f>
      </c>
      <c r="E92" s="21"/>
      <c r="F92" s="21"/>
      <c r="G92" s="17">
        <f>IF(OR(E92="",F92=""),"",E92-F92)</f>
      </c>
      <c r="H92" s="18">
        <f>IF(OR(G92="",E92="",E92=0),"",G92/E92)</f>
      </c>
      <c r="I92" s="19">
        <f>IF(OR(E92="",C92=""),"",IFERROR(E92*INDEX(Alimentos!$C$5:$C$104,MATCH(C92,Alimentos!$A$5:$A$104,0)),""))</f>
      </c>
      <c r="J92" s="10"/>
      <c r="K92" s="10"/>
      <c r="L92" s="10"/>
    </row>
    <row r="93" spans="1:12" x14ac:dyDescent="0.25">
      <c r="A93" s="20"/>
      <c r="B93" s="10"/>
      <c r="C93" s="10"/>
      <c r="D93" s="15">
        <f>IF(C93="","",IFERROR(INDEX(Alimentos!$B$5:$B$104,MATCH(C93,Alimentos!$A$5:$A$104,0)),""))</f>
      </c>
      <c r="E93" s="21"/>
      <c r="F93" s="21"/>
      <c r="G93" s="17">
        <f>IF(OR(E93="",F93=""),"",E93-F93)</f>
      </c>
      <c r="H93" s="18">
        <f>IF(OR(G93="",E93="",E93=0),"",G93/E93)</f>
      </c>
      <c r="I93" s="19">
        <f>IF(OR(E93="",C93=""),"",IFERROR(E93*INDEX(Alimentos!$C$5:$C$104,MATCH(C93,Alimentos!$A$5:$A$104,0)),""))</f>
      </c>
      <c r="J93" s="10"/>
      <c r="K93" s="10"/>
      <c r="L93" s="10"/>
    </row>
    <row r="94" spans="1:12" x14ac:dyDescent="0.25">
      <c r="A94" s="20"/>
      <c r="B94" s="10"/>
      <c r="C94" s="10"/>
      <c r="D94" s="15">
        <f>IF(C94="","",IFERROR(INDEX(Alimentos!$B$5:$B$104,MATCH(C94,Alimentos!$A$5:$A$104,0)),""))</f>
      </c>
      <c r="E94" s="21"/>
      <c r="F94" s="21"/>
      <c r="G94" s="17">
        <f>IF(OR(E94="",F94=""),"",E94-F94)</f>
      </c>
      <c r="H94" s="18">
        <f>IF(OR(G94="",E94="",E94=0),"",G94/E94)</f>
      </c>
      <c r="I94" s="19">
        <f>IF(OR(E94="",C94=""),"",IFERROR(E94*INDEX(Alimentos!$C$5:$C$104,MATCH(C94,Alimentos!$A$5:$A$104,0)),""))</f>
      </c>
      <c r="J94" s="10"/>
      <c r="K94" s="10"/>
      <c r="L94" s="10"/>
    </row>
    <row r="95" spans="1:12" x14ac:dyDescent="0.25">
      <c r="A95" s="20"/>
      <c r="B95" s="10"/>
      <c r="C95" s="10"/>
      <c r="D95" s="15">
        <f>IF(C95="","",IFERROR(INDEX(Alimentos!$B$5:$B$104,MATCH(C95,Alimentos!$A$5:$A$104,0)),""))</f>
      </c>
      <c r="E95" s="21"/>
      <c r="F95" s="21"/>
      <c r="G95" s="17">
        <f>IF(OR(E95="",F95=""),"",E95-F95)</f>
      </c>
      <c r="H95" s="18">
        <f>IF(OR(G95="",E95="",E95=0),"",G95/E95)</f>
      </c>
      <c r="I95" s="19">
        <f>IF(OR(E95="",C95=""),"",IFERROR(E95*INDEX(Alimentos!$C$5:$C$104,MATCH(C95,Alimentos!$A$5:$A$104,0)),""))</f>
      </c>
      <c r="J95" s="10"/>
      <c r="K95" s="10"/>
      <c r="L95" s="10"/>
    </row>
    <row r="96" spans="1:12" x14ac:dyDescent="0.25">
      <c r="A96" s="20"/>
      <c r="B96" s="10"/>
      <c r="C96" s="10"/>
      <c r="D96" s="15">
        <f>IF(C96="","",IFERROR(INDEX(Alimentos!$B$5:$B$104,MATCH(C96,Alimentos!$A$5:$A$104,0)),""))</f>
      </c>
      <c r="E96" s="21"/>
      <c r="F96" s="21"/>
      <c r="G96" s="17">
        <f>IF(OR(E96="",F96=""),"",E96-F96)</f>
      </c>
      <c r="H96" s="18">
        <f>IF(OR(G96="",E96="",E96=0),"",G96/E96)</f>
      </c>
      <c r="I96" s="19">
        <f>IF(OR(E96="",C96=""),"",IFERROR(E96*INDEX(Alimentos!$C$5:$C$104,MATCH(C96,Alimentos!$A$5:$A$104,0)),""))</f>
      </c>
      <c r="J96" s="10"/>
      <c r="K96" s="10"/>
      <c r="L96" s="10"/>
    </row>
    <row r="97" spans="1:12" x14ac:dyDescent="0.25">
      <c r="A97" s="20"/>
      <c r="B97" s="10"/>
      <c r="C97" s="10"/>
      <c r="D97" s="15">
        <f>IF(C97="","",IFERROR(INDEX(Alimentos!$B$5:$B$104,MATCH(C97,Alimentos!$A$5:$A$104,0)),""))</f>
      </c>
      <c r="E97" s="21"/>
      <c r="F97" s="21"/>
      <c r="G97" s="17">
        <f>IF(OR(E97="",F97=""),"",E97-F97)</f>
      </c>
      <c r="H97" s="18">
        <f>IF(OR(G97="",E97="",E97=0),"",G97/E97)</f>
      </c>
      <c r="I97" s="19">
        <f>IF(OR(E97="",C97=""),"",IFERROR(E97*INDEX(Alimentos!$C$5:$C$104,MATCH(C97,Alimentos!$A$5:$A$104,0)),""))</f>
      </c>
      <c r="J97" s="10"/>
      <c r="K97" s="10"/>
      <c r="L97" s="10"/>
    </row>
    <row r="98" spans="1:12" x14ac:dyDescent="0.25">
      <c r="A98" s="20"/>
      <c r="B98" s="10"/>
      <c r="C98" s="10"/>
      <c r="D98" s="15">
        <f>IF(C98="","",IFERROR(INDEX(Alimentos!$B$5:$B$104,MATCH(C98,Alimentos!$A$5:$A$104,0)),""))</f>
      </c>
      <c r="E98" s="21"/>
      <c r="F98" s="21"/>
      <c r="G98" s="17">
        <f>IF(OR(E98="",F98=""),"",E98-F98)</f>
      </c>
      <c r="H98" s="18">
        <f>IF(OR(G98="",E98="",E98=0),"",G98/E98)</f>
      </c>
      <c r="I98" s="19">
        <f>IF(OR(E98="",C98=""),"",IFERROR(E98*INDEX(Alimentos!$C$5:$C$104,MATCH(C98,Alimentos!$A$5:$A$104,0)),""))</f>
      </c>
      <c r="J98" s="10"/>
      <c r="K98" s="10"/>
      <c r="L98" s="10"/>
    </row>
    <row r="99" spans="1:12" x14ac:dyDescent="0.25">
      <c r="A99" s="20"/>
      <c r="B99" s="10"/>
      <c r="C99" s="10"/>
      <c r="D99" s="15">
        <f>IF(C99="","",IFERROR(INDEX(Alimentos!$B$5:$B$104,MATCH(C99,Alimentos!$A$5:$A$104,0)),""))</f>
      </c>
      <c r="E99" s="21"/>
      <c r="F99" s="21"/>
      <c r="G99" s="17">
        <f>IF(OR(E99="",F99=""),"",E99-F99)</f>
      </c>
      <c r="H99" s="18">
        <f>IF(OR(G99="",E99="",E99=0),"",G99/E99)</f>
      </c>
      <c r="I99" s="19">
        <f>IF(OR(E99="",C99=""),"",IFERROR(E99*INDEX(Alimentos!$C$5:$C$104,MATCH(C99,Alimentos!$A$5:$A$104,0)),""))</f>
      </c>
      <c r="J99" s="10"/>
      <c r="K99" s="10"/>
      <c r="L99" s="10"/>
    </row>
    <row r="100" spans="1:12" x14ac:dyDescent="0.25">
      <c r="A100" s="20"/>
      <c r="B100" s="10"/>
      <c r="C100" s="10"/>
      <c r="D100" s="15">
        <f>IF(C100="","",IFERROR(INDEX(Alimentos!$B$5:$B$104,MATCH(C100,Alimentos!$A$5:$A$104,0)),""))</f>
      </c>
      <c r="E100" s="21"/>
      <c r="F100" s="21"/>
      <c r="G100" s="17">
        <f>IF(OR(E100="",F100=""),"",E100-F100)</f>
      </c>
      <c r="H100" s="18">
        <f>IF(OR(G100="",E100="",E100=0),"",G100/E100)</f>
      </c>
      <c r="I100" s="19">
        <f>IF(OR(E100="",C100=""),"",IFERROR(E100*INDEX(Alimentos!$C$5:$C$104,MATCH(C100,Alimentos!$A$5:$A$104,0)),""))</f>
      </c>
      <c r="J100" s="10"/>
      <c r="K100" s="10"/>
      <c r="L100" s="10"/>
    </row>
    <row r="101" spans="1:12" x14ac:dyDescent="0.25">
      <c r="A101" s="20"/>
      <c r="B101" s="10"/>
      <c r="C101" s="10"/>
      <c r="D101" s="15">
        <f>IF(C101="","",IFERROR(INDEX(Alimentos!$B$5:$B$104,MATCH(C101,Alimentos!$A$5:$A$104,0)),""))</f>
      </c>
      <c r="E101" s="21"/>
      <c r="F101" s="21"/>
      <c r="G101" s="17">
        <f>IF(OR(E101="",F101=""),"",E101-F101)</f>
      </c>
      <c r="H101" s="18">
        <f>IF(OR(G101="",E101="",E101=0),"",G101/E101)</f>
      </c>
      <c r="I101" s="19">
        <f>IF(OR(E101="",C101=""),"",IFERROR(E101*INDEX(Alimentos!$C$5:$C$104,MATCH(C101,Alimentos!$A$5:$A$104,0)),""))</f>
      </c>
      <c r="J101" s="10"/>
      <c r="K101" s="10"/>
      <c r="L101" s="10"/>
    </row>
    <row r="102" spans="1:12" x14ac:dyDescent="0.25">
      <c r="A102" s="20"/>
      <c r="B102" s="10"/>
      <c r="C102" s="10"/>
      <c r="D102" s="15">
        <f>IF(C102="","",IFERROR(INDEX(Alimentos!$B$5:$B$104,MATCH(C102,Alimentos!$A$5:$A$104,0)),""))</f>
      </c>
      <c r="E102" s="21"/>
      <c r="F102" s="21"/>
      <c r="G102" s="17">
        <f>IF(OR(E102="",F102=""),"",E102-F102)</f>
      </c>
      <c r="H102" s="18">
        <f>IF(OR(G102="",E102="",E102=0),"",G102/E102)</f>
      </c>
      <c r="I102" s="19">
        <f>IF(OR(E102="",C102=""),"",IFERROR(E102*INDEX(Alimentos!$C$5:$C$104,MATCH(C102,Alimentos!$A$5:$A$104,0)),""))</f>
      </c>
      <c r="J102" s="10"/>
      <c r="K102" s="10"/>
      <c r="L102" s="10"/>
    </row>
    <row r="103" spans="1:12" x14ac:dyDescent="0.25">
      <c r="A103" s="20"/>
      <c r="B103" s="10"/>
      <c r="C103" s="10"/>
      <c r="D103" s="15">
        <f>IF(C103="","",IFERROR(INDEX(Alimentos!$B$5:$B$104,MATCH(C103,Alimentos!$A$5:$A$104,0)),""))</f>
      </c>
      <c r="E103" s="21"/>
      <c r="F103" s="21"/>
      <c r="G103" s="17">
        <f>IF(OR(E103="",F103=""),"",E103-F103)</f>
      </c>
      <c r="H103" s="18">
        <f>IF(OR(G103="",E103="",E103=0),"",G103/E103)</f>
      </c>
      <c r="I103" s="19">
        <f>IF(OR(E103="",C103=""),"",IFERROR(E103*INDEX(Alimentos!$C$5:$C$104,MATCH(C103,Alimentos!$A$5:$A$104,0)),""))</f>
      </c>
      <c r="J103" s="10"/>
      <c r="K103" s="10"/>
      <c r="L103" s="10"/>
    </row>
    <row r="104" spans="1:12" x14ac:dyDescent="0.25">
      <c r="A104" s="20"/>
      <c r="B104" s="10"/>
      <c r="C104" s="10"/>
      <c r="D104" s="15">
        <f>IF(C104="","",IFERROR(INDEX(Alimentos!$B$5:$B$104,MATCH(C104,Alimentos!$A$5:$A$104,0)),""))</f>
      </c>
      <c r="E104" s="21"/>
      <c r="F104" s="21"/>
      <c r="G104" s="17">
        <f>IF(OR(E104="",F104=""),"",E104-F104)</f>
      </c>
      <c r="H104" s="18">
        <f>IF(OR(G104="",E104="",E104=0),"",G104/E104)</f>
      </c>
      <c r="I104" s="19">
        <f>IF(OR(E104="",C104=""),"",IFERROR(E104*INDEX(Alimentos!$C$5:$C$104,MATCH(C104,Alimentos!$A$5:$A$104,0)),""))</f>
      </c>
      <c r="J104" s="10"/>
      <c r="K104" s="10"/>
      <c r="L104" s="10"/>
    </row>
    <row r="105" spans="1:12" x14ac:dyDescent="0.25">
      <c r="A105" s="20"/>
      <c r="B105" s="10"/>
      <c r="C105" s="10"/>
      <c r="D105" s="15">
        <f>IF(C105="","",IFERROR(INDEX(Alimentos!$B$5:$B$104,MATCH(C105,Alimentos!$A$5:$A$104,0)),""))</f>
      </c>
      <c r="E105" s="21"/>
      <c r="F105" s="21"/>
      <c r="G105" s="17">
        <f>IF(OR(E105="",F105=""),"",E105-F105)</f>
      </c>
      <c r="H105" s="18">
        <f>IF(OR(G105="",E105="",E105=0),"",G105/E105)</f>
      </c>
      <c r="I105" s="19">
        <f>IF(OR(E105="",C105=""),"",IFERROR(E105*INDEX(Alimentos!$C$5:$C$104,MATCH(C105,Alimentos!$A$5:$A$104,0)),""))</f>
      </c>
      <c r="J105" s="10"/>
      <c r="K105" s="10"/>
      <c r="L105" s="10"/>
    </row>
    <row r="106" spans="1:12" x14ac:dyDescent="0.25">
      <c r="A106" s="20"/>
      <c r="B106" s="10"/>
      <c r="C106" s="10"/>
      <c r="D106" s="15">
        <f>IF(C106="","",IFERROR(INDEX(Alimentos!$B$5:$B$104,MATCH(C106,Alimentos!$A$5:$A$104,0)),""))</f>
      </c>
      <c r="E106" s="21"/>
      <c r="F106" s="21"/>
      <c r="G106" s="17">
        <f>IF(OR(E106="",F106=""),"",E106-F106)</f>
      </c>
      <c r="H106" s="18">
        <f>IF(OR(G106="",E106="",E106=0),"",G106/E106)</f>
      </c>
      <c r="I106" s="19">
        <f>IF(OR(E106="",C106=""),"",IFERROR(E106*INDEX(Alimentos!$C$5:$C$104,MATCH(C106,Alimentos!$A$5:$A$104,0)),""))</f>
      </c>
      <c r="J106" s="10"/>
      <c r="K106" s="10"/>
      <c r="L106" s="10"/>
    </row>
    <row r="107" spans="1:12" x14ac:dyDescent="0.25">
      <c r="A107" s="20"/>
      <c r="B107" s="10"/>
      <c r="C107" s="10"/>
      <c r="D107" s="15">
        <f>IF(C107="","",IFERROR(INDEX(Alimentos!$B$5:$B$104,MATCH(C107,Alimentos!$A$5:$A$104,0)),""))</f>
      </c>
      <c r="E107" s="21"/>
      <c r="F107" s="21"/>
      <c r="G107" s="17">
        <f>IF(OR(E107="",F107=""),"",E107-F107)</f>
      </c>
      <c r="H107" s="18">
        <f>IF(OR(G107="",E107="",E107=0),"",G107/E107)</f>
      </c>
      <c r="I107" s="19">
        <f>IF(OR(E107="",C107=""),"",IFERROR(E107*INDEX(Alimentos!$C$5:$C$104,MATCH(C107,Alimentos!$A$5:$A$104,0)),""))</f>
      </c>
      <c r="J107" s="10"/>
      <c r="K107" s="10"/>
      <c r="L107" s="10"/>
    </row>
    <row r="108" spans="1:12" x14ac:dyDescent="0.25">
      <c r="A108" s="20"/>
      <c r="B108" s="10"/>
      <c r="C108" s="10"/>
      <c r="D108" s="15">
        <f>IF(C108="","",IFERROR(INDEX(Alimentos!$B$5:$B$104,MATCH(C108,Alimentos!$A$5:$A$104,0)),""))</f>
      </c>
      <c r="E108" s="21"/>
      <c r="F108" s="21"/>
      <c r="G108" s="17">
        <f>IF(OR(E108="",F108=""),"",E108-F108)</f>
      </c>
      <c r="H108" s="18">
        <f>IF(OR(G108="",E108="",E108=0),"",G108/E108)</f>
      </c>
      <c r="I108" s="19">
        <f>IF(OR(E108="",C108=""),"",IFERROR(E108*INDEX(Alimentos!$C$5:$C$104,MATCH(C108,Alimentos!$A$5:$A$104,0)),""))</f>
      </c>
      <c r="J108" s="10"/>
      <c r="K108" s="10"/>
      <c r="L108" s="10"/>
    </row>
    <row r="109" spans="1:12" x14ac:dyDescent="0.25">
      <c r="A109" s="20"/>
      <c r="B109" s="10"/>
      <c r="C109" s="10"/>
      <c r="D109" s="15">
        <f>IF(C109="","",IFERROR(INDEX(Alimentos!$B$5:$B$104,MATCH(C109,Alimentos!$A$5:$A$104,0)),""))</f>
      </c>
      <c r="E109" s="21"/>
      <c r="F109" s="21"/>
      <c r="G109" s="17">
        <f>IF(OR(E109="",F109=""),"",E109-F109)</f>
      </c>
      <c r="H109" s="18">
        <f>IF(OR(G109="",E109="",E109=0),"",G109/E109)</f>
      </c>
      <c r="I109" s="19">
        <f>IF(OR(E109="",C109=""),"",IFERROR(E109*INDEX(Alimentos!$C$5:$C$104,MATCH(C109,Alimentos!$A$5:$A$104,0)),""))</f>
      </c>
      <c r="J109" s="10"/>
      <c r="K109" s="10"/>
      <c r="L109" s="10"/>
    </row>
    <row r="110" spans="1:12" x14ac:dyDescent="0.25">
      <c r="A110" s="20"/>
      <c r="B110" s="10"/>
      <c r="C110" s="10"/>
      <c r="D110" s="15">
        <f>IF(C110="","",IFERROR(INDEX(Alimentos!$B$5:$B$104,MATCH(C110,Alimentos!$A$5:$A$104,0)),""))</f>
      </c>
      <c r="E110" s="21"/>
      <c r="F110" s="21"/>
      <c r="G110" s="17">
        <f>IF(OR(E110="",F110=""),"",E110-F110)</f>
      </c>
      <c r="H110" s="18">
        <f>IF(OR(G110="",E110="",E110=0),"",G110/E110)</f>
      </c>
      <c r="I110" s="19">
        <f>IF(OR(E110="",C110=""),"",IFERROR(E110*INDEX(Alimentos!$C$5:$C$104,MATCH(C110,Alimentos!$A$5:$A$104,0)),""))</f>
      </c>
      <c r="J110" s="10"/>
      <c r="K110" s="10"/>
      <c r="L110" s="10"/>
    </row>
    <row r="111" spans="1:12" x14ac:dyDescent="0.25">
      <c r="A111" s="20"/>
      <c r="B111" s="10"/>
      <c r="C111" s="10"/>
      <c r="D111" s="15">
        <f>IF(C111="","",IFERROR(INDEX(Alimentos!$B$5:$B$104,MATCH(C111,Alimentos!$A$5:$A$104,0)),""))</f>
      </c>
      <c r="E111" s="21"/>
      <c r="F111" s="21"/>
      <c r="G111" s="17">
        <f>IF(OR(E111="",F111=""),"",E111-F111)</f>
      </c>
      <c r="H111" s="18">
        <f>IF(OR(G111="",E111="",E111=0),"",G111/E111)</f>
      </c>
      <c r="I111" s="19">
        <f>IF(OR(E111="",C111=""),"",IFERROR(E111*INDEX(Alimentos!$C$5:$C$104,MATCH(C111,Alimentos!$A$5:$A$104,0)),""))</f>
      </c>
      <c r="J111" s="10"/>
      <c r="K111" s="10"/>
      <c r="L111" s="10"/>
    </row>
    <row r="112" spans="1:12" x14ac:dyDescent="0.25">
      <c r="A112" s="20"/>
      <c r="B112" s="10"/>
      <c r="C112" s="10"/>
      <c r="D112" s="15">
        <f>IF(C112="","",IFERROR(INDEX(Alimentos!$B$5:$B$104,MATCH(C112,Alimentos!$A$5:$A$104,0)),""))</f>
      </c>
      <c r="E112" s="21"/>
      <c r="F112" s="21"/>
      <c r="G112" s="17">
        <f>IF(OR(E112="",F112=""),"",E112-F112)</f>
      </c>
      <c r="H112" s="18">
        <f>IF(OR(G112="",E112="",E112=0),"",G112/E112)</f>
      </c>
      <c r="I112" s="19">
        <f>IF(OR(E112="",C112=""),"",IFERROR(E112*INDEX(Alimentos!$C$5:$C$104,MATCH(C112,Alimentos!$A$5:$A$104,0)),""))</f>
      </c>
      <c r="J112" s="10"/>
      <c r="K112" s="10"/>
      <c r="L112" s="10"/>
    </row>
    <row r="113" spans="1:12" x14ac:dyDescent="0.25">
      <c r="A113" s="20"/>
      <c r="B113" s="10"/>
      <c r="C113" s="10"/>
      <c r="D113" s="15">
        <f>IF(C113="","",IFERROR(INDEX(Alimentos!$B$5:$B$104,MATCH(C113,Alimentos!$A$5:$A$104,0)),""))</f>
      </c>
      <c r="E113" s="21"/>
      <c r="F113" s="21"/>
      <c r="G113" s="17">
        <f>IF(OR(E113="",F113=""),"",E113-F113)</f>
      </c>
      <c r="H113" s="18">
        <f>IF(OR(G113="",E113="",E113=0),"",G113/E113)</f>
      </c>
      <c r="I113" s="19">
        <f>IF(OR(E113="",C113=""),"",IFERROR(E113*INDEX(Alimentos!$C$5:$C$104,MATCH(C113,Alimentos!$A$5:$A$104,0)),""))</f>
      </c>
      <c r="J113" s="10"/>
      <c r="K113" s="10"/>
      <c r="L113" s="10"/>
    </row>
    <row r="114" spans="1:12" x14ac:dyDescent="0.25">
      <c r="A114" s="20"/>
      <c r="B114" s="10"/>
      <c r="C114" s="10"/>
      <c r="D114" s="15">
        <f>IF(C114="","",IFERROR(INDEX(Alimentos!$B$5:$B$104,MATCH(C114,Alimentos!$A$5:$A$104,0)),""))</f>
      </c>
      <c r="E114" s="21"/>
      <c r="F114" s="21"/>
      <c r="G114" s="17">
        <f>IF(OR(E114="",F114=""),"",E114-F114)</f>
      </c>
      <c r="H114" s="18">
        <f>IF(OR(G114="",E114="",E114=0),"",G114/E114)</f>
      </c>
      <c r="I114" s="19">
        <f>IF(OR(E114="",C114=""),"",IFERROR(E114*INDEX(Alimentos!$C$5:$C$104,MATCH(C114,Alimentos!$A$5:$A$104,0)),""))</f>
      </c>
      <c r="J114" s="10"/>
      <c r="K114" s="10"/>
      <c r="L114" s="10"/>
    </row>
    <row r="115" spans="1:12" x14ac:dyDescent="0.25">
      <c r="A115" s="20"/>
      <c r="B115" s="10"/>
      <c r="C115" s="10"/>
      <c r="D115" s="15">
        <f>IF(C115="","",IFERROR(INDEX(Alimentos!$B$5:$B$104,MATCH(C115,Alimentos!$A$5:$A$104,0)),""))</f>
      </c>
      <c r="E115" s="21"/>
      <c r="F115" s="21"/>
      <c r="G115" s="17">
        <f>IF(OR(E115="",F115=""),"",E115-F115)</f>
      </c>
      <c r="H115" s="18">
        <f>IF(OR(G115="",E115="",E115=0),"",G115/E115)</f>
      </c>
      <c r="I115" s="19">
        <f>IF(OR(E115="",C115=""),"",IFERROR(E115*INDEX(Alimentos!$C$5:$C$104,MATCH(C115,Alimentos!$A$5:$A$104,0)),""))</f>
      </c>
      <c r="J115" s="10"/>
      <c r="K115" s="10"/>
      <c r="L115" s="10"/>
    </row>
    <row r="116" spans="1:12" x14ac:dyDescent="0.25">
      <c r="A116" s="20"/>
      <c r="B116" s="10"/>
      <c r="C116" s="10"/>
      <c r="D116" s="15">
        <f>IF(C116="","",IFERROR(INDEX(Alimentos!$B$5:$B$104,MATCH(C116,Alimentos!$A$5:$A$104,0)),""))</f>
      </c>
      <c r="E116" s="21"/>
      <c r="F116" s="21"/>
      <c r="G116" s="17">
        <f>IF(OR(E116="",F116=""),"",E116-F116)</f>
      </c>
      <c r="H116" s="18">
        <f>IF(OR(G116="",E116="",E116=0),"",G116/E116)</f>
      </c>
      <c r="I116" s="19">
        <f>IF(OR(E116="",C116=""),"",IFERROR(E116*INDEX(Alimentos!$C$5:$C$104,MATCH(C116,Alimentos!$A$5:$A$104,0)),""))</f>
      </c>
      <c r="J116" s="10"/>
      <c r="K116" s="10"/>
      <c r="L116" s="10"/>
    </row>
    <row r="117" spans="1:12" x14ac:dyDescent="0.25">
      <c r="A117" s="20"/>
      <c r="B117" s="10"/>
      <c r="C117" s="10"/>
      <c r="D117" s="15">
        <f>IF(C117="","",IFERROR(INDEX(Alimentos!$B$5:$B$104,MATCH(C117,Alimentos!$A$5:$A$104,0)),""))</f>
      </c>
      <c r="E117" s="21"/>
      <c r="F117" s="21"/>
      <c r="G117" s="17">
        <f>IF(OR(E117="",F117=""),"",E117-F117)</f>
      </c>
      <c r="H117" s="18">
        <f>IF(OR(G117="",E117="",E117=0),"",G117/E117)</f>
      </c>
      <c r="I117" s="19">
        <f>IF(OR(E117="",C117=""),"",IFERROR(E117*INDEX(Alimentos!$C$5:$C$104,MATCH(C117,Alimentos!$A$5:$A$104,0)),""))</f>
      </c>
      <c r="J117" s="10"/>
      <c r="K117" s="10"/>
      <c r="L117" s="10"/>
    </row>
    <row r="118" spans="1:12" x14ac:dyDescent="0.25">
      <c r="A118" s="20"/>
      <c r="B118" s="10"/>
      <c r="C118" s="10"/>
      <c r="D118" s="15">
        <f>IF(C118="","",IFERROR(INDEX(Alimentos!$B$5:$B$104,MATCH(C118,Alimentos!$A$5:$A$104,0)),""))</f>
      </c>
      <c r="E118" s="21"/>
      <c r="F118" s="21"/>
      <c r="G118" s="17">
        <f>IF(OR(E118="",F118=""),"",E118-F118)</f>
      </c>
      <c r="H118" s="18">
        <f>IF(OR(G118="",E118="",E118=0),"",G118/E118)</f>
      </c>
      <c r="I118" s="19">
        <f>IF(OR(E118="",C118=""),"",IFERROR(E118*INDEX(Alimentos!$C$5:$C$104,MATCH(C118,Alimentos!$A$5:$A$104,0)),""))</f>
      </c>
      <c r="J118" s="10"/>
      <c r="K118" s="10"/>
      <c r="L118" s="10"/>
    </row>
    <row r="119" spans="1:12" x14ac:dyDescent="0.25">
      <c r="A119" s="20"/>
      <c r="B119" s="10"/>
      <c r="C119" s="10"/>
      <c r="D119" s="15">
        <f>IF(C119="","",IFERROR(INDEX(Alimentos!$B$5:$B$104,MATCH(C119,Alimentos!$A$5:$A$104,0)),""))</f>
      </c>
      <c r="E119" s="21"/>
      <c r="F119" s="21"/>
      <c r="G119" s="17">
        <f>IF(OR(E119="",F119=""),"",E119-F119)</f>
      </c>
      <c r="H119" s="18">
        <f>IF(OR(G119="",E119="",E119=0),"",G119/E119)</f>
      </c>
      <c r="I119" s="19">
        <f>IF(OR(E119="",C119=""),"",IFERROR(E119*INDEX(Alimentos!$C$5:$C$104,MATCH(C119,Alimentos!$A$5:$A$104,0)),""))</f>
      </c>
      <c r="J119" s="10"/>
      <c r="K119" s="10"/>
      <c r="L119" s="10"/>
    </row>
    <row r="120" spans="1:12" x14ac:dyDescent="0.25">
      <c r="A120" s="20"/>
      <c r="B120" s="10"/>
      <c r="C120" s="10"/>
      <c r="D120" s="15">
        <f>IF(C120="","",IFERROR(INDEX(Alimentos!$B$5:$B$104,MATCH(C120,Alimentos!$A$5:$A$104,0)),""))</f>
      </c>
      <c r="E120" s="21"/>
      <c r="F120" s="21"/>
      <c r="G120" s="17">
        <f>IF(OR(E120="",F120=""),"",E120-F120)</f>
      </c>
      <c r="H120" s="18">
        <f>IF(OR(G120="",E120="",E120=0),"",G120/E120)</f>
      </c>
      <c r="I120" s="19">
        <f>IF(OR(E120="",C120=""),"",IFERROR(E120*INDEX(Alimentos!$C$5:$C$104,MATCH(C120,Alimentos!$A$5:$A$104,0)),""))</f>
      </c>
      <c r="J120" s="10"/>
      <c r="K120" s="10"/>
      <c r="L120" s="10"/>
    </row>
    <row r="121" spans="1:12" x14ac:dyDescent="0.25">
      <c r="A121" s="20"/>
      <c r="B121" s="10"/>
      <c r="C121" s="10"/>
      <c r="D121" s="15">
        <f>IF(C121="","",IFERROR(INDEX(Alimentos!$B$5:$B$104,MATCH(C121,Alimentos!$A$5:$A$104,0)),""))</f>
      </c>
      <c r="E121" s="21"/>
      <c r="F121" s="21"/>
      <c r="G121" s="17">
        <f>IF(OR(E121="",F121=""),"",E121-F121)</f>
      </c>
      <c r="H121" s="18">
        <f>IF(OR(G121="",E121="",E121=0),"",G121/E121)</f>
      </c>
      <c r="I121" s="19">
        <f>IF(OR(E121="",C121=""),"",IFERROR(E121*INDEX(Alimentos!$C$5:$C$104,MATCH(C121,Alimentos!$A$5:$A$104,0)),""))</f>
      </c>
      <c r="J121" s="10"/>
      <c r="K121" s="10"/>
      <c r="L121" s="10"/>
    </row>
    <row r="122" spans="1:12" x14ac:dyDescent="0.25">
      <c r="A122" s="20"/>
      <c r="B122" s="10"/>
      <c r="C122" s="10"/>
      <c r="D122" s="15">
        <f>IF(C122="","",IFERROR(INDEX(Alimentos!$B$5:$B$104,MATCH(C122,Alimentos!$A$5:$A$104,0)),""))</f>
      </c>
      <c r="E122" s="21"/>
      <c r="F122" s="21"/>
      <c r="G122" s="17">
        <f>IF(OR(E122="",F122=""),"",E122-F122)</f>
      </c>
      <c r="H122" s="18">
        <f>IF(OR(G122="",E122="",E122=0),"",G122/E122)</f>
      </c>
      <c r="I122" s="19">
        <f>IF(OR(E122="",C122=""),"",IFERROR(E122*INDEX(Alimentos!$C$5:$C$104,MATCH(C122,Alimentos!$A$5:$A$104,0)),""))</f>
      </c>
      <c r="J122" s="10"/>
      <c r="K122" s="10"/>
      <c r="L122" s="10"/>
    </row>
    <row r="123" spans="1:12" x14ac:dyDescent="0.25">
      <c r="A123" s="20"/>
      <c r="B123" s="10"/>
      <c r="C123" s="10"/>
      <c r="D123" s="15">
        <f>IF(C123="","",IFERROR(INDEX(Alimentos!$B$5:$B$104,MATCH(C123,Alimentos!$A$5:$A$104,0)),""))</f>
      </c>
      <c r="E123" s="21"/>
      <c r="F123" s="21"/>
      <c r="G123" s="17">
        <f>IF(OR(E123="",F123=""),"",E123-F123)</f>
      </c>
      <c r="H123" s="18">
        <f>IF(OR(G123="",E123="",E123=0),"",G123/E123)</f>
      </c>
      <c r="I123" s="19">
        <f>IF(OR(E123="",C123=""),"",IFERROR(E123*INDEX(Alimentos!$C$5:$C$104,MATCH(C123,Alimentos!$A$5:$A$104,0)),""))</f>
      </c>
      <c r="J123" s="10"/>
      <c r="K123" s="10"/>
      <c r="L123" s="10"/>
    </row>
    <row r="124" spans="1:12" x14ac:dyDescent="0.25">
      <c r="A124" s="20"/>
      <c r="B124" s="10"/>
      <c r="C124" s="10"/>
      <c r="D124" s="15">
        <f>IF(C124="","",IFERROR(INDEX(Alimentos!$B$5:$B$104,MATCH(C124,Alimentos!$A$5:$A$104,0)),""))</f>
      </c>
      <c r="E124" s="21"/>
      <c r="F124" s="21"/>
      <c r="G124" s="17">
        <f>IF(OR(E124="",F124=""),"",E124-F124)</f>
      </c>
      <c r="H124" s="18">
        <f>IF(OR(G124="",E124="",E124=0),"",G124/E124)</f>
      </c>
      <c r="I124" s="19">
        <f>IF(OR(E124="",C124=""),"",IFERROR(E124*INDEX(Alimentos!$C$5:$C$104,MATCH(C124,Alimentos!$A$5:$A$104,0)),""))</f>
      </c>
      <c r="J124" s="10"/>
      <c r="K124" s="10"/>
      <c r="L124" s="10"/>
    </row>
    <row r="125" spans="1:12" x14ac:dyDescent="0.25">
      <c r="A125" s="20"/>
      <c r="B125" s="10"/>
      <c r="C125" s="10"/>
      <c r="D125" s="15">
        <f>IF(C125="","",IFERROR(INDEX(Alimentos!$B$5:$B$104,MATCH(C125,Alimentos!$A$5:$A$104,0)),""))</f>
      </c>
      <c r="E125" s="21"/>
      <c r="F125" s="21"/>
      <c r="G125" s="17">
        <f>IF(OR(E125="",F125=""),"",E125-F125)</f>
      </c>
      <c r="H125" s="18">
        <f>IF(OR(G125="",E125="",E125=0),"",G125/E125)</f>
      </c>
      <c r="I125" s="19">
        <f>IF(OR(E125="",C125=""),"",IFERROR(E125*INDEX(Alimentos!$C$5:$C$104,MATCH(C125,Alimentos!$A$5:$A$104,0)),""))</f>
      </c>
      <c r="J125" s="10"/>
      <c r="K125" s="10"/>
      <c r="L125" s="10"/>
    </row>
    <row r="126" spans="1:12" x14ac:dyDescent="0.25">
      <c r="A126" s="20"/>
      <c r="B126" s="10"/>
      <c r="C126" s="10"/>
      <c r="D126" s="15">
        <f>IF(C126="","",IFERROR(INDEX(Alimentos!$B$5:$B$104,MATCH(C126,Alimentos!$A$5:$A$104,0)),""))</f>
      </c>
      <c r="E126" s="21"/>
      <c r="F126" s="21"/>
      <c r="G126" s="17">
        <f>IF(OR(E126="",F126=""),"",E126-F126)</f>
      </c>
      <c r="H126" s="18">
        <f>IF(OR(G126="",E126="",E126=0),"",G126/E126)</f>
      </c>
      <c r="I126" s="19">
        <f>IF(OR(E126="",C126=""),"",IFERROR(E126*INDEX(Alimentos!$C$5:$C$104,MATCH(C126,Alimentos!$A$5:$A$104,0)),""))</f>
      </c>
      <c r="J126" s="10"/>
      <c r="K126" s="10"/>
      <c r="L126" s="10"/>
    </row>
    <row r="127" spans="1:12" x14ac:dyDescent="0.25">
      <c r="A127" s="20"/>
      <c r="B127" s="10"/>
      <c r="C127" s="10"/>
      <c r="D127" s="15">
        <f>IF(C127="","",IFERROR(INDEX(Alimentos!$B$5:$B$104,MATCH(C127,Alimentos!$A$5:$A$104,0)),""))</f>
      </c>
      <c r="E127" s="21"/>
      <c r="F127" s="21"/>
      <c r="G127" s="17">
        <f>IF(OR(E127="",F127=""),"",E127-F127)</f>
      </c>
      <c r="H127" s="18">
        <f>IF(OR(G127="",E127="",E127=0),"",G127/E127)</f>
      </c>
      <c r="I127" s="19">
        <f>IF(OR(E127="",C127=""),"",IFERROR(E127*INDEX(Alimentos!$C$5:$C$104,MATCH(C127,Alimentos!$A$5:$A$104,0)),""))</f>
      </c>
      <c r="J127" s="10"/>
      <c r="K127" s="10"/>
      <c r="L127" s="10"/>
    </row>
    <row r="128" spans="1:12" x14ac:dyDescent="0.25">
      <c r="A128" s="20"/>
      <c r="B128" s="10"/>
      <c r="C128" s="10"/>
      <c r="D128" s="15">
        <f>IF(C128="","",IFERROR(INDEX(Alimentos!$B$5:$B$104,MATCH(C128,Alimentos!$A$5:$A$104,0)),""))</f>
      </c>
      <c r="E128" s="21"/>
      <c r="F128" s="21"/>
      <c r="G128" s="17">
        <f>IF(OR(E128="",F128=""),"",E128-F128)</f>
      </c>
      <c r="H128" s="18">
        <f>IF(OR(G128="",E128="",E128=0),"",G128/E128)</f>
      </c>
      <c r="I128" s="19">
        <f>IF(OR(E128="",C128=""),"",IFERROR(E128*INDEX(Alimentos!$C$5:$C$104,MATCH(C128,Alimentos!$A$5:$A$104,0)),""))</f>
      </c>
      <c r="J128" s="10"/>
      <c r="K128" s="10"/>
      <c r="L128" s="10"/>
    </row>
    <row r="129" spans="1:12" x14ac:dyDescent="0.25">
      <c r="A129" s="20"/>
      <c r="B129" s="10"/>
      <c r="C129" s="10"/>
      <c r="D129" s="15">
        <f>IF(C129="","",IFERROR(INDEX(Alimentos!$B$5:$B$104,MATCH(C129,Alimentos!$A$5:$A$104,0)),""))</f>
      </c>
      <c r="E129" s="21"/>
      <c r="F129" s="21"/>
      <c r="G129" s="17">
        <f>IF(OR(E129="",F129=""),"",E129-F129)</f>
      </c>
      <c r="H129" s="18">
        <f>IF(OR(G129="",E129="",E129=0),"",G129/E129)</f>
      </c>
      <c r="I129" s="19">
        <f>IF(OR(E129="",C129=""),"",IFERROR(E129*INDEX(Alimentos!$C$5:$C$104,MATCH(C129,Alimentos!$A$5:$A$104,0)),""))</f>
      </c>
      <c r="J129" s="10"/>
      <c r="K129" s="10"/>
      <c r="L129" s="10"/>
    </row>
    <row r="130" spans="1:12" x14ac:dyDescent="0.25">
      <c r="A130" s="20"/>
      <c r="B130" s="10"/>
      <c r="C130" s="10"/>
      <c r="D130" s="15">
        <f>IF(C130="","",IFERROR(INDEX(Alimentos!$B$5:$B$104,MATCH(C130,Alimentos!$A$5:$A$104,0)),""))</f>
      </c>
      <c r="E130" s="21"/>
      <c r="F130" s="21"/>
      <c r="G130" s="17">
        <f>IF(OR(E130="",F130=""),"",E130-F130)</f>
      </c>
      <c r="H130" s="18">
        <f>IF(OR(G130="",E130="",E130=0),"",G130/E130)</f>
      </c>
      <c r="I130" s="19">
        <f>IF(OR(E130="",C130=""),"",IFERROR(E130*INDEX(Alimentos!$C$5:$C$104,MATCH(C130,Alimentos!$A$5:$A$104,0)),""))</f>
      </c>
      <c r="J130" s="10"/>
      <c r="K130" s="10"/>
      <c r="L130" s="10"/>
    </row>
    <row r="131" spans="1:12" x14ac:dyDescent="0.25">
      <c r="A131" s="20"/>
      <c r="B131" s="10"/>
      <c r="C131" s="10"/>
      <c r="D131" s="15">
        <f>IF(C131="","",IFERROR(INDEX(Alimentos!$B$5:$B$104,MATCH(C131,Alimentos!$A$5:$A$104,0)),""))</f>
      </c>
      <c r="E131" s="21"/>
      <c r="F131" s="21"/>
      <c r="G131" s="17">
        <f>IF(OR(E131="",F131=""),"",E131-F131)</f>
      </c>
      <c r="H131" s="18">
        <f>IF(OR(G131="",E131="",E131=0),"",G131/E131)</f>
      </c>
      <c r="I131" s="19">
        <f>IF(OR(E131="",C131=""),"",IFERROR(E131*INDEX(Alimentos!$C$5:$C$104,MATCH(C131,Alimentos!$A$5:$A$104,0)),""))</f>
      </c>
      <c r="J131" s="10"/>
      <c r="K131" s="10"/>
      <c r="L131" s="10"/>
    </row>
    <row r="132" spans="1:12" x14ac:dyDescent="0.25">
      <c r="A132" s="20"/>
      <c r="B132" s="10"/>
      <c r="C132" s="10"/>
      <c r="D132" s="15">
        <f>IF(C132="","",IFERROR(INDEX(Alimentos!$B$5:$B$104,MATCH(C132,Alimentos!$A$5:$A$104,0)),""))</f>
      </c>
      <c r="E132" s="21"/>
      <c r="F132" s="21"/>
      <c r="G132" s="17">
        <f>IF(OR(E132="",F132=""),"",E132-F132)</f>
      </c>
      <c r="H132" s="18">
        <f>IF(OR(G132="",E132="",E132=0),"",G132/E132)</f>
      </c>
      <c r="I132" s="19">
        <f>IF(OR(E132="",C132=""),"",IFERROR(E132*INDEX(Alimentos!$C$5:$C$104,MATCH(C132,Alimentos!$A$5:$A$104,0)),""))</f>
      </c>
      <c r="J132" s="10"/>
      <c r="K132" s="10"/>
      <c r="L132" s="10"/>
    </row>
    <row r="133" spans="1:12" x14ac:dyDescent="0.25">
      <c r="A133" s="20"/>
      <c r="B133" s="10"/>
      <c r="C133" s="10"/>
      <c r="D133" s="15">
        <f>IF(C133="","",IFERROR(INDEX(Alimentos!$B$5:$B$104,MATCH(C133,Alimentos!$A$5:$A$104,0)),""))</f>
      </c>
      <c r="E133" s="21"/>
      <c r="F133" s="21"/>
      <c r="G133" s="17">
        <f>IF(OR(E133="",F133=""),"",E133-F133)</f>
      </c>
      <c r="H133" s="18">
        <f>IF(OR(G133="",E133="",E133=0),"",G133/E133)</f>
      </c>
      <c r="I133" s="19">
        <f>IF(OR(E133="",C133=""),"",IFERROR(E133*INDEX(Alimentos!$C$5:$C$104,MATCH(C133,Alimentos!$A$5:$A$104,0)),""))</f>
      </c>
      <c r="J133" s="10"/>
      <c r="K133" s="10"/>
      <c r="L133" s="10"/>
    </row>
    <row r="134" spans="1:12" x14ac:dyDescent="0.25">
      <c r="A134" s="20"/>
      <c r="B134" s="10"/>
      <c r="C134" s="10"/>
      <c r="D134" s="15">
        <f>IF(C134="","",IFERROR(INDEX(Alimentos!$B$5:$B$104,MATCH(C134,Alimentos!$A$5:$A$104,0)),""))</f>
      </c>
      <c r="E134" s="21"/>
      <c r="F134" s="21"/>
      <c r="G134" s="17">
        <f>IF(OR(E134="",F134=""),"",E134-F134)</f>
      </c>
      <c r="H134" s="18">
        <f>IF(OR(G134="",E134="",E134=0),"",G134/E134)</f>
      </c>
      <c r="I134" s="19">
        <f>IF(OR(E134="",C134=""),"",IFERROR(E134*INDEX(Alimentos!$C$5:$C$104,MATCH(C134,Alimentos!$A$5:$A$104,0)),""))</f>
      </c>
      <c r="J134" s="10"/>
      <c r="K134" s="10"/>
      <c r="L134" s="10"/>
    </row>
    <row r="135" spans="1:12" x14ac:dyDescent="0.25">
      <c r="A135" s="20"/>
      <c r="B135" s="10"/>
      <c r="C135" s="10"/>
      <c r="D135" s="15">
        <f>IF(C135="","",IFERROR(INDEX(Alimentos!$B$5:$B$104,MATCH(C135,Alimentos!$A$5:$A$104,0)),""))</f>
      </c>
      <c r="E135" s="21"/>
      <c r="F135" s="21"/>
      <c r="G135" s="17">
        <f>IF(OR(E135="",F135=""),"",E135-F135)</f>
      </c>
      <c r="H135" s="18">
        <f>IF(OR(G135="",E135="",E135=0),"",G135/E135)</f>
      </c>
      <c r="I135" s="19">
        <f>IF(OR(E135="",C135=""),"",IFERROR(E135*INDEX(Alimentos!$C$5:$C$104,MATCH(C135,Alimentos!$A$5:$A$104,0)),""))</f>
      </c>
      <c r="J135" s="10"/>
      <c r="K135" s="10"/>
      <c r="L135" s="10"/>
    </row>
    <row r="136" spans="1:12" x14ac:dyDescent="0.25">
      <c r="A136" s="20"/>
      <c r="B136" s="10"/>
      <c r="C136" s="10"/>
      <c r="D136" s="15">
        <f>IF(C136="","",IFERROR(INDEX(Alimentos!$B$5:$B$104,MATCH(C136,Alimentos!$A$5:$A$104,0)),""))</f>
      </c>
      <c r="E136" s="21"/>
      <c r="F136" s="21"/>
      <c r="G136" s="17">
        <f>IF(OR(E136="",F136=""),"",E136-F136)</f>
      </c>
      <c r="H136" s="18">
        <f>IF(OR(G136="",E136="",E136=0),"",G136/E136)</f>
      </c>
      <c r="I136" s="19">
        <f>IF(OR(E136="",C136=""),"",IFERROR(E136*INDEX(Alimentos!$C$5:$C$104,MATCH(C136,Alimentos!$A$5:$A$104,0)),""))</f>
      </c>
      <c r="J136" s="10"/>
      <c r="K136" s="10"/>
      <c r="L136" s="10"/>
    </row>
    <row r="137" spans="1:12" x14ac:dyDescent="0.25">
      <c r="A137" s="20"/>
      <c r="B137" s="10"/>
      <c r="C137" s="10"/>
      <c r="D137" s="15">
        <f>IF(C137="","",IFERROR(INDEX(Alimentos!$B$5:$B$104,MATCH(C137,Alimentos!$A$5:$A$104,0)),""))</f>
      </c>
      <c r="E137" s="21"/>
      <c r="F137" s="21"/>
      <c r="G137" s="17">
        <f>IF(OR(E137="",F137=""),"",E137-F137)</f>
      </c>
      <c r="H137" s="18">
        <f>IF(OR(G137="",E137="",E137=0),"",G137/E137)</f>
      </c>
      <c r="I137" s="19">
        <f>IF(OR(E137="",C137=""),"",IFERROR(E137*INDEX(Alimentos!$C$5:$C$104,MATCH(C137,Alimentos!$A$5:$A$104,0)),""))</f>
      </c>
      <c r="J137" s="10"/>
      <c r="K137" s="10"/>
      <c r="L137" s="10"/>
    </row>
    <row r="138" spans="1:12" x14ac:dyDescent="0.25">
      <c r="A138" s="20"/>
      <c r="B138" s="10"/>
      <c r="C138" s="10"/>
      <c r="D138" s="15">
        <f>IF(C138="","",IFERROR(INDEX(Alimentos!$B$5:$B$104,MATCH(C138,Alimentos!$A$5:$A$104,0)),""))</f>
      </c>
      <c r="E138" s="21"/>
      <c r="F138" s="21"/>
      <c r="G138" s="17">
        <f>IF(OR(E138="",F138=""),"",E138-F138)</f>
      </c>
      <c r="H138" s="18">
        <f>IF(OR(G138="",E138="",E138=0),"",G138/E138)</f>
      </c>
      <c r="I138" s="19">
        <f>IF(OR(E138="",C138=""),"",IFERROR(E138*INDEX(Alimentos!$C$5:$C$104,MATCH(C138,Alimentos!$A$5:$A$104,0)),""))</f>
      </c>
      <c r="J138" s="10"/>
      <c r="K138" s="10"/>
      <c r="L138" s="10"/>
    </row>
    <row r="139" spans="1:12" x14ac:dyDescent="0.25">
      <c r="A139" s="20"/>
      <c r="B139" s="10"/>
      <c r="C139" s="10"/>
      <c r="D139" s="15">
        <f>IF(C139="","",IFERROR(INDEX(Alimentos!$B$5:$B$104,MATCH(C139,Alimentos!$A$5:$A$104,0)),""))</f>
      </c>
      <c r="E139" s="21"/>
      <c r="F139" s="21"/>
      <c r="G139" s="17">
        <f>IF(OR(E139="",F139=""),"",E139-F139)</f>
      </c>
      <c r="H139" s="18">
        <f>IF(OR(G139="",E139="",E139=0),"",G139/E139)</f>
      </c>
      <c r="I139" s="19">
        <f>IF(OR(E139="",C139=""),"",IFERROR(E139*INDEX(Alimentos!$C$5:$C$104,MATCH(C139,Alimentos!$A$5:$A$104,0)),""))</f>
      </c>
      <c r="J139" s="10"/>
      <c r="K139" s="10"/>
      <c r="L139" s="10"/>
    </row>
    <row r="140" spans="1:12" x14ac:dyDescent="0.25">
      <c r="A140" s="20"/>
      <c r="B140" s="10"/>
      <c r="C140" s="10"/>
      <c r="D140" s="15">
        <f>IF(C140="","",IFERROR(INDEX(Alimentos!$B$5:$B$104,MATCH(C140,Alimentos!$A$5:$A$104,0)),""))</f>
      </c>
      <c r="E140" s="21"/>
      <c r="F140" s="21"/>
      <c r="G140" s="17">
        <f>IF(OR(E140="",F140=""),"",E140-F140)</f>
      </c>
      <c r="H140" s="18">
        <f>IF(OR(G140="",E140="",E140=0),"",G140/E140)</f>
      </c>
      <c r="I140" s="19">
        <f>IF(OR(E140="",C140=""),"",IFERROR(E140*INDEX(Alimentos!$C$5:$C$104,MATCH(C140,Alimentos!$A$5:$A$104,0)),""))</f>
      </c>
      <c r="J140" s="10"/>
      <c r="K140" s="10"/>
      <c r="L140" s="10"/>
    </row>
    <row r="141" spans="1:12" x14ac:dyDescent="0.25">
      <c r="A141" s="20"/>
      <c r="B141" s="10"/>
      <c r="C141" s="10"/>
      <c r="D141" s="15">
        <f>IF(C141="","",IFERROR(INDEX(Alimentos!$B$5:$B$104,MATCH(C141,Alimentos!$A$5:$A$104,0)),""))</f>
      </c>
      <c r="E141" s="21"/>
      <c r="F141" s="21"/>
      <c r="G141" s="17">
        <f>IF(OR(E141="",F141=""),"",E141-F141)</f>
      </c>
      <c r="H141" s="18">
        <f>IF(OR(G141="",E141="",E141=0),"",G141/E141)</f>
      </c>
      <c r="I141" s="19">
        <f>IF(OR(E141="",C141=""),"",IFERROR(E141*INDEX(Alimentos!$C$5:$C$104,MATCH(C141,Alimentos!$A$5:$A$104,0)),""))</f>
      </c>
      <c r="J141" s="10"/>
      <c r="K141" s="10"/>
      <c r="L141" s="10"/>
    </row>
    <row r="142" spans="1:12" x14ac:dyDescent="0.25">
      <c r="A142" s="20"/>
      <c r="B142" s="10"/>
      <c r="C142" s="10"/>
      <c r="D142" s="15">
        <f>IF(C142="","",IFERROR(INDEX(Alimentos!$B$5:$B$104,MATCH(C142,Alimentos!$A$5:$A$104,0)),""))</f>
      </c>
      <c r="E142" s="21"/>
      <c r="F142" s="21"/>
      <c r="G142" s="17">
        <f>IF(OR(E142="",F142=""),"",E142-F142)</f>
      </c>
      <c r="H142" s="18">
        <f>IF(OR(G142="",E142="",E142=0),"",G142/E142)</f>
      </c>
      <c r="I142" s="19">
        <f>IF(OR(E142="",C142=""),"",IFERROR(E142*INDEX(Alimentos!$C$5:$C$104,MATCH(C142,Alimentos!$A$5:$A$104,0)),""))</f>
      </c>
      <c r="J142" s="10"/>
      <c r="K142" s="10"/>
      <c r="L142" s="10"/>
    </row>
    <row r="143" spans="1:12" x14ac:dyDescent="0.25">
      <c r="A143" s="20"/>
      <c r="B143" s="10"/>
      <c r="C143" s="10"/>
      <c r="D143" s="15">
        <f>IF(C143="","",IFERROR(INDEX(Alimentos!$B$5:$B$104,MATCH(C143,Alimentos!$A$5:$A$104,0)),""))</f>
      </c>
      <c r="E143" s="21"/>
      <c r="F143" s="21"/>
      <c r="G143" s="17">
        <f>IF(OR(E143="",F143=""),"",E143-F143)</f>
      </c>
      <c r="H143" s="18">
        <f>IF(OR(G143="",E143="",E143=0),"",G143/E143)</f>
      </c>
      <c r="I143" s="19">
        <f>IF(OR(E143="",C143=""),"",IFERROR(E143*INDEX(Alimentos!$C$5:$C$104,MATCH(C143,Alimentos!$A$5:$A$104,0)),""))</f>
      </c>
      <c r="J143" s="10"/>
      <c r="K143" s="10"/>
      <c r="L143" s="10"/>
    </row>
    <row r="144" spans="1:12" x14ac:dyDescent="0.25">
      <c r="A144" s="20"/>
      <c r="B144" s="10"/>
      <c r="C144" s="10"/>
      <c r="D144" s="15">
        <f>IF(C144="","",IFERROR(INDEX(Alimentos!$B$5:$B$104,MATCH(C144,Alimentos!$A$5:$A$104,0)),""))</f>
      </c>
      <c r="E144" s="21"/>
      <c r="F144" s="21"/>
      <c r="G144" s="17">
        <f>IF(OR(E144="",F144=""),"",E144-F144)</f>
      </c>
      <c r="H144" s="18">
        <f>IF(OR(G144="",E144="",E144=0),"",G144/E144)</f>
      </c>
      <c r="I144" s="19">
        <f>IF(OR(E144="",C144=""),"",IFERROR(E144*INDEX(Alimentos!$C$5:$C$104,MATCH(C144,Alimentos!$A$5:$A$104,0)),""))</f>
      </c>
      <c r="J144" s="10"/>
      <c r="K144" s="10"/>
      <c r="L144" s="10"/>
    </row>
    <row r="145" spans="1:12" x14ac:dyDescent="0.25">
      <c r="A145" s="20"/>
      <c r="B145" s="10"/>
      <c r="C145" s="10"/>
      <c r="D145" s="15">
        <f>IF(C145="","",IFERROR(INDEX(Alimentos!$B$5:$B$104,MATCH(C145,Alimentos!$A$5:$A$104,0)),""))</f>
      </c>
      <c r="E145" s="21"/>
      <c r="F145" s="21"/>
      <c r="G145" s="17">
        <f>IF(OR(E145="",F145=""),"",E145-F145)</f>
      </c>
      <c r="H145" s="18">
        <f>IF(OR(G145="",E145="",E145=0),"",G145/E145)</f>
      </c>
      <c r="I145" s="19">
        <f>IF(OR(E145="",C145=""),"",IFERROR(E145*INDEX(Alimentos!$C$5:$C$104,MATCH(C145,Alimentos!$A$5:$A$104,0)),""))</f>
      </c>
      <c r="J145" s="10"/>
      <c r="K145" s="10"/>
      <c r="L145" s="10"/>
    </row>
    <row r="146" spans="1:12" x14ac:dyDescent="0.25">
      <c r="A146" s="20"/>
      <c r="B146" s="10"/>
      <c r="C146" s="10"/>
      <c r="D146" s="15">
        <f>IF(C146="","",IFERROR(INDEX(Alimentos!$B$5:$B$104,MATCH(C146,Alimentos!$A$5:$A$104,0)),""))</f>
      </c>
      <c r="E146" s="21"/>
      <c r="F146" s="21"/>
      <c r="G146" s="17">
        <f>IF(OR(E146="",F146=""),"",E146-F146)</f>
      </c>
      <c r="H146" s="18">
        <f>IF(OR(G146="",E146="",E146=0),"",G146/E146)</f>
      </c>
      <c r="I146" s="19">
        <f>IF(OR(E146="",C146=""),"",IFERROR(E146*INDEX(Alimentos!$C$5:$C$104,MATCH(C146,Alimentos!$A$5:$A$104,0)),""))</f>
      </c>
      <c r="J146" s="10"/>
      <c r="K146" s="10"/>
      <c r="L146" s="10"/>
    </row>
    <row r="147" spans="1:12" x14ac:dyDescent="0.25">
      <c r="A147" s="20"/>
      <c r="B147" s="10"/>
      <c r="C147" s="10"/>
      <c r="D147" s="15">
        <f>IF(C147="","",IFERROR(INDEX(Alimentos!$B$5:$B$104,MATCH(C147,Alimentos!$A$5:$A$104,0)),""))</f>
      </c>
      <c r="E147" s="21"/>
      <c r="F147" s="21"/>
      <c r="G147" s="17">
        <f>IF(OR(E147="",F147=""),"",E147-F147)</f>
      </c>
      <c r="H147" s="18">
        <f>IF(OR(G147="",E147="",E147=0),"",G147/E147)</f>
      </c>
      <c r="I147" s="19">
        <f>IF(OR(E147="",C147=""),"",IFERROR(E147*INDEX(Alimentos!$C$5:$C$104,MATCH(C147,Alimentos!$A$5:$A$104,0)),""))</f>
      </c>
      <c r="J147" s="10"/>
      <c r="K147" s="10"/>
      <c r="L147" s="10"/>
    </row>
    <row r="148" spans="1:12" x14ac:dyDescent="0.25">
      <c r="A148" s="20"/>
      <c r="B148" s="10"/>
      <c r="C148" s="10"/>
      <c r="D148" s="15">
        <f>IF(C148="","",IFERROR(INDEX(Alimentos!$B$5:$B$104,MATCH(C148,Alimentos!$A$5:$A$104,0)),""))</f>
      </c>
      <c r="E148" s="21"/>
      <c r="F148" s="21"/>
      <c r="G148" s="17">
        <f>IF(OR(E148="",F148=""),"",E148-F148)</f>
      </c>
      <c r="H148" s="18">
        <f>IF(OR(G148="",E148="",E148=0),"",G148/E148)</f>
      </c>
      <c r="I148" s="19">
        <f>IF(OR(E148="",C148=""),"",IFERROR(E148*INDEX(Alimentos!$C$5:$C$104,MATCH(C148,Alimentos!$A$5:$A$104,0)),""))</f>
      </c>
      <c r="J148" s="10"/>
      <c r="K148" s="10"/>
      <c r="L148" s="10"/>
    </row>
    <row r="149" spans="1:12" x14ac:dyDescent="0.25">
      <c r="A149" s="20"/>
      <c r="B149" s="10"/>
      <c r="C149" s="10"/>
      <c r="D149" s="15">
        <f>IF(C149="","",IFERROR(INDEX(Alimentos!$B$5:$B$104,MATCH(C149,Alimentos!$A$5:$A$104,0)),""))</f>
      </c>
      <c r="E149" s="21"/>
      <c r="F149" s="21"/>
      <c r="G149" s="17">
        <f>IF(OR(E149="",F149=""),"",E149-F149)</f>
      </c>
      <c r="H149" s="18">
        <f>IF(OR(G149="",E149="",E149=0),"",G149/E149)</f>
      </c>
      <c r="I149" s="19">
        <f>IF(OR(E149="",C149=""),"",IFERROR(E149*INDEX(Alimentos!$C$5:$C$104,MATCH(C149,Alimentos!$A$5:$A$104,0)),""))</f>
      </c>
      <c r="J149" s="10"/>
      <c r="K149" s="10"/>
      <c r="L149" s="10"/>
    </row>
    <row r="150" spans="1:12" x14ac:dyDescent="0.25">
      <c r="A150" s="20"/>
      <c r="B150" s="10"/>
      <c r="C150" s="10"/>
      <c r="D150" s="15">
        <f>IF(C150="","",IFERROR(INDEX(Alimentos!$B$5:$B$104,MATCH(C150,Alimentos!$A$5:$A$104,0)),""))</f>
      </c>
      <c r="E150" s="21"/>
      <c r="F150" s="21"/>
      <c r="G150" s="17">
        <f>IF(OR(E150="",F150=""),"",E150-F150)</f>
      </c>
      <c r="H150" s="18">
        <f>IF(OR(G150="",E150="",E150=0),"",G150/E150)</f>
      </c>
      <c r="I150" s="19">
        <f>IF(OR(E150="",C150=""),"",IFERROR(E150*INDEX(Alimentos!$C$5:$C$104,MATCH(C150,Alimentos!$A$5:$A$104,0)),""))</f>
      </c>
      <c r="J150" s="10"/>
      <c r="K150" s="10"/>
      <c r="L150" s="10"/>
    </row>
    <row r="151" spans="1:12" x14ac:dyDescent="0.25">
      <c r="A151" s="20"/>
      <c r="B151" s="10"/>
      <c r="C151" s="10"/>
      <c r="D151" s="15">
        <f>IF(C151="","",IFERROR(INDEX(Alimentos!$B$5:$B$104,MATCH(C151,Alimentos!$A$5:$A$104,0)),""))</f>
      </c>
      <c r="E151" s="21"/>
      <c r="F151" s="21"/>
      <c r="G151" s="17">
        <f>IF(OR(E151="",F151=""),"",E151-F151)</f>
      </c>
      <c r="H151" s="18">
        <f>IF(OR(G151="",E151="",E151=0),"",G151/E151)</f>
      </c>
      <c r="I151" s="19">
        <f>IF(OR(E151="",C151=""),"",IFERROR(E151*INDEX(Alimentos!$C$5:$C$104,MATCH(C151,Alimentos!$A$5:$A$104,0)),""))</f>
      </c>
      <c r="J151" s="10"/>
      <c r="K151" s="10"/>
      <c r="L151" s="10"/>
    </row>
    <row r="152" spans="1:12" x14ac:dyDescent="0.25">
      <c r="A152" s="20"/>
      <c r="B152" s="10"/>
      <c r="C152" s="10"/>
      <c r="D152" s="15">
        <f>IF(C152="","",IFERROR(INDEX(Alimentos!$B$5:$B$104,MATCH(C152,Alimentos!$A$5:$A$104,0)),""))</f>
      </c>
      <c r="E152" s="21"/>
      <c r="F152" s="21"/>
      <c r="G152" s="17">
        <f>IF(OR(E152="",F152=""),"",E152-F152)</f>
      </c>
      <c r="H152" s="18">
        <f>IF(OR(G152="",E152="",E152=0),"",G152/E152)</f>
      </c>
      <c r="I152" s="19">
        <f>IF(OR(E152="",C152=""),"",IFERROR(E152*INDEX(Alimentos!$C$5:$C$104,MATCH(C152,Alimentos!$A$5:$A$104,0)),""))</f>
      </c>
      <c r="J152" s="10"/>
      <c r="K152" s="10"/>
      <c r="L152" s="10"/>
    </row>
    <row r="153" spans="1:12" x14ac:dyDescent="0.25">
      <c r="A153" s="20"/>
      <c r="B153" s="10"/>
      <c r="C153" s="10"/>
      <c r="D153" s="15">
        <f>IF(C153="","",IFERROR(INDEX(Alimentos!$B$5:$B$104,MATCH(C153,Alimentos!$A$5:$A$104,0)),""))</f>
      </c>
      <c r="E153" s="21"/>
      <c r="F153" s="21"/>
      <c r="G153" s="17">
        <f>IF(OR(E153="",F153=""),"",E153-F153)</f>
      </c>
      <c r="H153" s="18">
        <f>IF(OR(G153="",E153="",E153=0),"",G153/E153)</f>
      </c>
      <c r="I153" s="19">
        <f>IF(OR(E153="",C153=""),"",IFERROR(E153*INDEX(Alimentos!$C$5:$C$104,MATCH(C153,Alimentos!$A$5:$A$104,0)),""))</f>
      </c>
      <c r="J153" s="10"/>
      <c r="K153" s="10"/>
      <c r="L153" s="10"/>
    </row>
    <row r="154" spans="1:12" x14ac:dyDescent="0.25">
      <c r="A154" s="20"/>
      <c r="B154" s="10"/>
      <c r="C154" s="10"/>
      <c r="D154" s="15">
        <f>IF(C154="","",IFERROR(INDEX(Alimentos!$B$5:$B$104,MATCH(C154,Alimentos!$A$5:$A$104,0)),""))</f>
      </c>
      <c r="E154" s="21"/>
      <c r="F154" s="21"/>
      <c r="G154" s="17">
        <f>IF(OR(E154="",F154=""),"",E154-F154)</f>
      </c>
      <c r="H154" s="18">
        <f>IF(OR(G154="",E154="",E154=0),"",G154/E154)</f>
      </c>
      <c r="I154" s="19">
        <f>IF(OR(E154="",C154=""),"",IFERROR(E154*INDEX(Alimentos!$C$5:$C$104,MATCH(C154,Alimentos!$A$5:$A$104,0)),""))</f>
      </c>
      <c r="J154" s="10"/>
      <c r="K154" s="10"/>
      <c r="L154" s="10"/>
    </row>
    <row r="155" spans="1:12" x14ac:dyDescent="0.25">
      <c r="A155" s="20"/>
      <c r="B155" s="10"/>
      <c r="C155" s="10"/>
      <c r="D155" s="15">
        <f>IF(C155="","",IFERROR(INDEX(Alimentos!$B$5:$B$104,MATCH(C155,Alimentos!$A$5:$A$104,0)),""))</f>
      </c>
      <c r="E155" s="21"/>
      <c r="F155" s="21"/>
      <c r="G155" s="17">
        <f>IF(OR(E155="",F155=""),"",E155-F155)</f>
      </c>
      <c r="H155" s="18">
        <f>IF(OR(G155="",E155="",E155=0),"",G155/E155)</f>
      </c>
      <c r="I155" s="19">
        <f>IF(OR(E155="",C155=""),"",IFERROR(E155*INDEX(Alimentos!$C$5:$C$104,MATCH(C155,Alimentos!$A$5:$A$104,0)),""))</f>
      </c>
      <c r="J155" s="10"/>
      <c r="K155" s="10"/>
      <c r="L155" s="10"/>
    </row>
    <row r="156" spans="1:12" x14ac:dyDescent="0.25">
      <c r="A156" s="20"/>
      <c r="B156" s="10"/>
      <c r="C156" s="10"/>
      <c r="D156" s="15">
        <f>IF(C156="","",IFERROR(INDEX(Alimentos!$B$5:$B$104,MATCH(C156,Alimentos!$A$5:$A$104,0)),""))</f>
      </c>
      <c r="E156" s="21"/>
      <c r="F156" s="21"/>
      <c r="G156" s="17">
        <f>IF(OR(E156="",F156=""),"",E156-F156)</f>
      </c>
      <c r="H156" s="18">
        <f>IF(OR(G156="",E156="",E156=0),"",G156/E156)</f>
      </c>
      <c r="I156" s="19">
        <f>IF(OR(E156="",C156=""),"",IFERROR(E156*INDEX(Alimentos!$C$5:$C$104,MATCH(C156,Alimentos!$A$5:$A$104,0)),""))</f>
      </c>
      <c r="J156" s="10"/>
      <c r="K156" s="10"/>
      <c r="L156" s="10"/>
    </row>
    <row r="157" spans="1:12" x14ac:dyDescent="0.25">
      <c r="A157" s="20"/>
      <c r="B157" s="10"/>
      <c r="C157" s="10"/>
      <c r="D157" s="15">
        <f>IF(C157="","",IFERROR(INDEX(Alimentos!$B$5:$B$104,MATCH(C157,Alimentos!$A$5:$A$104,0)),""))</f>
      </c>
      <c r="E157" s="21"/>
      <c r="F157" s="21"/>
      <c r="G157" s="17">
        <f>IF(OR(E157="",F157=""),"",E157-F157)</f>
      </c>
      <c r="H157" s="18">
        <f>IF(OR(G157="",E157="",E157=0),"",G157/E157)</f>
      </c>
      <c r="I157" s="19">
        <f>IF(OR(E157="",C157=""),"",IFERROR(E157*INDEX(Alimentos!$C$5:$C$104,MATCH(C157,Alimentos!$A$5:$A$104,0)),""))</f>
      </c>
      <c r="J157" s="10"/>
      <c r="K157" s="10"/>
      <c r="L157" s="10"/>
    </row>
    <row r="158" spans="1:12" x14ac:dyDescent="0.25">
      <c r="A158" s="20"/>
      <c r="B158" s="10"/>
      <c r="C158" s="10"/>
      <c r="D158" s="15">
        <f>IF(C158="","",IFERROR(INDEX(Alimentos!$B$5:$B$104,MATCH(C158,Alimentos!$A$5:$A$104,0)),""))</f>
      </c>
      <c r="E158" s="21"/>
      <c r="F158" s="21"/>
      <c r="G158" s="17">
        <f>IF(OR(E158="",F158=""),"",E158-F158)</f>
      </c>
      <c r="H158" s="18">
        <f>IF(OR(G158="",E158="",E158=0),"",G158/E158)</f>
      </c>
      <c r="I158" s="19">
        <f>IF(OR(E158="",C158=""),"",IFERROR(E158*INDEX(Alimentos!$C$5:$C$104,MATCH(C158,Alimentos!$A$5:$A$104,0)),""))</f>
      </c>
      <c r="J158" s="10"/>
      <c r="K158" s="10"/>
      <c r="L158" s="10"/>
    </row>
    <row r="159" spans="1:12" x14ac:dyDescent="0.25">
      <c r="A159" s="20"/>
      <c r="B159" s="10"/>
      <c r="C159" s="10"/>
      <c r="D159" s="15">
        <f>IF(C159="","",IFERROR(INDEX(Alimentos!$B$5:$B$104,MATCH(C159,Alimentos!$A$5:$A$104,0)),""))</f>
      </c>
      <c r="E159" s="21"/>
      <c r="F159" s="21"/>
      <c r="G159" s="17">
        <f>IF(OR(E159="",F159=""),"",E159-F159)</f>
      </c>
      <c r="H159" s="18">
        <f>IF(OR(G159="",E159="",E159=0),"",G159/E159)</f>
      </c>
      <c r="I159" s="19">
        <f>IF(OR(E159="",C159=""),"",IFERROR(E159*INDEX(Alimentos!$C$5:$C$104,MATCH(C159,Alimentos!$A$5:$A$104,0)),""))</f>
      </c>
      <c r="J159" s="10"/>
      <c r="K159" s="10"/>
      <c r="L159" s="10"/>
    </row>
    <row r="160" spans="1:12" x14ac:dyDescent="0.25">
      <c r="A160" s="20"/>
      <c r="B160" s="10"/>
      <c r="C160" s="10"/>
      <c r="D160" s="15">
        <f>IF(C160="","",IFERROR(INDEX(Alimentos!$B$5:$B$104,MATCH(C160,Alimentos!$A$5:$A$104,0)),""))</f>
      </c>
      <c r="E160" s="21"/>
      <c r="F160" s="21"/>
      <c r="G160" s="17">
        <f>IF(OR(E160="",F160=""),"",E160-F160)</f>
      </c>
      <c r="H160" s="18">
        <f>IF(OR(G160="",E160="",E160=0),"",G160/E160)</f>
      </c>
      <c r="I160" s="19">
        <f>IF(OR(E160="",C160=""),"",IFERROR(E160*INDEX(Alimentos!$C$5:$C$104,MATCH(C160,Alimentos!$A$5:$A$104,0)),""))</f>
      </c>
      <c r="J160" s="10"/>
      <c r="K160" s="10"/>
      <c r="L160" s="10"/>
    </row>
    <row r="161" spans="1:12" x14ac:dyDescent="0.25">
      <c r="A161" s="20"/>
      <c r="B161" s="10"/>
      <c r="C161" s="10"/>
      <c r="D161" s="15">
        <f>IF(C161="","",IFERROR(INDEX(Alimentos!$B$5:$B$104,MATCH(C161,Alimentos!$A$5:$A$104,0)),""))</f>
      </c>
      <c r="E161" s="21"/>
      <c r="F161" s="21"/>
      <c r="G161" s="17">
        <f>IF(OR(E161="",F161=""),"",E161-F161)</f>
      </c>
      <c r="H161" s="18">
        <f>IF(OR(G161="",E161="",E161=0),"",G161/E161)</f>
      </c>
      <c r="I161" s="19">
        <f>IF(OR(E161="",C161=""),"",IFERROR(E161*INDEX(Alimentos!$C$5:$C$104,MATCH(C161,Alimentos!$A$5:$A$104,0)),""))</f>
      </c>
      <c r="J161" s="10"/>
      <c r="K161" s="10"/>
      <c r="L161" s="10"/>
    </row>
    <row r="162" spans="1:12" x14ac:dyDescent="0.25">
      <c r="A162" s="20"/>
      <c r="B162" s="10"/>
      <c r="C162" s="10"/>
      <c r="D162" s="15">
        <f>IF(C162="","",IFERROR(INDEX(Alimentos!$B$5:$B$104,MATCH(C162,Alimentos!$A$5:$A$104,0)),""))</f>
      </c>
      <c r="E162" s="21"/>
      <c r="F162" s="21"/>
      <c r="G162" s="17">
        <f>IF(OR(E162="",F162=""),"",E162-F162)</f>
      </c>
      <c r="H162" s="18">
        <f>IF(OR(G162="",E162="",E162=0),"",G162/E162)</f>
      </c>
      <c r="I162" s="19">
        <f>IF(OR(E162="",C162=""),"",IFERROR(E162*INDEX(Alimentos!$C$5:$C$104,MATCH(C162,Alimentos!$A$5:$A$104,0)),""))</f>
      </c>
      <c r="J162" s="10"/>
      <c r="K162" s="10"/>
      <c r="L162" s="10"/>
    </row>
    <row r="163" spans="1:12" x14ac:dyDescent="0.25">
      <c r="A163" s="20"/>
      <c r="B163" s="10"/>
      <c r="C163" s="10"/>
      <c r="D163" s="15">
        <f>IF(C163="","",IFERROR(INDEX(Alimentos!$B$5:$B$104,MATCH(C163,Alimentos!$A$5:$A$104,0)),""))</f>
      </c>
      <c r="E163" s="21"/>
      <c r="F163" s="21"/>
      <c r="G163" s="17">
        <f>IF(OR(E163="",F163=""),"",E163-F163)</f>
      </c>
      <c r="H163" s="18">
        <f>IF(OR(G163="",E163="",E163=0),"",G163/E163)</f>
      </c>
      <c r="I163" s="19">
        <f>IF(OR(E163="",C163=""),"",IFERROR(E163*INDEX(Alimentos!$C$5:$C$104,MATCH(C163,Alimentos!$A$5:$A$104,0)),""))</f>
      </c>
      <c r="J163" s="10"/>
      <c r="K163" s="10"/>
      <c r="L163" s="10"/>
    </row>
    <row r="164" spans="1:12" x14ac:dyDescent="0.25">
      <c r="A164" s="20"/>
      <c r="B164" s="10"/>
      <c r="C164" s="10"/>
      <c r="D164" s="15">
        <f>IF(C164="","",IFERROR(INDEX(Alimentos!$B$5:$B$104,MATCH(C164,Alimentos!$A$5:$A$104,0)),""))</f>
      </c>
      <c r="E164" s="21"/>
      <c r="F164" s="21"/>
      <c r="G164" s="17">
        <f>IF(OR(E164="",F164=""),"",E164-F164)</f>
      </c>
      <c r="H164" s="18">
        <f>IF(OR(G164="",E164="",E164=0),"",G164/E164)</f>
      </c>
      <c r="I164" s="19">
        <f>IF(OR(E164="",C164=""),"",IFERROR(E164*INDEX(Alimentos!$C$5:$C$104,MATCH(C164,Alimentos!$A$5:$A$104,0)),""))</f>
      </c>
      <c r="J164" s="10"/>
      <c r="K164" s="10"/>
      <c r="L164" s="10"/>
    </row>
    <row r="165" spans="1:12" x14ac:dyDescent="0.25">
      <c r="A165" s="20"/>
      <c r="B165" s="10"/>
      <c r="C165" s="10"/>
      <c r="D165" s="15">
        <f>IF(C165="","",IFERROR(INDEX(Alimentos!$B$5:$B$104,MATCH(C165,Alimentos!$A$5:$A$104,0)),""))</f>
      </c>
      <c r="E165" s="21"/>
      <c r="F165" s="21"/>
      <c r="G165" s="17">
        <f>IF(OR(E165="",F165=""),"",E165-F165)</f>
      </c>
      <c r="H165" s="18">
        <f>IF(OR(G165="",E165="",E165=0),"",G165/E165)</f>
      </c>
      <c r="I165" s="19">
        <f>IF(OR(E165="",C165=""),"",IFERROR(E165*INDEX(Alimentos!$C$5:$C$104,MATCH(C165,Alimentos!$A$5:$A$104,0)),""))</f>
      </c>
      <c r="J165" s="10"/>
      <c r="K165" s="10"/>
      <c r="L165" s="10"/>
    </row>
    <row r="166" spans="1:12" x14ac:dyDescent="0.25">
      <c r="A166" s="20"/>
      <c r="B166" s="10"/>
      <c r="C166" s="10"/>
      <c r="D166" s="15">
        <f>IF(C166="","",IFERROR(INDEX(Alimentos!$B$5:$B$104,MATCH(C166,Alimentos!$A$5:$A$104,0)),""))</f>
      </c>
      <c r="E166" s="21"/>
      <c r="F166" s="21"/>
      <c r="G166" s="17">
        <f>IF(OR(E166="",F166=""),"",E166-F166)</f>
      </c>
      <c r="H166" s="18">
        <f>IF(OR(G166="",E166="",E166=0),"",G166/E166)</f>
      </c>
      <c r="I166" s="19">
        <f>IF(OR(E166="",C166=""),"",IFERROR(E166*INDEX(Alimentos!$C$5:$C$104,MATCH(C166,Alimentos!$A$5:$A$104,0)),""))</f>
      </c>
      <c r="J166" s="10"/>
      <c r="K166" s="10"/>
      <c r="L166" s="10"/>
    </row>
    <row r="167" spans="1:12" x14ac:dyDescent="0.25">
      <c r="A167" s="20"/>
      <c r="B167" s="10"/>
      <c r="C167" s="10"/>
      <c r="D167" s="15">
        <f>IF(C167="","",IFERROR(INDEX(Alimentos!$B$5:$B$104,MATCH(C167,Alimentos!$A$5:$A$104,0)),""))</f>
      </c>
      <c r="E167" s="21"/>
      <c r="F167" s="21"/>
      <c r="G167" s="17">
        <f>IF(OR(E167="",F167=""),"",E167-F167)</f>
      </c>
      <c r="H167" s="18">
        <f>IF(OR(G167="",E167="",E167=0),"",G167/E167)</f>
      </c>
      <c r="I167" s="19">
        <f>IF(OR(E167="",C167=""),"",IFERROR(E167*INDEX(Alimentos!$C$5:$C$104,MATCH(C167,Alimentos!$A$5:$A$104,0)),""))</f>
      </c>
      <c r="J167" s="10"/>
      <c r="K167" s="10"/>
      <c r="L167" s="10"/>
    </row>
    <row r="168" spans="1:12" x14ac:dyDescent="0.25">
      <c r="A168" s="20"/>
      <c r="B168" s="10"/>
      <c r="C168" s="10"/>
      <c r="D168" s="15">
        <f>IF(C168="","",IFERROR(INDEX(Alimentos!$B$5:$B$104,MATCH(C168,Alimentos!$A$5:$A$104,0)),""))</f>
      </c>
      <c r="E168" s="21"/>
      <c r="F168" s="21"/>
      <c r="G168" s="17">
        <f>IF(OR(E168="",F168=""),"",E168-F168)</f>
      </c>
      <c r="H168" s="18">
        <f>IF(OR(G168="",E168="",E168=0),"",G168/E168)</f>
      </c>
      <c r="I168" s="19">
        <f>IF(OR(E168="",C168=""),"",IFERROR(E168*INDEX(Alimentos!$C$5:$C$104,MATCH(C168,Alimentos!$A$5:$A$104,0)),""))</f>
      </c>
      <c r="J168" s="10"/>
      <c r="K168" s="10"/>
      <c r="L168" s="10"/>
    </row>
    <row r="169" spans="1:12" x14ac:dyDescent="0.25">
      <c r="A169" s="20"/>
      <c r="B169" s="10"/>
      <c r="C169" s="10"/>
      <c r="D169" s="15">
        <f>IF(C169="","",IFERROR(INDEX(Alimentos!$B$5:$B$104,MATCH(C169,Alimentos!$A$5:$A$104,0)),""))</f>
      </c>
      <c r="E169" s="21"/>
      <c r="F169" s="21"/>
      <c r="G169" s="17">
        <f>IF(OR(E169="",F169=""),"",E169-F169)</f>
      </c>
      <c r="H169" s="18">
        <f>IF(OR(G169="",E169="",E169=0),"",G169/E169)</f>
      </c>
      <c r="I169" s="19">
        <f>IF(OR(E169="",C169=""),"",IFERROR(E169*INDEX(Alimentos!$C$5:$C$104,MATCH(C169,Alimentos!$A$5:$A$104,0)),""))</f>
      </c>
      <c r="J169" s="10"/>
      <c r="K169" s="10"/>
      <c r="L169" s="10"/>
    </row>
    <row r="170" spans="1:12" x14ac:dyDescent="0.25">
      <c r="A170" s="20"/>
      <c r="B170" s="10"/>
      <c r="C170" s="10"/>
      <c r="D170" s="15">
        <f>IF(C170="","",IFERROR(INDEX(Alimentos!$B$5:$B$104,MATCH(C170,Alimentos!$A$5:$A$104,0)),""))</f>
      </c>
      <c r="E170" s="21"/>
      <c r="F170" s="21"/>
      <c r="G170" s="17">
        <f>IF(OR(E170="",F170=""),"",E170-F170)</f>
      </c>
      <c r="H170" s="18">
        <f>IF(OR(G170="",E170="",E170=0),"",G170/E170)</f>
      </c>
      <c r="I170" s="19">
        <f>IF(OR(E170="",C170=""),"",IFERROR(E170*INDEX(Alimentos!$C$5:$C$104,MATCH(C170,Alimentos!$A$5:$A$104,0)),""))</f>
      </c>
      <c r="J170" s="10"/>
      <c r="K170" s="10"/>
      <c r="L170" s="10"/>
    </row>
    <row r="171" spans="1:12" x14ac:dyDescent="0.25">
      <c r="A171" s="20"/>
      <c r="B171" s="10"/>
      <c r="C171" s="10"/>
      <c r="D171" s="15">
        <f>IF(C171="","",IFERROR(INDEX(Alimentos!$B$5:$B$104,MATCH(C171,Alimentos!$A$5:$A$104,0)),""))</f>
      </c>
      <c r="E171" s="21"/>
      <c r="F171" s="21"/>
      <c r="G171" s="17">
        <f>IF(OR(E171="",F171=""),"",E171-F171)</f>
      </c>
      <c r="H171" s="18">
        <f>IF(OR(G171="",E171="",E171=0),"",G171/E171)</f>
      </c>
      <c r="I171" s="19">
        <f>IF(OR(E171="",C171=""),"",IFERROR(E171*INDEX(Alimentos!$C$5:$C$104,MATCH(C171,Alimentos!$A$5:$A$104,0)),""))</f>
      </c>
      <c r="J171" s="10"/>
      <c r="K171" s="10"/>
      <c r="L171" s="10"/>
    </row>
    <row r="172" spans="1:12" x14ac:dyDescent="0.25">
      <c r="A172" s="20"/>
      <c r="B172" s="10"/>
      <c r="C172" s="10"/>
      <c r="D172" s="15">
        <f>IF(C172="","",IFERROR(INDEX(Alimentos!$B$5:$B$104,MATCH(C172,Alimentos!$A$5:$A$104,0)),""))</f>
      </c>
      <c r="E172" s="21"/>
      <c r="F172" s="21"/>
      <c r="G172" s="17">
        <f>IF(OR(E172="",F172=""),"",E172-F172)</f>
      </c>
      <c r="H172" s="18">
        <f>IF(OR(G172="",E172="",E172=0),"",G172/E172)</f>
      </c>
      <c r="I172" s="19">
        <f>IF(OR(E172="",C172=""),"",IFERROR(E172*INDEX(Alimentos!$C$5:$C$104,MATCH(C172,Alimentos!$A$5:$A$104,0)),""))</f>
      </c>
      <c r="J172" s="10"/>
      <c r="K172" s="10"/>
      <c r="L172" s="10"/>
    </row>
    <row r="173" spans="1:12" x14ac:dyDescent="0.25">
      <c r="A173" s="20"/>
      <c r="B173" s="10"/>
      <c r="C173" s="10"/>
      <c r="D173" s="15">
        <f>IF(C173="","",IFERROR(INDEX(Alimentos!$B$5:$B$104,MATCH(C173,Alimentos!$A$5:$A$104,0)),""))</f>
      </c>
      <c r="E173" s="21"/>
      <c r="F173" s="21"/>
      <c r="G173" s="17">
        <f>IF(OR(E173="",F173=""),"",E173-F173)</f>
      </c>
      <c r="H173" s="18">
        <f>IF(OR(G173="",E173="",E173=0),"",G173/E173)</f>
      </c>
      <c r="I173" s="19">
        <f>IF(OR(E173="",C173=""),"",IFERROR(E173*INDEX(Alimentos!$C$5:$C$104,MATCH(C173,Alimentos!$A$5:$A$104,0)),""))</f>
      </c>
      <c r="J173" s="10"/>
      <c r="K173" s="10"/>
      <c r="L173" s="10"/>
    </row>
    <row r="174" spans="1:12" x14ac:dyDescent="0.25">
      <c r="A174" s="20"/>
      <c r="B174" s="10"/>
      <c r="C174" s="10"/>
      <c r="D174" s="15">
        <f>IF(C174="","",IFERROR(INDEX(Alimentos!$B$5:$B$104,MATCH(C174,Alimentos!$A$5:$A$104,0)),""))</f>
      </c>
      <c r="E174" s="21"/>
      <c r="F174" s="21"/>
      <c r="G174" s="17">
        <f>IF(OR(E174="",F174=""),"",E174-F174)</f>
      </c>
      <c r="H174" s="18">
        <f>IF(OR(G174="",E174="",E174=0),"",G174/E174)</f>
      </c>
      <c r="I174" s="19">
        <f>IF(OR(E174="",C174=""),"",IFERROR(E174*INDEX(Alimentos!$C$5:$C$104,MATCH(C174,Alimentos!$A$5:$A$104,0)),""))</f>
      </c>
      <c r="J174" s="10"/>
      <c r="K174" s="10"/>
      <c r="L174" s="10"/>
    </row>
    <row r="175" spans="1:12" x14ac:dyDescent="0.25">
      <c r="A175" s="20"/>
      <c r="B175" s="10"/>
      <c r="C175" s="10"/>
      <c r="D175" s="15">
        <f>IF(C175="","",IFERROR(INDEX(Alimentos!$B$5:$B$104,MATCH(C175,Alimentos!$A$5:$A$104,0)),""))</f>
      </c>
      <c r="E175" s="21"/>
      <c r="F175" s="21"/>
      <c r="G175" s="17">
        <f>IF(OR(E175="",F175=""),"",E175-F175)</f>
      </c>
      <c r="H175" s="18">
        <f>IF(OR(G175="",E175="",E175=0),"",G175/E175)</f>
      </c>
      <c r="I175" s="19">
        <f>IF(OR(E175="",C175=""),"",IFERROR(E175*INDEX(Alimentos!$C$5:$C$104,MATCH(C175,Alimentos!$A$5:$A$104,0)),""))</f>
      </c>
      <c r="J175" s="10"/>
      <c r="K175" s="10"/>
      <c r="L175" s="10"/>
    </row>
    <row r="176" spans="1:12" x14ac:dyDescent="0.25">
      <c r="A176" s="20"/>
      <c r="B176" s="10"/>
      <c r="C176" s="10"/>
      <c r="D176" s="15">
        <f>IF(C176="","",IFERROR(INDEX(Alimentos!$B$5:$B$104,MATCH(C176,Alimentos!$A$5:$A$104,0)),""))</f>
      </c>
      <c r="E176" s="21"/>
      <c r="F176" s="21"/>
      <c r="G176" s="17">
        <f>IF(OR(E176="",F176=""),"",E176-F176)</f>
      </c>
      <c r="H176" s="18">
        <f>IF(OR(G176="",E176="",E176=0),"",G176/E176)</f>
      </c>
      <c r="I176" s="19">
        <f>IF(OR(E176="",C176=""),"",IFERROR(E176*INDEX(Alimentos!$C$5:$C$104,MATCH(C176,Alimentos!$A$5:$A$104,0)),""))</f>
      </c>
      <c r="J176" s="10"/>
      <c r="K176" s="10"/>
      <c r="L176" s="10"/>
    </row>
    <row r="177" spans="1:12" x14ac:dyDescent="0.25">
      <c r="A177" s="20"/>
      <c r="B177" s="10"/>
      <c r="C177" s="10"/>
      <c r="D177" s="15">
        <f>IF(C177="","",IFERROR(INDEX(Alimentos!$B$5:$B$104,MATCH(C177,Alimentos!$A$5:$A$104,0)),""))</f>
      </c>
      <c r="E177" s="21"/>
      <c r="F177" s="21"/>
      <c r="G177" s="17">
        <f>IF(OR(E177="",F177=""),"",E177-F177)</f>
      </c>
      <c r="H177" s="18">
        <f>IF(OR(G177="",E177="",E177=0),"",G177/E177)</f>
      </c>
      <c r="I177" s="19">
        <f>IF(OR(E177="",C177=""),"",IFERROR(E177*INDEX(Alimentos!$C$5:$C$104,MATCH(C177,Alimentos!$A$5:$A$104,0)),""))</f>
      </c>
      <c r="J177" s="10"/>
      <c r="K177" s="10"/>
      <c r="L177" s="10"/>
    </row>
    <row r="178" spans="1:12" x14ac:dyDescent="0.25">
      <c r="A178" s="20"/>
      <c r="B178" s="10"/>
      <c r="C178" s="10"/>
      <c r="D178" s="15">
        <f>IF(C178="","",IFERROR(INDEX(Alimentos!$B$5:$B$104,MATCH(C178,Alimentos!$A$5:$A$104,0)),""))</f>
      </c>
      <c r="E178" s="21"/>
      <c r="F178" s="21"/>
      <c r="G178" s="17">
        <f>IF(OR(E178="",F178=""),"",E178-F178)</f>
      </c>
      <c r="H178" s="18">
        <f>IF(OR(G178="",E178="",E178=0),"",G178/E178)</f>
      </c>
      <c r="I178" s="19">
        <f>IF(OR(E178="",C178=""),"",IFERROR(E178*INDEX(Alimentos!$C$5:$C$104,MATCH(C178,Alimentos!$A$5:$A$104,0)),""))</f>
      </c>
      <c r="J178" s="10"/>
      <c r="K178" s="10"/>
      <c r="L178" s="10"/>
    </row>
    <row r="179" spans="1:12" x14ac:dyDescent="0.25">
      <c r="A179" s="20"/>
      <c r="B179" s="10"/>
      <c r="C179" s="10"/>
      <c r="D179" s="15">
        <f>IF(C179="","",IFERROR(INDEX(Alimentos!$B$5:$B$104,MATCH(C179,Alimentos!$A$5:$A$104,0)),""))</f>
      </c>
      <c r="E179" s="21"/>
      <c r="F179" s="21"/>
      <c r="G179" s="17">
        <f>IF(OR(E179="",F179=""),"",E179-F179)</f>
      </c>
      <c r="H179" s="18">
        <f>IF(OR(G179="",E179="",E179=0),"",G179/E179)</f>
      </c>
      <c r="I179" s="19">
        <f>IF(OR(E179="",C179=""),"",IFERROR(E179*INDEX(Alimentos!$C$5:$C$104,MATCH(C179,Alimentos!$A$5:$A$104,0)),""))</f>
      </c>
      <c r="J179" s="10"/>
      <c r="K179" s="10"/>
      <c r="L179" s="10"/>
    </row>
    <row r="180" spans="1:12" x14ac:dyDescent="0.25">
      <c r="A180" s="20"/>
      <c r="B180" s="10"/>
      <c r="C180" s="10"/>
      <c r="D180" s="15">
        <f>IF(C180="","",IFERROR(INDEX(Alimentos!$B$5:$B$104,MATCH(C180,Alimentos!$A$5:$A$104,0)),""))</f>
      </c>
      <c r="E180" s="21"/>
      <c r="F180" s="21"/>
      <c r="G180" s="17">
        <f>IF(OR(E180="",F180=""),"",E180-F180)</f>
      </c>
      <c r="H180" s="18">
        <f>IF(OR(G180="",E180="",E180=0),"",G180/E180)</f>
      </c>
      <c r="I180" s="19">
        <f>IF(OR(E180="",C180=""),"",IFERROR(E180*INDEX(Alimentos!$C$5:$C$104,MATCH(C180,Alimentos!$A$5:$A$104,0)),""))</f>
      </c>
      <c r="J180" s="10"/>
      <c r="K180" s="10"/>
      <c r="L180" s="10"/>
    </row>
    <row r="181" spans="1:12" x14ac:dyDescent="0.25">
      <c r="A181" s="20"/>
      <c r="B181" s="10"/>
      <c r="C181" s="10"/>
      <c r="D181" s="15">
        <f>IF(C181="","",IFERROR(INDEX(Alimentos!$B$5:$B$104,MATCH(C181,Alimentos!$A$5:$A$104,0)),""))</f>
      </c>
      <c r="E181" s="21"/>
      <c r="F181" s="21"/>
      <c r="G181" s="17">
        <f>IF(OR(E181="",F181=""),"",E181-F181)</f>
      </c>
      <c r="H181" s="18">
        <f>IF(OR(G181="",E181="",E181=0),"",G181/E181)</f>
      </c>
      <c r="I181" s="19">
        <f>IF(OR(E181="",C181=""),"",IFERROR(E181*INDEX(Alimentos!$C$5:$C$104,MATCH(C181,Alimentos!$A$5:$A$104,0)),""))</f>
      </c>
      <c r="J181" s="10"/>
      <c r="K181" s="10"/>
      <c r="L181" s="10"/>
    </row>
    <row r="182" spans="1:12" x14ac:dyDescent="0.25">
      <c r="A182" s="20"/>
      <c r="B182" s="10"/>
      <c r="C182" s="10"/>
      <c r="D182" s="15">
        <f>IF(C182="","",IFERROR(INDEX(Alimentos!$B$5:$B$104,MATCH(C182,Alimentos!$A$5:$A$104,0)),""))</f>
      </c>
      <c r="E182" s="21"/>
      <c r="F182" s="21"/>
      <c r="G182" s="17">
        <f>IF(OR(E182="",F182=""),"",E182-F182)</f>
      </c>
      <c r="H182" s="18">
        <f>IF(OR(G182="",E182="",E182=0),"",G182/E182)</f>
      </c>
      <c r="I182" s="19">
        <f>IF(OR(E182="",C182=""),"",IFERROR(E182*INDEX(Alimentos!$C$5:$C$104,MATCH(C182,Alimentos!$A$5:$A$104,0)),""))</f>
      </c>
      <c r="J182" s="10"/>
      <c r="K182" s="10"/>
      <c r="L182" s="10"/>
    </row>
    <row r="183" spans="1:12" x14ac:dyDescent="0.25">
      <c r="A183" s="20"/>
      <c r="B183" s="10"/>
      <c r="C183" s="10"/>
      <c r="D183" s="15">
        <f>IF(C183="","",IFERROR(INDEX(Alimentos!$B$5:$B$104,MATCH(C183,Alimentos!$A$5:$A$104,0)),""))</f>
      </c>
      <c r="E183" s="21"/>
      <c r="F183" s="21"/>
      <c r="G183" s="17">
        <f>IF(OR(E183="",F183=""),"",E183-F183)</f>
      </c>
      <c r="H183" s="18">
        <f>IF(OR(G183="",E183="",E183=0),"",G183/E183)</f>
      </c>
      <c r="I183" s="19">
        <f>IF(OR(E183="",C183=""),"",IFERROR(E183*INDEX(Alimentos!$C$5:$C$104,MATCH(C183,Alimentos!$A$5:$A$104,0)),""))</f>
      </c>
      <c r="J183" s="10"/>
      <c r="K183" s="10"/>
      <c r="L183" s="10"/>
    </row>
    <row r="184" spans="1:12" x14ac:dyDescent="0.25">
      <c r="A184" s="20"/>
      <c r="B184" s="10"/>
      <c r="C184" s="10"/>
      <c r="D184" s="15">
        <f>IF(C184="","",IFERROR(INDEX(Alimentos!$B$5:$B$104,MATCH(C184,Alimentos!$A$5:$A$104,0)),""))</f>
      </c>
      <c r="E184" s="21"/>
      <c r="F184" s="21"/>
      <c r="G184" s="17">
        <f>IF(OR(E184="",F184=""),"",E184-F184)</f>
      </c>
      <c r="H184" s="18">
        <f>IF(OR(G184="",E184="",E184=0),"",G184/E184)</f>
      </c>
      <c r="I184" s="19">
        <f>IF(OR(E184="",C184=""),"",IFERROR(E184*INDEX(Alimentos!$C$5:$C$104,MATCH(C184,Alimentos!$A$5:$A$104,0)),""))</f>
      </c>
      <c r="J184" s="10"/>
      <c r="K184" s="10"/>
      <c r="L184" s="10"/>
    </row>
    <row r="185" spans="1:12" x14ac:dyDescent="0.25">
      <c r="A185" s="20"/>
      <c r="B185" s="10"/>
      <c r="C185" s="10"/>
      <c r="D185" s="15">
        <f>IF(C185="","",IFERROR(INDEX(Alimentos!$B$5:$B$104,MATCH(C185,Alimentos!$A$5:$A$104,0)),""))</f>
      </c>
      <c r="E185" s="21"/>
      <c r="F185" s="21"/>
      <c r="G185" s="17">
        <f>IF(OR(E185="",F185=""),"",E185-F185)</f>
      </c>
      <c r="H185" s="18">
        <f>IF(OR(G185="",E185="",E185=0),"",G185/E185)</f>
      </c>
      <c r="I185" s="19">
        <f>IF(OR(E185="",C185=""),"",IFERROR(E185*INDEX(Alimentos!$C$5:$C$104,MATCH(C185,Alimentos!$A$5:$A$104,0)),""))</f>
      </c>
      <c r="J185" s="10"/>
      <c r="K185" s="10"/>
      <c r="L185" s="10"/>
    </row>
    <row r="186" spans="1:12" x14ac:dyDescent="0.25">
      <c r="A186" s="20"/>
      <c r="B186" s="10"/>
      <c r="C186" s="10"/>
      <c r="D186" s="15">
        <f>IF(C186="","",IFERROR(INDEX(Alimentos!$B$5:$B$104,MATCH(C186,Alimentos!$A$5:$A$104,0)),""))</f>
      </c>
      <c r="E186" s="21"/>
      <c r="F186" s="21"/>
      <c r="G186" s="17">
        <f>IF(OR(E186="",F186=""),"",E186-F186)</f>
      </c>
      <c r="H186" s="18">
        <f>IF(OR(G186="",E186="",E186=0),"",G186/E186)</f>
      </c>
      <c r="I186" s="19">
        <f>IF(OR(E186="",C186=""),"",IFERROR(E186*INDEX(Alimentos!$C$5:$C$104,MATCH(C186,Alimentos!$A$5:$A$104,0)),""))</f>
      </c>
      <c r="J186" s="10"/>
      <c r="K186" s="10"/>
      <c r="L186" s="10"/>
    </row>
    <row r="187" spans="1:12" x14ac:dyDescent="0.25">
      <c r="A187" s="20"/>
      <c r="B187" s="10"/>
      <c r="C187" s="10"/>
      <c r="D187" s="15">
        <f>IF(C187="","",IFERROR(INDEX(Alimentos!$B$5:$B$104,MATCH(C187,Alimentos!$A$5:$A$104,0)),""))</f>
      </c>
      <c r="E187" s="21"/>
      <c r="F187" s="21"/>
      <c r="G187" s="17">
        <f>IF(OR(E187="",F187=""),"",E187-F187)</f>
      </c>
      <c r="H187" s="18">
        <f>IF(OR(G187="",E187="",E187=0),"",G187/E187)</f>
      </c>
      <c r="I187" s="19">
        <f>IF(OR(E187="",C187=""),"",IFERROR(E187*INDEX(Alimentos!$C$5:$C$104,MATCH(C187,Alimentos!$A$5:$A$104,0)),""))</f>
      </c>
      <c r="J187" s="10"/>
      <c r="K187" s="10"/>
      <c r="L187" s="10"/>
    </row>
    <row r="188" spans="1:12" x14ac:dyDescent="0.25">
      <c r="A188" s="20"/>
      <c r="B188" s="10"/>
      <c r="C188" s="10"/>
      <c r="D188" s="15">
        <f>IF(C188="","",IFERROR(INDEX(Alimentos!$B$5:$B$104,MATCH(C188,Alimentos!$A$5:$A$104,0)),""))</f>
      </c>
      <c r="E188" s="21"/>
      <c r="F188" s="21"/>
      <c r="G188" s="17">
        <f>IF(OR(E188="",F188=""),"",E188-F188)</f>
      </c>
      <c r="H188" s="18">
        <f>IF(OR(G188="",E188="",E188=0),"",G188/E188)</f>
      </c>
      <c r="I188" s="19">
        <f>IF(OR(E188="",C188=""),"",IFERROR(E188*INDEX(Alimentos!$C$5:$C$104,MATCH(C188,Alimentos!$A$5:$A$104,0)),""))</f>
      </c>
      <c r="J188" s="10"/>
      <c r="K188" s="10"/>
      <c r="L188" s="10"/>
    </row>
    <row r="189" spans="1:12" x14ac:dyDescent="0.25">
      <c r="A189" s="20"/>
      <c r="B189" s="10"/>
      <c r="C189" s="10"/>
      <c r="D189" s="15">
        <f>IF(C189="","",IFERROR(INDEX(Alimentos!$B$5:$B$104,MATCH(C189,Alimentos!$A$5:$A$104,0)),""))</f>
      </c>
      <c r="E189" s="21"/>
      <c r="F189" s="21"/>
      <c r="G189" s="17">
        <f>IF(OR(E189="",F189=""),"",E189-F189)</f>
      </c>
      <c r="H189" s="18">
        <f>IF(OR(G189="",E189="",E189=0),"",G189/E189)</f>
      </c>
      <c r="I189" s="19">
        <f>IF(OR(E189="",C189=""),"",IFERROR(E189*INDEX(Alimentos!$C$5:$C$104,MATCH(C189,Alimentos!$A$5:$A$104,0)),""))</f>
      </c>
      <c r="J189" s="10"/>
      <c r="K189" s="10"/>
      <c r="L189" s="10"/>
    </row>
    <row r="190" spans="1:12" x14ac:dyDescent="0.25">
      <c r="A190" s="20"/>
      <c r="B190" s="10"/>
      <c r="C190" s="10"/>
      <c r="D190" s="15">
        <f>IF(C190="","",IFERROR(INDEX(Alimentos!$B$5:$B$104,MATCH(C190,Alimentos!$A$5:$A$104,0)),""))</f>
      </c>
      <c r="E190" s="21"/>
      <c r="F190" s="21"/>
      <c r="G190" s="17">
        <f>IF(OR(E190="",F190=""),"",E190-F190)</f>
      </c>
      <c r="H190" s="18">
        <f>IF(OR(G190="",E190="",E190=0),"",G190/E190)</f>
      </c>
      <c r="I190" s="19">
        <f>IF(OR(E190="",C190=""),"",IFERROR(E190*INDEX(Alimentos!$C$5:$C$104,MATCH(C190,Alimentos!$A$5:$A$104,0)),""))</f>
      </c>
      <c r="J190" s="10"/>
      <c r="K190" s="10"/>
      <c r="L190" s="10"/>
    </row>
    <row r="191" spans="1:12" x14ac:dyDescent="0.25">
      <c r="A191" s="20"/>
      <c r="B191" s="10"/>
      <c r="C191" s="10"/>
      <c r="D191" s="15">
        <f>IF(C191="","",IFERROR(INDEX(Alimentos!$B$5:$B$104,MATCH(C191,Alimentos!$A$5:$A$104,0)),""))</f>
      </c>
      <c r="E191" s="21"/>
      <c r="F191" s="21"/>
      <c r="G191" s="17">
        <f>IF(OR(E191="",F191=""),"",E191-F191)</f>
      </c>
      <c r="H191" s="18">
        <f>IF(OR(G191="",E191="",E191=0),"",G191/E191)</f>
      </c>
      <c r="I191" s="19">
        <f>IF(OR(E191="",C191=""),"",IFERROR(E191*INDEX(Alimentos!$C$5:$C$104,MATCH(C191,Alimentos!$A$5:$A$104,0)),""))</f>
      </c>
      <c r="J191" s="10"/>
      <c r="K191" s="10"/>
      <c r="L191" s="10"/>
    </row>
    <row r="192" spans="1:12" x14ac:dyDescent="0.25">
      <c r="A192" s="20"/>
      <c r="B192" s="10"/>
      <c r="C192" s="10"/>
      <c r="D192" s="15">
        <f>IF(C192="","",IFERROR(INDEX(Alimentos!$B$5:$B$104,MATCH(C192,Alimentos!$A$5:$A$104,0)),""))</f>
      </c>
      <c r="E192" s="21"/>
      <c r="F192" s="21"/>
      <c r="G192" s="17">
        <f>IF(OR(E192="",F192=""),"",E192-F192)</f>
      </c>
      <c r="H192" s="18">
        <f>IF(OR(G192="",E192="",E192=0),"",G192/E192)</f>
      </c>
      <c r="I192" s="19">
        <f>IF(OR(E192="",C192=""),"",IFERROR(E192*INDEX(Alimentos!$C$5:$C$104,MATCH(C192,Alimentos!$A$5:$A$104,0)),""))</f>
      </c>
      <c r="J192" s="10"/>
      <c r="K192" s="10"/>
      <c r="L192" s="10"/>
    </row>
    <row r="193" spans="1:12" x14ac:dyDescent="0.25">
      <c r="A193" s="20"/>
      <c r="B193" s="10"/>
      <c r="C193" s="10"/>
      <c r="D193" s="15">
        <f>IF(C193="","",IFERROR(INDEX(Alimentos!$B$5:$B$104,MATCH(C193,Alimentos!$A$5:$A$104,0)),""))</f>
      </c>
      <c r="E193" s="21"/>
      <c r="F193" s="21"/>
      <c r="G193" s="17">
        <f>IF(OR(E193="",F193=""),"",E193-F193)</f>
      </c>
      <c r="H193" s="18">
        <f>IF(OR(G193="",E193="",E193=0),"",G193/E193)</f>
      </c>
      <c r="I193" s="19">
        <f>IF(OR(E193="",C193=""),"",IFERROR(E193*INDEX(Alimentos!$C$5:$C$104,MATCH(C193,Alimentos!$A$5:$A$104,0)),""))</f>
      </c>
      <c r="J193" s="10"/>
      <c r="K193" s="10"/>
      <c r="L193" s="10"/>
    </row>
    <row r="194" spans="1:12" x14ac:dyDescent="0.25">
      <c r="A194" s="20"/>
      <c r="B194" s="10"/>
      <c r="C194" s="10"/>
      <c r="D194" s="15">
        <f>IF(C194="","",IFERROR(INDEX(Alimentos!$B$5:$B$104,MATCH(C194,Alimentos!$A$5:$A$104,0)),""))</f>
      </c>
      <c r="E194" s="21"/>
      <c r="F194" s="21"/>
      <c r="G194" s="17">
        <f>IF(OR(E194="",F194=""),"",E194-F194)</f>
      </c>
      <c r="H194" s="18">
        <f>IF(OR(G194="",E194="",E194=0),"",G194/E194)</f>
      </c>
      <c r="I194" s="19">
        <f>IF(OR(E194="",C194=""),"",IFERROR(E194*INDEX(Alimentos!$C$5:$C$104,MATCH(C194,Alimentos!$A$5:$A$104,0)),""))</f>
      </c>
      <c r="J194" s="10"/>
      <c r="K194" s="10"/>
      <c r="L194" s="10"/>
    </row>
    <row r="195" spans="1:12" x14ac:dyDescent="0.25">
      <c r="A195" s="20"/>
      <c r="B195" s="10"/>
      <c r="C195" s="10"/>
      <c r="D195" s="15">
        <f>IF(C195="","",IFERROR(INDEX(Alimentos!$B$5:$B$104,MATCH(C195,Alimentos!$A$5:$A$104,0)),""))</f>
      </c>
      <c r="E195" s="21"/>
      <c r="F195" s="21"/>
      <c r="G195" s="17">
        <f>IF(OR(E195="",F195=""),"",E195-F195)</f>
      </c>
      <c r="H195" s="18">
        <f>IF(OR(G195="",E195="",E195=0),"",G195/E195)</f>
      </c>
      <c r="I195" s="19">
        <f>IF(OR(E195="",C195=""),"",IFERROR(E195*INDEX(Alimentos!$C$5:$C$104,MATCH(C195,Alimentos!$A$5:$A$104,0)),""))</f>
      </c>
      <c r="J195" s="10"/>
      <c r="K195" s="10"/>
      <c r="L195" s="10"/>
    </row>
    <row r="196" spans="1:12" x14ac:dyDescent="0.25">
      <c r="A196" s="20"/>
      <c r="B196" s="10"/>
      <c r="C196" s="10"/>
      <c r="D196" s="15">
        <f>IF(C196="","",IFERROR(INDEX(Alimentos!$B$5:$B$104,MATCH(C196,Alimentos!$A$5:$A$104,0)),""))</f>
      </c>
      <c r="E196" s="21"/>
      <c r="F196" s="21"/>
      <c r="G196" s="17">
        <f>IF(OR(E196="",F196=""),"",E196-F196)</f>
      </c>
      <c r="H196" s="18">
        <f>IF(OR(G196="",E196="",E196=0),"",G196/E196)</f>
      </c>
      <c r="I196" s="19">
        <f>IF(OR(E196="",C196=""),"",IFERROR(E196*INDEX(Alimentos!$C$5:$C$104,MATCH(C196,Alimentos!$A$5:$A$104,0)),""))</f>
      </c>
      <c r="J196" s="10"/>
      <c r="K196" s="10"/>
      <c r="L196" s="10"/>
    </row>
    <row r="197" spans="1:12" x14ac:dyDescent="0.25">
      <c r="A197" s="20"/>
      <c r="B197" s="10"/>
      <c r="C197" s="10"/>
      <c r="D197" s="15">
        <f>IF(C197="","",IFERROR(INDEX(Alimentos!$B$5:$B$104,MATCH(C197,Alimentos!$A$5:$A$104,0)),""))</f>
      </c>
      <c r="E197" s="21"/>
      <c r="F197" s="21"/>
      <c r="G197" s="17">
        <f>IF(OR(E197="",F197=""),"",E197-F197)</f>
      </c>
      <c r="H197" s="18">
        <f>IF(OR(G197="",E197="",E197=0),"",G197/E197)</f>
      </c>
      <c r="I197" s="19">
        <f>IF(OR(E197="",C197=""),"",IFERROR(E197*INDEX(Alimentos!$C$5:$C$104,MATCH(C197,Alimentos!$A$5:$A$104,0)),""))</f>
      </c>
      <c r="J197" s="10"/>
      <c r="K197" s="10"/>
      <c r="L197" s="10"/>
    </row>
    <row r="198" spans="1:12" x14ac:dyDescent="0.25">
      <c r="A198" s="20"/>
      <c r="B198" s="10"/>
      <c r="C198" s="10"/>
      <c r="D198" s="15">
        <f>IF(C198="","",IFERROR(INDEX(Alimentos!$B$5:$B$104,MATCH(C198,Alimentos!$A$5:$A$104,0)),""))</f>
      </c>
      <c r="E198" s="21"/>
      <c r="F198" s="21"/>
      <c r="G198" s="17">
        <f>IF(OR(E198="",F198=""),"",E198-F198)</f>
      </c>
      <c r="H198" s="18">
        <f>IF(OR(G198="",E198="",E198=0),"",G198/E198)</f>
      </c>
      <c r="I198" s="19">
        <f>IF(OR(E198="",C198=""),"",IFERROR(E198*INDEX(Alimentos!$C$5:$C$104,MATCH(C198,Alimentos!$A$5:$A$104,0)),""))</f>
      </c>
      <c r="J198" s="10"/>
      <c r="K198" s="10"/>
      <c r="L198" s="10"/>
    </row>
    <row r="199" spans="1:12" x14ac:dyDescent="0.25">
      <c r="A199" s="20"/>
      <c r="B199" s="10"/>
      <c r="C199" s="10"/>
      <c r="D199" s="15">
        <f>IF(C199="","",IFERROR(INDEX(Alimentos!$B$5:$B$104,MATCH(C199,Alimentos!$A$5:$A$104,0)),""))</f>
      </c>
      <c r="E199" s="21"/>
      <c r="F199" s="21"/>
      <c r="G199" s="17">
        <f>IF(OR(E199="",F199=""),"",E199-F199)</f>
      </c>
      <c r="H199" s="18">
        <f>IF(OR(G199="",E199="",E199=0),"",G199/E199)</f>
      </c>
      <c r="I199" s="19">
        <f>IF(OR(E199="",C199=""),"",IFERROR(E199*INDEX(Alimentos!$C$5:$C$104,MATCH(C199,Alimentos!$A$5:$A$104,0)),""))</f>
      </c>
      <c r="J199" s="10"/>
      <c r="K199" s="10"/>
      <c r="L199" s="10"/>
    </row>
    <row r="200" spans="1:12" x14ac:dyDescent="0.25">
      <c r="A200" s="20"/>
      <c r="B200" s="10"/>
      <c r="C200" s="10"/>
      <c r="D200" s="15">
        <f>IF(C200="","",IFERROR(INDEX(Alimentos!$B$5:$B$104,MATCH(C200,Alimentos!$A$5:$A$104,0)),""))</f>
      </c>
      <c r="E200" s="21"/>
      <c r="F200" s="21"/>
      <c r="G200" s="17">
        <f>IF(OR(E200="",F200=""),"",E200-F200)</f>
      </c>
      <c r="H200" s="18">
        <f>IF(OR(G200="",E200="",E200=0),"",G200/E200)</f>
      </c>
      <c r="I200" s="19">
        <f>IF(OR(E200="",C200=""),"",IFERROR(E200*INDEX(Alimentos!$C$5:$C$104,MATCH(C200,Alimentos!$A$5:$A$104,0)),""))</f>
      </c>
      <c r="J200" s="10"/>
      <c r="K200" s="10"/>
      <c r="L200" s="10"/>
    </row>
    <row r="201" spans="1:12" x14ac:dyDescent="0.25">
      <c r="A201" s="20"/>
      <c r="B201" s="10"/>
      <c r="C201" s="10"/>
      <c r="D201" s="15">
        <f>IF(C201="","",IFERROR(INDEX(Alimentos!$B$5:$B$104,MATCH(C201,Alimentos!$A$5:$A$104,0)),""))</f>
      </c>
      <c r="E201" s="21"/>
      <c r="F201" s="21"/>
      <c r="G201" s="17">
        <f>IF(OR(E201="",F201=""),"",E201-F201)</f>
      </c>
      <c r="H201" s="18">
        <f>IF(OR(G201="",E201="",E201=0),"",G201/E201)</f>
      </c>
      <c r="I201" s="19">
        <f>IF(OR(E201="",C201=""),"",IFERROR(E201*INDEX(Alimentos!$C$5:$C$104,MATCH(C201,Alimentos!$A$5:$A$104,0)),""))</f>
      </c>
      <c r="J201" s="10"/>
      <c r="K201" s="10"/>
      <c r="L201" s="10"/>
    </row>
    <row r="202" spans="1:12" x14ac:dyDescent="0.25">
      <c r="A202" s="20"/>
      <c r="B202" s="10"/>
      <c r="C202" s="10"/>
      <c r="D202" s="15">
        <f>IF(C202="","",IFERROR(INDEX(Alimentos!$B$5:$B$104,MATCH(C202,Alimentos!$A$5:$A$104,0)),""))</f>
      </c>
      <c r="E202" s="21"/>
      <c r="F202" s="21"/>
      <c r="G202" s="17">
        <f>IF(OR(E202="",F202=""),"",E202-F202)</f>
      </c>
      <c r="H202" s="18">
        <f>IF(OR(G202="",E202="",E202=0),"",G202/E202)</f>
      </c>
      <c r="I202" s="19">
        <f>IF(OR(E202="",C202=""),"",IFERROR(E202*INDEX(Alimentos!$C$5:$C$104,MATCH(C202,Alimentos!$A$5:$A$104,0)),""))</f>
      </c>
      <c r="J202" s="10"/>
      <c r="K202" s="10"/>
      <c r="L202" s="10"/>
    </row>
    <row r="203" spans="1:12" x14ac:dyDescent="0.25">
      <c r="A203" s="20"/>
      <c r="B203" s="10"/>
      <c r="C203" s="10"/>
      <c r="D203" s="15">
        <f>IF(C203="","",IFERROR(INDEX(Alimentos!$B$5:$B$104,MATCH(C203,Alimentos!$A$5:$A$104,0)),""))</f>
      </c>
      <c r="E203" s="21"/>
      <c r="F203" s="21"/>
      <c r="G203" s="17">
        <f>IF(OR(E203="",F203=""),"",E203-F203)</f>
      </c>
      <c r="H203" s="18">
        <f>IF(OR(G203="",E203="",E203=0),"",G203/E203)</f>
      </c>
      <c r="I203" s="19">
        <f>IF(OR(E203="",C203=""),"",IFERROR(E203*INDEX(Alimentos!$C$5:$C$104,MATCH(C203,Alimentos!$A$5:$A$104,0)),""))</f>
      </c>
      <c r="J203" s="10"/>
      <c r="K203" s="10"/>
      <c r="L203" s="10"/>
    </row>
    <row r="204" spans="1:12" x14ac:dyDescent="0.25">
      <c r="A204" s="20"/>
      <c r="B204" s="10"/>
      <c r="C204" s="10"/>
      <c r="D204" s="15">
        <f>IF(C204="","",IFERROR(INDEX(Alimentos!$B$5:$B$104,MATCH(C204,Alimentos!$A$5:$A$104,0)),""))</f>
      </c>
      <c r="E204" s="21"/>
      <c r="F204" s="21"/>
      <c r="G204" s="17">
        <f>IF(OR(E204="",F204=""),"",E204-F204)</f>
      </c>
      <c r="H204" s="18">
        <f>IF(OR(G204="",E204="",E204=0),"",G204/E204)</f>
      </c>
      <c r="I204" s="19">
        <f>IF(OR(E204="",C204=""),"",IFERROR(E204*INDEX(Alimentos!$C$5:$C$104,MATCH(C204,Alimentos!$A$5:$A$104,0)),""))</f>
      </c>
      <c r="J204" s="10"/>
      <c r="K204" s="10"/>
      <c r="L204" s="10"/>
    </row>
    <row r="205" spans="1:12" x14ac:dyDescent="0.25">
      <c r="A205" s="20"/>
      <c r="B205" s="10"/>
      <c r="C205" s="10"/>
      <c r="D205" s="15">
        <f>IF(C205="","",IFERROR(INDEX(Alimentos!$B$5:$B$104,MATCH(C205,Alimentos!$A$5:$A$104,0)),""))</f>
      </c>
      <c r="E205" s="21"/>
      <c r="F205" s="21"/>
      <c r="G205" s="17">
        <f>IF(OR(E205="",F205=""),"",E205-F205)</f>
      </c>
      <c r="H205" s="18">
        <f>IF(OR(G205="",E205="",E205=0),"",G205/E205)</f>
      </c>
      <c r="I205" s="19">
        <f>IF(OR(E205="",C205=""),"",IFERROR(E205*INDEX(Alimentos!$C$5:$C$104,MATCH(C205,Alimentos!$A$5:$A$104,0)),""))</f>
      </c>
      <c r="J205" s="10"/>
      <c r="K205" s="10"/>
      <c r="L205" s="10"/>
    </row>
    <row r="206" spans="1:12" x14ac:dyDescent="0.25">
      <c r="A206" s="20"/>
      <c r="B206" s="10"/>
      <c r="C206" s="10"/>
      <c r="D206" s="15">
        <f>IF(C206="","",IFERROR(INDEX(Alimentos!$B$5:$B$104,MATCH(C206,Alimentos!$A$5:$A$104,0)),""))</f>
      </c>
      <c r="E206" s="21"/>
      <c r="F206" s="21"/>
      <c r="G206" s="17">
        <f>IF(OR(E206="",F206=""),"",E206-F206)</f>
      </c>
      <c r="H206" s="18">
        <f>IF(OR(G206="",E206="",E206=0),"",G206/E206)</f>
      </c>
      <c r="I206" s="19">
        <f>IF(OR(E206="",C206=""),"",IFERROR(E206*INDEX(Alimentos!$C$5:$C$104,MATCH(C206,Alimentos!$A$5:$A$104,0)),""))</f>
      </c>
      <c r="J206" s="10"/>
      <c r="K206" s="10"/>
      <c r="L206" s="10"/>
    </row>
    <row r="207" spans="1:12" x14ac:dyDescent="0.25">
      <c r="A207" s="20"/>
      <c r="B207" s="10"/>
      <c r="C207" s="10"/>
      <c r="D207" s="15">
        <f>IF(C207="","",IFERROR(INDEX(Alimentos!$B$5:$B$104,MATCH(C207,Alimentos!$A$5:$A$104,0)),""))</f>
      </c>
      <c r="E207" s="21"/>
      <c r="F207" s="21"/>
      <c r="G207" s="17">
        <f>IF(OR(E207="",F207=""),"",E207-F207)</f>
      </c>
      <c r="H207" s="18">
        <f>IF(OR(G207="",E207="",E207=0),"",G207/E207)</f>
      </c>
      <c r="I207" s="19">
        <f>IF(OR(E207="",C207=""),"",IFERROR(E207*INDEX(Alimentos!$C$5:$C$104,MATCH(C207,Alimentos!$A$5:$A$104,0)),""))</f>
      </c>
      <c r="J207" s="10"/>
      <c r="K207" s="10"/>
      <c r="L207" s="10"/>
    </row>
    <row r="208" spans="1:12" x14ac:dyDescent="0.25">
      <c r="A208" s="20"/>
      <c r="B208" s="10"/>
      <c r="C208" s="10"/>
      <c r="D208" s="15">
        <f>IF(C208="","",IFERROR(INDEX(Alimentos!$B$5:$B$104,MATCH(C208,Alimentos!$A$5:$A$104,0)),""))</f>
      </c>
      <c r="E208" s="21"/>
      <c r="F208" s="21"/>
      <c r="G208" s="17">
        <f>IF(OR(E208="",F208=""),"",E208-F208)</f>
      </c>
      <c r="H208" s="18">
        <f>IF(OR(G208="",E208="",E208=0),"",G208/E208)</f>
      </c>
      <c r="I208" s="19">
        <f>IF(OR(E208="",C208=""),"",IFERROR(E208*INDEX(Alimentos!$C$5:$C$104,MATCH(C208,Alimentos!$A$5:$A$104,0)),""))</f>
      </c>
      <c r="J208" s="10"/>
      <c r="K208" s="10"/>
      <c r="L208" s="10"/>
    </row>
    <row r="209" spans="1:12" x14ac:dyDescent="0.25">
      <c r="A209" s="20"/>
      <c r="B209" s="10"/>
      <c r="C209" s="10"/>
      <c r="D209" s="15">
        <f>IF(C209="","",IFERROR(INDEX(Alimentos!$B$5:$B$104,MATCH(C209,Alimentos!$A$5:$A$104,0)),""))</f>
      </c>
      <c r="E209" s="21"/>
      <c r="F209" s="21"/>
      <c r="G209" s="17">
        <f>IF(OR(E209="",F209=""),"",E209-F209)</f>
      </c>
      <c r="H209" s="18">
        <f>IF(OR(G209="",E209="",E209=0),"",G209/E209)</f>
      </c>
      <c r="I209" s="19">
        <f>IF(OR(E209="",C209=""),"",IFERROR(E209*INDEX(Alimentos!$C$5:$C$104,MATCH(C209,Alimentos!$A$5:$A$104,0)),""))</f>
      </c>
      <c r="J209" s="10"/>
      <c r="K209" s="10"/>
      <c r="L209" s="10"/>
    </row>
    <row r="210" spans="1:12" x14ac:dyDescent="0.25">
      <c r="A210" s="20"/>
      <c r="B210" s="10"/>
      <c r="C210" s="10"/>
      <c r="D210" s="15">
        <f>IF(C210="","",IFERROR(INDEX(Alimentos!$B$5:$B$104,MATCH(C210,Alimentos!$A$5:$A$104,0)),""))</f>
      </c>
      <c r="E210" s="21"/>
      <c r="F210" s="21"/>
      <c r="G210" s="17">
        <f>IF(OR(E210="",F210=""),"",E210-F210)</f>
      </c>
      <c r="H210" s="18">
        <f>IF(OR(G210="",E210="",E210=0),"",G210/E210)</f>
      </c>
      <c r="I210" s="19">
        <f>IF(OR(E210="",C210=""),"",IFERROR(E210*INDEX(Alimentos!$C$5:$C$104,MATCH(C210,Alimentos!$A$5:$A$104,0)),""))</f>
      </c>
      <c r="J210" s="10"/>
      <c r="K210" s="10"/>
      <c r="L210" s="10"/>
    </row>
    <row r="211" spans="1:12" x14ac:dyDescent="0.25">
      <c r="A211" s="20"/>
      <c r="B211" s="10"/>
      <c r="C211" s="10"/>
      <c r="D211" s="15">
        <f>IF(C211="","",IFERROR(INDEX(Alimentos!$B$5:$B$104,MATCH(C211,Alimentos!$A$5:$A$104,0)),""))</f>
      </c>
      <c r="E211" s="21"/>
      <c r="F211" s="21"/>
      <c r="G211" s="17">
        <f>IF(OR(E211="",F211=""),"",E211-F211)</f>
      </c>
      <c r="H211" s="18">
        <f>IF(OR(G211="",E211="",E211=0),"",G211/E211)</f>
      </c>
      <c r="I211" s="19">
        <f>IF(OR(E211="",C211=""),"",IFERROR(E211*INDEX(Alimentos!$C$5:$C$104,MATCH(C211,Alimentos!$A$5:$A$104,0)),""))</f>
      </c>
      <c r="J211" s="10"/>
      <c r="K211" s="10"/>
      <c r="L211" s="10"/>
    </row>
    <row r="212" spans="1:12" x14ac:dyDescent="0.25">
      <c r="A212" s="20"/>
      <c r="B212" s="10"/>
      <c r="C212" s="10"/>
      <c r="D212" s="15">
        <f>IF(C212="","",IFERROR(INDEX(Alimentos!$B$5:$B$104,MATCH(C212,Alimentos!$A$5:$A$104,0)),""))</f>
      </c>
      <c r="E212" s="21"/>
      <c r="F212" s="21"/>
      <c r="G212" s="17">
        <f>IF(OR(E212="",F212=""),"",E212-F212)</f>
      </c>
      <c r="H212" s="18">
        <f>IF(OR(G212="",E212="",E212=0),"",G212/E212)</f>
      </c>
      <c r="I212" s="19">
        <f>IF(OR(E212="",C212=""),"",IFERROR(E212*INDEX(Alimentos!$C$5:$C$104,MATCH(C212,Alimentos!$A$5:$A$104,0)),""))</f>
      </c>
      <c r="J212" s="10"/>
      <c r="K212" s="10"/>
      <c r="L212" s="10"/>
    </row>
    <row r="213" spans="1:12" x14ac:dyDescent="0.25">
      <c r="A213" s="20"/>
      <c r="B213" s="10"/>
      <c r="C213" s="10"/>
      <c r="D213" s="15">
        <f>IF(C213="","",IFERROR(INDEX(Alimentos!$B$5:$B$104,MATCH(C213,Alimentos!$A$5:$A$104,0)),""))</f>
      </c>
      <c r="E213" s="21"/>
      <c r="F213" s="21"/>
      <c r="G213" s="17">
        <f>IF(OR(E213="",F213=""),"",E213-F213)</f>
      </c>
      <c r="H213" s="18">
        <f>IF(OR(G213="",E213="",E213=0),"",G213/E213)</f>
      </c>
      <c r="I213" s="19">
        <f>IF(OR(E213="",C213=""),"",IFERROR(E213*INDEX(Alimentos!$C$5:$C$104,MATCH(C213,Alimentos!$A$5:$A$104,0)),""))</f>
      </c>
      <c r="J213" s="10"/>
      <c r="K213" s="10"/>
      <c r="L213" s="10"/>
    </row>
    <row r="214" spans="1:12" x14ac:dyDescent="0.25">
      <c r="A214" s="20"/>
      <c r="B214" s="10"/>
      <c r="C214" s="10"/>
      <c r="D214" s="15">
        <f>IF(C214="","",IFERROR(INDEX(Alimentos!$B$5:$B$104,MATCH(C214,Alimentos!$A$5:$A$104,0)),""))</f>
      </c>
      <c r="E214" s="21"/>
      <c r="F214" s="21"/>
      <c r="G214" s="17">
        <f>IF(OR(E214="",F214=""),"",E214-F214)</f>
      </c>
      <c r="H214" s="18">
        <f>IF(OR(G214="",E214="",E214=0),"",G214/E214)</f>
      </c>
      <c r="I214" s="19">
        <f>IF(OR(E214="",C214=""),"",IFERROR(E214*INDEX(Alimentos!$C$5:$C$104,MATCH(C214,Alimentos!$A$5:$A$104,0)),""))</f>
      </c>
      <c r="J214" s="10"/>
      <c r="K214" s="10"/>
      <c r="L214" s="10"/>
    </row>
    <row r="215" spans="1:12" x14ac:dyDescent="0.25">
      <c r="A215" s="20"/>
      <c r="B215" s="10"/>
      <c r="C215" s="10"/>
      <c r="D215" s="15">
        <f>IF(C215="","",IFERROR(INDEX(Alimentos!$B$5:$B$104,MATCH(C215,Alimentos!$A$5:$A$104,0)),""))</f>
      </c>
      <c r="E215" s="21"/>
      <c r="F215" s="21"/>
      <c r="G215" s="17">
        <f>IF(OR(E215="",F215=""),"",E215-F215)</f>
      </c>
      <c r="H215" s="18">
        <f>IF(OR(G215="",E215="",E215=0),"",G215/E215)</f>
      </c>
      <c r="I215" s="19">
        <f>IF(OR(E215="",C215=""),"",IFERROR(E215*INDEX(Alimentos!$C$5:$C$104,MATCH(C215,Alimentos!$A$5:$A$104,0)),""))</f>
      </c>
      <c r="J215" s="10"/>
      <c r="K215" s="10"/>
      <c r="L215" s="10"/>
    </row>
    <row r="216" spans="1:12" x14ac:dyDescent="0.25">
      <c r="A216" s="20"/>
      <c r="B216" s="10"/>
      <c r="C216" s="10"/>
      <c r="D216" s="15">
        <f>IF(C216="","",IFERROR(INDEX(Alimentos!$B$5:$B$104,MATCH(C216,Alimentos!$A$5:$A$104,0)),""))</f>
      </c>
      <c r="E216" s="21"/>
      <c r="F216" s="21"/>
      <c r="G216" s="17">
        <f>IF(OR(E216="",F216=""),"",E216-F216)</f>
      </c>
      <c r="H216" s="18">
        <f>IF(OR(G216="",E216="",E216=0),"",G216/E216)</f>
      </c>
      <c r="I216" s="19">
        <f>IF(OR(E216="",C216=""),"",IFERROR(E216*INDEX(Alimentos!$C$5:$C$104,MATCH(C216,Alimentos!$A$5:$A$104,0)),""))</f>
      </c>
      <c r="J216" s="10"/>
      <c r="K216" s="10"/>
      <c r="L216" s="10"/>
    </row>
    <row r="217" spans="1:12" x14ac:dyDescent="0.25">
      <c r="A217" s="20"/>
      <c r="B217" s="10"/>
      <c r="C217" s="10"/>
      <c r="D217" s="15">
        <f>IF(C217="","",IFERROR(INDEX(Alimentos!$B$5:$B$104,MATCH(C217,Alimentos!$A$5:$A$104,0)),""))</f>
      </c>
      <c r="E217" s="21"/>
      <c r="F217" s="21"/>
      <c r="G217" s="17">
        <f>IF(OR(E217="",F217=""),"",E217-F217)</f>
      </c>
      <c r="H217" s="18">
        <f>IF(OR(G217="",E217="",E217=0),"",G217/E217)</f>
      </c>
      <c r="I217" s="19">
        <f>IF(OR(E217="",C217=""),"",IFERROR(E217*INDEX(Alimentos!$C$5:$C$104,MATCH(C217,Alimentos!$A$5:$A$104,0)),""))</f>
      </c>
      <c r="J217" s="10"/>
      <c r="K217" s="10"/>
      <c r="L217" s="10"/>
    </row>
    <row r="218" spans="1:12" x14ac:dyDescent="0.25">
      <c r="A218" s="20"/>
      <c r="B218" s="10"/>
      <c r="C218" s="10"/>
      <c r="D218" s="15">
        <f>IF(C218="","",IFERROR(INDEX(Alimentos!$B$5:$B$104,MATCH(C218,Alimentos!$A$5:$A$104,0)),""))</f>
      </c>
      <c r="E218" s="21"/>
      <c r="F218" s="21"/>
      <c r="G218" s="17">
        <f>IF(OR(E218="",F218=""),"",E218-F218)</f>
      </c>
      <c r="H218" s="18">
        <f>IF(OR(G218="",E218="",E218=0),"",G218/E218)</f>
      </c>
      <c r="I218" s="19">
        <f>IF(OR(E218="",C218=""),"",IFERROR(E218*INDEX(Alimentos!$C$5:$C$104,MATCH(C218,Alimentos!$A$5:$A$104,0)),""))</f>
      </c>
      <c r="J218" s="10"/>
      <c r="K218" s="10"/>
      <c r="L218" s="10"/>
    </row>
    <row r="219" spans="1:12" x14ac:dyDescent="0.25">
      <c r="A219" s="20"/>
      <c r="B219" s="10"/>
      <c r="C219" s="10"/>
      <c r="D219" s="15">
        <f>IF(C219="","",IFERROR(INDEX(Alimentos!$B$5:$B$104,MATCH(C219,Alimentos!$A$5:$A$104,0)),""))</f>
      </c>
      <c r="E219" s="21"/>
      <c r="F219" s="21"/>
      <c r="G219" s="17">
        <f>IF(OR(E219="",F219=""),"",E219-F219)</f>
      </c>
      <c r="H219" s="18">
        <f>IF(OR(G219="",E219="",E219=0),"",G219/E219)</f>
      </c>
      <c r="I219" s="19">
        <f>IF(OR(E219="",C219=""),"",IFERROR(E219*INDEX(Alimentos!$C$5:$C$104,MATCH(C219,Alimentos!$A$5:$A$104,0)),""))</f>
      </c>
      <c r="J219" s="10"/>
      <c r="K219" s="10"/>
      <c r="L219" s="10"/>
    </row>
    <row r="220" spans="1:12" x14ac:dyDescent="0.25">
      <c r="A220" s="20"/>
      <c r="B220" s="10"/>
      <c r="C220" s="10"/>
      <c r="D220" s="15">
        <f>IF(C220="","",IFERROR(INDEX(Alimentos!$B$5:$B$104,MATCH(C220,Alimentos!$A$5:$A$104,0)),""))</f>
      </c>
      <c r="E220" s="21"/>
      <c r="F220" s="21"/>
      <c r="G220" s="17">
        <f>IF(OR(E220="",F220=""),"",E220-F220)</f>
      </c>
      <c r="H220" s="18">
        <f>IF(OR(G220="",E220="",E220=0),"",G220/E220)</f>
      </c>
      <c r="I220" s="19">
        <f>IF(OR(E220="",C220=""),"",IFERROR(E220*INDEX(Alimentos!$C$5:$C$104,MATCH(C220,Alimentos!$A$5:$A$104,0)),""))</f>
      </c>
      <c r="J220" s="10"/>
      <c r="K220" s="10"/>
      <c r="L220" s="10"/>
    </row>
    <row r="221" spans="1:12" x14ac:dyDescent="0.25">
      <c r="A221" s="20"/>
      <c r="B221" s="10"/>
      <c r="C221" s="10"/>
      <c r="D221" s="15">
        <f>IF(C221="","",IFERROR(INDEX(Alimentos!$B$5:$B$104,MATCH(C221,Alimentos!$A$5:$A$104,0)),""))</f>
      </c>
      <c r="E221" s="21"/>
      <c r="F221" s="21"/>
      <c r="G221" s="17">
        <f>IF(OR(E221="",F221=""),"",E221-F221)</f>
      </c>
      <c r="H221" s="18">
        <f>IF(OR(G221="",E221="",E221=0),"",G221/E221)</f>
      </c>
      <c r="I221" s="19">
        <f>IF(OR(E221="",C221=""),"",IFERROR(E221*INDEX(Alimentos!$C$5:$C$104,MATCH(C221,Alimentos!$A$5:$A$104,0)),""))</f>
      </c>
      <c r="J221" s="10"/>
      <c r="K221" s="10"/>
      <c r="L221" s="10"/>
    </row>
    <row r="222" spans="1:12" x14ac:dyDescent="0.25">
      <c r="A222" s="20"/>
      <c r="B222" s="10"/>
      <c r="C222" s="10"/>
      <c r="D222" s="15">
        <f>IF(C222="","",IFERROR(INDEX(Alimentos!$B$5:$B$104,MATCH(C222,Alimentos!$A$5:$A$104,0)),""))</f>
      </c>
      <c r="E222" s="21"/>
      <c r="F222" s="21"/>
      <c r="G222" s="17">
        <f>IF(OR(E222="",F222=""),"",E222-F222)</f>
      </c>
      <c r="H222" s="18">
        <f>IF(OR(G222="",E222="",E222=0),"",G222/E222)</f>
      </c>
      <c r="I222" s="19">
        <f>IF(OR(E222="",C222=""),"",IFERROR(E222*INDEX(Alimentos!$C$5:$C$104,MATCH(C222,Alimentos!$A$5:$A$104,0)),""))</f>
      </c>
      <c r="J222" s="10"/>
      <c r="K222" s="10"/>
      <c r="L222" s="10"/>
    </row>
    <row r="223" spans="1:12" x14ac:dyDescent="0.25">
      <c r="A223" s="20"/>
      <c r="B223" s="10"/>
      <c r="C223" s="10"/>
      <c r="D223" s="15">
        <f>IF(C223="","",IFERROR(INDEX(Alimentos!$B$5:$B$104,MATCH(C223,Alimentos!$A$5:$A$104,0)),""))</f>
      </c>
      <c r="E223" s="21"/>
      <c r="F223" s="21"/>
      <c r="G223" s="17">
        <f>IF(OR(E223="",F223=""),"",E223-F223)</f>
      </c>
      <c r="H223" s="18">
        <f>IF(OR(G223="",E223="",E223=0),"",G223/E223)</f>
      </c>
      <c r="I223" s="19">
        <f>IF(OR(E223="",C223=""),"",IFERROR(E223*INDEX(Alimentos!$C$5:$C$104,MATCH(C223,Alimentos!$A$5:$A$104,0)),""))</f>
      </c>
      <c r="J223" s="10"/>
      <c r="K223" s="10"/>
      <c r="L223" s="10"/>
    </row>
    <row r="224" spans="1:12" x14ac:dyDescent="0.25">
      <c r="A224" s="20"/>
      <c r="B224" s="10"/>
      <c r="C224" s="10"/>
      <c r="D224" s="15">
        <f>IF(C224="","",IFERROR(INDEX(Alimentos!$B$5:$B$104,MATCH(C224,Alimentos!$A$5:$A$104,0)),""))</f>
      </c>
      <c r="E224" s="21"/>
      <c r="F224" s="21"/>
      <c r="G224" s="17">
        <f>IF(OR(E224="",F224=""),"",E224-F224)</f>
      </c>
      <c r="H224" s="18">
        <f>IF(OR(G224="",E224="",E224=0),"",G224/E224)</f>
      </c>
      <c r="I224" s="19">
        <f>IF(OR(E224="",C224=""),"",IFERROR(E224*INDEX(Alimentos!$C$5:$C$104,MATCH(C224,Alimentos!$A$5:$A$104,0)),""))</f>
      </c>
      <c r="J224" s="10"/>
      <c r="K224" s="10"/>
      <c r="L224" s="10"/>
    </row>
    <row r="225" spans="1:12" x14ac:dyDescent="0.25">
      <c r="A225" s="20"/>
      <c r="B225" s="10"/>
      <c r="C225" s="10"/>
      <c r="D225" s="15">
        <f>IF(C225="","",IFERROR(INDEX(Alimentos!$B$5:$B$104,MATCH(C225,Alimentos!$A$5:$A$104,0)),""))</f>
      </c>
      <c r="E225" s="21"/>
      <c r="F225" s="21"/>
      <c r="G225" s="17">
        <f>IF(OR(E225="",F225=""),"",E225-F225)</f>
      </c>
      <c r="H225" s="18">
        <f>IF(OR(G225="",E225="",E225=0),"",G225/E225)</f>
      </c>
      <c r="I225" s="19">
        <f>IF(OR(E225="",C225=""),"",IFERROR(E225*INDEX(Alimentos!$C$5:$C$104,MATCH(C225,Alimentos!$A$5:$A$104,0)),""))</f>
      </c>
      <c r="J225" s="10"/>
      <c r="K225" s="10"/>
      <c r="L225" s="10"/>
    </row>
    <row r="226" spans="1:12" x14ac:dyDescent="0.25">
      <c r="A226" s="20"/>
      <c r="B226" s="10"/>
      <c r="C226" s="10"/>
      <c r="D226" s="15">
        <f>IF(C226="","",IFERROR(INDEX(Alimentos!$B$5:$B$104,MATCH(C226,Alimentos!$A$5:$A$104,0)),""))</f>
      </c>
      <c r="E226" s="21"/>
      <c r="F226" s="21"/>
      <c r="G226" s="17">
        <f>IF(OR(E226="",F226=""),"",E226-F226)</f>
      </c>
      <c r="H226" s="18">
        <f>IF(OR(G226="",E226="",E226=0),"",G226/E226)</f>
      </c>
      <c r="I226" s="19">
        <f>IF(OR(E226="",C226=""),"",IFERROR(E226*INDEX(Alimentos!$C$5:$C$104,MATCH(C226,Alimentos!$A$5:$A$104,0)),""))</f>
      </c>
      <c r="J226" s="10"/>
      <c r="K226" s="10"/>
      <c r="L226" s="10"/>
    </row>
    <row r="227" spans="1:12" x14ac:dyDescent="0.25">
      <c r="A227" s="20"/>
      <c r="B227" s="10"/>
      <c r="C227" s="10"/>
      <c r="D227" s="15">
        <f>IF(C227="","",IFERROR(INDEX(Alimentos!$B$5:$B$104,MATCH(C227,Alimentos!$A$5:$A$104,0)),""))</f>
      </c>
      <c r="E227" s="21"/>
      <c r="F227" s="21"/>
      <c r="G227" s="17">
        <f>IF(OR(E227="",F227=""),"",E227-F227)</f>
      </c>
      <c r="H227" s="18">
        <f>IF(OR(G227="",E227="",E227=0),"",G227/E227)</f>
      </c>
      <c r="I227" s="19">
        <f>IF(OR(E227="",C227=""),"",IFERROR(E227*INDEX(Alimentos!$C$5:$C$104,MATCH(C227,Alimentos!$A$5:$A$104,0)),""))</f>
      </c>
      <c r="J227" s="10"/>
      <c r="K227" s="10"/>
      <c r="L227" s="10"/>
    </row>
    <row r="228" spans="1:12" x14ac:dyDescent="0.25">
      <c r="A228" s="20"/>
      <c r="B228" s="10"/>
      <c r="C228" s="10"/>
      <c r="D228" s="15">
        <f>IF(C228="","",IFERROR(INDEX(Alimentos!$B$5:$B$104,MATCH(C228,Alimentos!$A$5:$A$104,0)),""))</f>
      </c>
      <c r="E228" s="21"/>
      <c r="F228" s="21"/>
      <c r="G228" s="17">
        <f>IF(OR(E228="",F228=""),"",E228-F228)</f>
      </c>
      <c r="H228" s="18">
        <f>IF(OR(G228="",E228="",E228=0),"",G228/E228)</f>
      </c>
      <c r="I228" s="19">
        <f>IF(OR(E228="",C228=""),"",IFERROR(E228*INDEX(Alimentos!$C$5:$C$104,MATCH(C228,Alimentos!$A$5:$A$104,0)),""))</f>
      </c>
      <c r="J228" s="10"/>
      <c r="K228" s="10"/>
      <c r="L228" s="10"/>
    </row>
    <row r="229" spans="1:12" x14ac:dyDescent="0.25">
      <c r="A229" s="20"/>
      <c r="B229" s="10"/>
      <c r="C229" s="10"/>
      <c r="D229" s="15">
        <f>IF(C229="","",IFERROR(INDEX(Alimentos!$B$5:$B$104,MATCH(C229,Alimentos!$A$5:$A$104,0)),""))</f>
      </c>
      <c r="E229" s="21"/>
      <c r="F229" s="21"/>
      <c r="G229" s="17">
        <f>IF(OR(E229="",F229=""),"",E229-F229)</f>
      </c>
      <c r="H229" s="18">
        <f>IF(OR(G229="",E229="",E229=0),"",G229/E229)</f>
      </c>
      <c r="I229" s="19">
        <f>IF(OR(E229="",C229=""),"",IFERROR(E229*INDEX(Alimentos!$C$5:$C$104,MATCH(C229,Alimentos!$A$5:$A$104,0)),""))</f>
      </c>
      <c r="J229" s="10"/>
      <c r="K229" s="10"/>
      <c r="L229" s="10"/>
    </row>
    <row r="230" spans="1:12" x14ac:dyDescent="0.25">
      <c r="A230" s="20"/>
      <c r="B230" s="10"/>
      <c r="C230" s="10"/>
      <c r="D230" s="15">
        <f>IF(C230="","",IFERROR(INDEX(Alimentos!$B$5:$B$104,MATCH(C230,Alimentos!$A$5:$A$104,0)),""))</f>
      </c>
      <c r="E230" s="21"/>
      <c r="F230" s="21"/>
      <c r="G230" s="17">
        <f>IF(OR(E230="",F230=""),"",E230-F230)</f>
      </c>
      <c r="H230" s="18">
        <f>IF(OR(G230="",E230="",E230=0),"",G230/E230)</f>
      </c>
      <c r="I230" s="19">
        <f>IF(OR(E230="",C230=""),"",IFERROR(E230*INDEX(Alimentos!$C$5:$C$104,MATCH(C230,Alimentos!$A$5:$A$104,0)),""))</f>
      </c>
      <c r="J230" s="10"/>
      <c r="K230" s="10"/>
      <c r="L230" s="10"/>
    </row>
    <row r="231" spans="1:12" x14ac:dyDescent="0.25">
      <c r="A231" s="20"/>
      <c r="B231" s="10"/>
      <c r="C231" s="10"/>
      <c r="D231" s="15">
        <f>IF(C231="","",IFERROR(INDEX(Alimentos!$B$5:$B$104,MATCH(C231,Alimentos!$A$5:$A$104,0)),""))</f>
      </c>
      <c r="E231" s="21"/>
      <c r="F231" s="21"/>
      <c r="G231" s="17">
        <f>IF(OR(E231="",F231=""),"",E231-F231)</f>
      </c>
      <c r="H231" s="18">
        <f>IF(OR(G231="",E231="",E231=0),"",G231/E231)</f>
      </c>
      <c r="I231" s="19">
        <f>IF(OR(E231="",C231=""),"",IFERROR(E231*INDEX(Alimentos!$C$5:$C$104,MATCH(C231,Alimentos!$A$5:$A$104,0)),""))</f>
      </c>
      <c r="J231" s="10"/>
      <c r="K231" s="10"/>
      <c r="L231" s="10"/>
    </row>
    <row r="232" spans="1:12" x14ac:dyDescent="0.25">
      <c r="A232" s="20"/>
      <c r="B232" s="10"/>
      <c r="C232" s="10"/>
      <c r="D232" s="15">
        <f>IF(C232="","",IFERROR(INDEX(Alimentos!$B$5:$B$104,MATCH(C232,Alimentos!$A$5:$A$104,0)),""))</f>
      </c>
      <c r="E232" s="21"/>
      <c r="F232" s="21"/>
      <c r="G232" s="17">
        <f>IF(OR(E232="",F232=""),"",E232-F232)</f>
      </c>
      <c r="H232" s="18">
        <f>IF(OR(G232="",E232="",E232=0),"",G232/E232)</f>
      </c>
      <c r="I232" s="19">
        <f>IF(OR(E232="",C232=""),"",IFERROR(E232*INDEX(Alimentos!$C$5:$C$104,MATCH(C232,Alimentos!$A$5:$A$104,0)),""))</f>
      </c>
      <c r="J232" s="10"/>
      <c r="K232" s="10"/>
      <c r="L232" s="10"/>
    </row>
    <row r="233" spans="1:12" x14ac:dyDescent="0.25">
      <c r="A233" s="20"/>
      <c r="B233" s="10"/>
      <c r="C233" s="10"/>
      <c r="D233" s="15">
        <f>IF(C233="","",IFERROR(INDEX(Alimentos!$B$5:$B$104,MATCH(C233,Alimentos!$A$5:$A$104,0)),""))</f>
      </c>
      <c r="E233" s="21"/>
      <c r="F233" s="21"/>
      <c r="G233" s="17">
        <f>IF(OR(E233="",F233=""),"",E233-F233)</f>
      </c>
      <c r="H233" s="18">
        <f>IF(OR(G233="",E233="",E233=0),"",G233/E233)</f>
      </c>
      <c r="I233" s="19">
        <f>IF(OR(E233="",C233=""),"",IFERROR(E233*INDEX(Alimentos!$C$5:$C$104,MATCH(C233,Alimentos!$A$5:$A$104,0)),""))</f>
      </c>
      <c r="J233" s="10"/>
      <c r="K233" s="10"/>
      <c r="L233" s="10"/>
    </row>
    <row r="234" spans="1:12" x14ac:dyDescent="0.25">
      <c r="A234" s="20"/>
      <c r="B234" s="10"/>
      <c r="C234" s="10"/>
      <c r="D234" s="15">
        <f>IF(C234="","",IFERROR(INDEX(Alimentos!$B$5:$B$104,MATCH(C234,Alimentos!$A$5:$A$104,0)),""))</f>
      </c>
      <c r="E234" s="21"/>
      <c r="F234" s="21"/>
      <c r="G234" s="17">
        <f>IF(OR(E234="",F234=""),"",E234-F234)</f>
      </c>
      <c r="H234" s="18">
        <f>IF(OR(G234="",E234="",E234=0),"",G234/E234)</f>
      </c>
      <c r="I234" s="19">
        <f>IF(OR(E234="",C234=""),"",IFERROR(E234*INDEX(Alimentos!$C$5:$C$104,MATCH(C234,Alimentos!$A$5:$A$104,0)),""))</f>
      </c>
      <c r="J234" s="10"/>
      <c r="K234" s="10"/>
      <c r="L234" s="10"/>
    </row>
    <row r="235" spans="1:12" x14ac:dyDescent="0.25">
      <c r="A235" s="20"/>
      <c r="B235" s="10"/>
      <c r="C235" s="10"/>
      <c r="D235" s="15">
        <f>IF(C235="","",IFERROR(INDEX(Alimentos!$B$5:$B$104,MATCH(C235,Alimentos!$A$5:$A$104,0)),""))</f>
      </c>
      <c r="E235" s="21"/>
      <c r="F235" s="21"/>
      <c r="G235" s="17">
        <f>IF(OR(E235="",F235=""),"",E235-F235)</f>
      </c>
      <c r="H235" s="18">
        <f>IF(OR(G235="",E235="",E235=0),"",G235/E235)</f>
      </c>
      <c r="I235" s="19">
        <f>IF(OR(E235="",C235=""),"",IFERROR(E235*INDEX(Alimentos!$C$5:$C$104,MATCH(C235,Alimentos!$A$5:$A$104,0)),""))</f>
      </c>
      <c r="J235" s="10"/>
      <c r="K235" s="10"/>
      <c r="L235" s="10"/>
    </row>
    <row r="236" spans="1:12" x14ac:dyDescent="0.25">
      <c r="A236" s="20"/>
      <c r="B236" s="10"/>
      <c r="C236" s="10"/>
      <c r="D236" s="15">
        <f>IF(C236="","",IFERROR(INDEX(Alimentos!$B$5:$B$104,MATCH(C236,Alimentos!$A$5:$A$104,0)),""))</f>
      </c>
      <c r="E236" s="21"/>
      <c r="F236" s="21"/>
      <c r="G236" s="17">
        <f>IF(OR(E236="",F236=""),"",E236-F236)</f>
      </c>
      <c r="H236" s="18">
        <f>IF(OR(G236="",E236="",E236=0),"",G236/E236)</f>
      </c>
      <c r="I236" s="19">
        <f>IF(OR(E236="",C236=""),"",IFERROR(E236*INDEX(Alimentos!$C$5:$C$104,MATCH(C236,Alimentos!$A$5:$A$104,0)),""))</f>
      </c>
      <c r="J236" s="10"/>
      <c r="K236" s="10"/>
      <c r="L236" s="10"/>
    </row>
    <row r="237" spans="1:12" x14ac:dyDescent="0.25">
      <c r="A237" s="20"/>
      <c r="B237" s="10"/>
      <c r="C237" s="10"/>
      <c r="D237" s="15">
        <f>IF(C237="","",IFERROR(INDEX(Alimentos!$B$5:$B$104,MATCH(C237,Alimentos!$A$5:$A$104,0)),""))</f>
      </c>
      <c r="E237" s="21"/>
      <c r="F237" s="21"/>
      <c r="G237" s="17">
        <f>IF(OR(E237="",F237=""),"",E237-F237)</f>
      </c>
      <c r="H237" s="18">
        <f>IF(OR(G237="",E237="",E237=0),"",G237/E237)</f>
      </c>
      <c r="I237" s="19">
        <f>IF(OR(E237="",C237=""),"",IFERROR(E237*INDEX(Alimentos!$C$5:$C$104,MATCH(C237,Alimentos!$A$5:$A$104,0)),""))</f>
      </c>
      <c r="J237" s="10"/>
      <c r="K237" s="10"/>
      <c r="L237" s="10"/>
    </row>
    <row r="238" spans="1:12" x14ac:dyDescent="0.25">
      <c r="A238" s="20"/>
      <c r="B238" s="10"/>
      <c r="C238" s="10"/>
      <c r="D238" s="15">
        <f>IF(C238="","",IFERROR(INDEX(Alimentos!$B$5:$B$104,MATCH(C238,Alimentos!$A$5:$A$104,0)),""))</f>
      </c>
      <c r="E238" s="21"/>
      <c r="F238" s="21"/>
      <c r="G238" s="17">
        <f>IF(OR(E238="",F238=""),"",E238-F238)</f>
      </c>
      <c r="H238" s="18">
        <f>IF(OR(G238="",E238="",E238=0),"",G238/E238)</f>
      </c>
      <c r="I238" s="19">
        <f>IF(OR(E238="",C238=""),"",IFERROR(E238*INDEX(Alimentos!$C$5:$C$104,MATCH(C238,Alimentos!$A$5:$A$104,0)),""))</f>
      </c>
      <c r="J238" s="10"/>
      <c r="K238" s="10"/>
      <c r="L238" s="10"/>
    </row>
    <row r="239" spans="1:12" x14ac:dyDescent="0.25">
      <c r="A239" s="20"/>
      <c r="B239" s="10"/>
      <c r="C239" s="10"/>
      <c r="D239" s="15">
        <f>IF(C239="","",IFERROR(INDEX(Alimentos!$B$5:$B$104,MATCH(C239,Alimentos!$A$5:$A$104,0)),""))</f>
      </c>
      <c r="E239" s="21"/>
      <c r="F239" s="21"/>
      <c r="G239" s="17">
        <f>IF(OR(E239="",F239=""),"",E239-F239)</f>
      </c>
      <c r="H239" s="18">
        <f>IF(OR(G239="",E239="",E239=0),"",G239/E239)</f>
      </c>
      <c r="I239" s="19">
        <f>IF(OR(E239="",C239=""),"",IFERROR(E239*INDEX(Alimentos!$C$5:$C$104,MATCH(C239,Alimentos!$A$5:$A$104,0)),""))</f>
      </c>
      <c r="J239" s="10"/>
      <c r="K239" s="10"/>
      <c r="L239" s="10"/>
    </row>
    <row r="240" spans="1:12" x14ac:dyDescent="0.25">
      <c r="A240" s="20"/>
      <c r="B240" s="10"/>
      <c r="C240" s="10"/>
      <c r="D240" s="15">
        <f>IF(C240="","",IFERROR(INDEX(Alimentos!$B$5:$B$104,MATCH(C240,Alimentos!$A$5:$A$104,0)),""))</f>
      </c>
      <c r="E240" s="21"/>
      <c r="F240" s="21"/>
      <c r="G240" s="17">
        <f>IF(OR(E240="",F240=""),"",E240-F240)</f>
      </c>
      <c r="H240" s="18">
        <f>IF(OR(G240="",E240="",E240=0),"",G240/E240)</f>
      </c>
      <c r="I240" s="19">
        <f>IF(OR(E240="",C240=""),"",IFERROR(E240*INDEX(Alimentos!$C$5:$C$104,MATCH(C240,Alimentos!$A$5:$A$104,0)),""))</f>
      </c>
      <c r="J240" s="10"/>
      <c r="K240" s="10"/>
      <c r="L240" s="10"/>
    </row>
    <row r="241" spans="1:12" x14ac:dyDescent="0.25">
      <c r="A241" s="20"/>
      <c r="B241" s="10"/>
      <c r="C241" s="10"/>
      <c r="D241" s="15">
        <f>IF(C241="","",IFERROR(INDEX(Alimentos!$B$5:$B$104,MATCH(C241,Alimentos!$A$5:$A$104,0)),""))</f>
      </c>
      <c r="E241" s="21"/>
      <c r="F241" s="21"/>
      <c r="G241" s="17">
        <f>IF(OR(E241="",F241=""),"",E241-F241)</f>
      </c>
      <c r="H241" s="18">
        <f>IF(OR(G241="",E241="",E241=0),"",G241/E241)</f>
      </c>
      <c r="I241" s="19">
        <f>IF(OR(E241="",C241=""),"",IFERROR(E241*INDEX(Alimentos!$C$5:$C$104,MATCH(C241,Alimentos!$A$5:$A$104,0)),""))</f>
      </c>
      <c r="J241" s="10"/>
      <c r="K241" s="10"/>
      <c r="L241" s="10"/>
    </row>
    <row r="242" spans="1:12" x14ac:dyDescent="0.25">
      <c r="A242" s="20"/>
      <c r="B242" s="10"/>
      <c r="C242" s="10"/>
      <c r="D242" s="15">
        <f>IF(C242="","",IFERROR(INDEX(Alimentos!$B$5:$B$104,MATCH(C242,Alimentos!$A$5:$A$104,0)),""))</f>
      </c>
      <c r="E242" s="21"/>
      <c r="F242" s="21"/>
      <c r="G242" s="17">
        <f>IF(OR(E242="",F242=""),"",E242-F242)</f>
      </c>
      <c r="H242" s="18">
        <f>IF(OR(G242="",E242="",E242=0),"",G242/E242)</f>
      </c>
      <c r="I242" s="19">
        <f>IF(OR(E242="",C242=""),"",IFERROR(E242*INDEX(Alimentos!$C$5:$C$104,MATCH(C242,Alimentos!$A$5:$A$104,0)),""))</f>
      </c>
      <c r="J242" s="10"/>
      <c r="K242" s="10"/>
      <c r="L242" s="10"/>
    </row>
    <row r="243" spans="1:12" x14ac:dyDescent="0.25">
      <c r="A243" s="20"/>
      <c r="B243" s="10"/>
      <c r="C243" s="10"/>
      <c r="D243" s="15">
        <f>IF(C243="","",IFERROR(INDEX(Alimentos!$B$5:$B$104,MATCH(C243,Alimentos!$A$5:$A$104,0)),""))</f>
      </c>
      <c r="E243" s="21"/>
      <c r="F243" s="21"/>
      <c r="G243" s="17">
        <f>IF(OR(E243="",F243=""),"",E243-F243)</f>
      </c>
      <c r="H243" s="18">
        <f>IF(OR(G243="",E243="",E243=0),"",G243/E243)</f>
      </c>
      <c r="I243" s="19">
        <f>IF(OR(E243="",C243=""),"",IFERROR(E243*INDEX(Alimentos!$C$5:$C$104,MATCH(C243,Alimentos!$A$5:$A$104,0)),""))</f>
      </c>
      <c r="J243" s="10"/>
      <c r="K243" s="10"/>
      <c r="L243" s="10"/>
    </row>
    <row r="244" spans="1:12" x14ac:dyDescent="0.25">
      <c r="A244" s="20"/>
      <c r="B244" s="10"/>
      <c r="C244" s="10"/>
      <c r="D244" s="15">
        <f>IF(C244="","",IFERROR(INDEX(Alimentos!$B$5:$B$104,MATCH(C244,Alimentos!$A$5:$A$104,0)),""))</f>
      </c>
      <c r="E244" s="21"/>
      <c r="F244" s="21"/>
      <c r="G244" s="17">
        <f>IF(OR(E244="",F244=""),"",E244-F244)</f>
      </c>
      <c r="H244" s="18">
        <f>IF(OR(G244="",E244="",E244=0),"",G244/E244)</f>
      </c>
      <c r="I244" s="19">
        <f>IF(OR(E244="",C244=""),"",IFERROR(E244*INDEX(Alimentos!$C$5:$C$104,MATCH(C244,Alimentos!$A$5:$A$104,0)),""))</f>
      </c>
      <c r="J244" s="10"/>
      <c r="K244" s="10"/>
      <c r="L244" s="10"/>
    </row>
    <row r="245" spans="1:12" x14ac:dyDescent="0.25">
      <c r="A245" s="20"/>
      <c r="B245" s="10"/>
      <c r="C245" s="10"/>
      <c r="D245" s="15">
        <f>IF(C245="","",IFERROR(INDEX(Alimentos!$B$5:$B$104,MATCH(C245,Alimentos!$A$5:$A$104,0)),""))</f>
      </c>
      <c r="E245" s="21"/>
      <c r="F245" s="21"/>
      <c r="G245" s="17">
        <f>IF(OR(E245="",F245=""),"",E245-F245)</f>
      </c>
      <c r="H245" s="18">
        <f>IF(OR(G245="",E245="",E245=0),"",G245/E245)</f>
      </c>
      <c r="I245" s="19">
        <f>IF(OR(E245="",C245=""),"",IFERROR(E245*INDEX(Alimentos!$C$5:$C$104,MATCH(C245,Alimentos!$A$5:$A$104,0)),""))</f>
      </c>
      <c r="J245" s="10"/>
      <c r="K245" s="10"/>
      <c r="L245" s="10"/>
    </row>
    <row r="246" spans="1:12" x14ac:dyDescent="0.25">
      <c r="A246" s="20"/>
      <c r="B246" s="10"/>
      <c r="C246" s="10"/>
      <c r="D246" s="15">
        <f>IF(C246="","",IFERROR(INDEX(Alimentos!$B$5:$B$104,MATCH(C246,Alimentos!$A$5:$A$104,0)),""))</f>
      </c>
      <c r="E246" s="21"/>
      <c r="F246" s="21"/>
      <c r="G246" s="17">
        <f>IF(OR(E246="",F246=""),"",E246-F246)</f>
      </c>
      <c r="H246" s="18">
        <f>IF(OR(G246="",E246="",E246=0),"",G246/E246)</f>
      </c>
      <c r="I246" s="19">
        <f>IF(OR(E246="",C246=""),"",IFERROR(E246*INDEX(Alimentos!$C$5:$C$104,MATCH(C246,Alimentos!$A$5:$A$104,0)),""))</f>
      </c>
      <c r="J246" s="10"/>
      <c r="K246" s="10"/>
      <c r="L246" s="10"/>
    </row>
    <row r="247" spans="1:12" x14ac:dyDescent="0.25">
      <c r="A247" s="20"/>
      <c r="B247" s="10"/>
      <c r="C247" s="10"/>
      <c r="D247" s="15">
        <f>IF(C247="","",IFERROR(INDEX(Alimentos!$B$5:$B$104,MATCH(C247,Alimentos!$A$5:$A$104,0)),""))</f>
      </c>
      <c r="E247" s="21"/>
      <c r="F247" s="21"/>
      <c r="G247" s="17">
        <f>IF(OR(E247="",F247=""),"",E247-F247)</f>
      </c>
      <c r="H247" s="18">
        <f>IF(OR(G247="",E247="",E247=0),"",G247/E247)</f>
      </c>
      <c r="I247" s="19">
        <f>IF(OR(E247="",C247=""),"",IFERROR(E247*INDEX(Alimentos!$C$5:$C$104,MATCH(C247,Alimentos!$A$5:$A$104,0)),""))</f>
      </c>
      <c r="J247" s="10"/>
      <c r="K247" s="10"/>
      <c r="L247" s="10"/>
    </row>
    <row r="248" spans="1:12" x14ac:dyDescent="0.25">
      <c r="A248" s="20"/>
      <c r="B248" s="10"/>
      <c r="C248" s="10"/>
      <c r="D248" s="15">
        <f>IF(C248="","",IFERROR(INDEX(Alimentos!$B$5:$B$104,MATCH(C248,Alimentos!$A$5:$A$104,0)),""))</f>
      </c>
      <c r="E248" s="21"/>
      <c r="F248" s="21"/>
      <c r="G248" s="17">
        <f>IF(OR(E248="",F248=""),"",E248-F248)</f>
      </c>
      <c r="H248" s="18">
        <f>IF(OR(G248="",E248="",E248=0),"",G248/E248)</f>
      </c>
      <c r="I248" s="19">
        <f>IF(OR(E248="",C248=""),"",IFERROR(E248*INDEX(Alimentos!$C$5:$C$104,MATCH(C248,Alimentos!$A$5:$A$104,0)),""))</f>
      </c>
      <c r="J248" s="10"/>
      <c r="K248" s="10"/>
      <c r="L248" s="10"/>
    </row>
    <row r="249" spans="1:12" x14ac:dyDescent="0.25">
      <c r="A249" s="20"/>
      <c r="B249" s="10"/>
      <c r="C249" s="10"/>
      <c r="D249" s="15">
        <f>IF(C249="","",IFERROR(INDEX(Alimentos!$B$5:$B$104,MATCH(C249,Alimentos!$A$5:$A$104,0)),""))</f>
      </c>
      <c r="E249" s="21"/>
      <c r="F249" s="21"/>
      <c r="G249" s="17">
        <f>IF(OR(E249="",F249=""),"",E249-F249)</f>
      </c>
      <c r="H249" s="18">
        <f>IF(OR(G249="",E249="",E249=0),"",G249/E249)</f>
      </c>
      <c r="I249" s="19">
        <f>IF(OR(E249="",C249=""),"",IFERROR(E249*INDEX(Alimentos!$C$5:$C$104,MATCH(C249,Alimentos!$A$5:$A$104,0)),""))</f>
      </c>
      <c r="J249" s="10"/>
      <c r="K249" s="10"/>
      <c r="L249" s="10"/>
    </row>
    <row r="250" spans="1:12" x14ac:dyDescent="0.25">
      <c r="A250" s="20"/>
      <c r="B250" s="10"/>
      <c r="C250" s="10"/>
      <c r="D250" s="15">
        <f>IF(C250="","",IFERROR(INDEX(Alimentos!$B$5:$B$104,MATCH(C250,Alimentos!$A$5:$A$104,0)),""))</f>
      </c>
      <c r="E250" s="21"/>
      <c r="F250" s="21"/>
      <c r="G250" s="17">
        <f>IF(OR(E250="",F250=""),"",E250-F250)</f>
      </c>
      <c r="H250" s="18">
        <f>IF(OR(G250="",E250="",E250=0),"",G250/E250)</f>
      </c>
      <c r="I250" s="19">
        <f>IF(OR(E250="",C250=""),"",IFERROR(E250*INDEX(Alimentos!$C$5:$C$104,MATCH(C250,Alimentos!$A$5:$A$104,0)),""))</f>
      </c>
      <c r="J250" s="10"/>
      <c r="K250" s="10"/>
      <c r="L250" s="10"/>
    </row>
    <row r="251" spans="1:12" x14ac:dyDescent="0.25">
      <c r="A251" s="20"/>
      <c r="B251" s="10"/>
      <c r="C251" s="10"/>
      <c r="D251" s="15">
        <f>IF(C251="","",IFERROR(INDEX(Alimentos!$B$5:$B$104,MATCH(C251,Alimentos!$A$5:$A$104,0)),""))</f>
      </c>
      <c r="E251" s="21"/>
      <c r="F251" s="21"/>
      <c r="G251" s="17">
        <f>IF(OR(E251="",F251=""),"",E251-F251)</f>
      </c>
      <c r="H251" s="18">
        <f>IF(OR(G251="",E251="",E251=0),"",G251/E251)</f>
      </c>
      <c r="I251" s="19">
        <f>IF(OR(E251="",C251=""),"",IFERROR(E251*INDEX(Alimentos!$C$5:$C$104,MATCH(C251,Alimentos!$A$5:$A$104,0)),""))</f>
      </c>
      <c r="J251" s="10"/>
      <c r="K251" s="10"/>
      <c r="L251" s="10"/>
    </row>
    <row r="252" spans="1:12" x14ac:dyDescent="0.25">
      <c r="A252" s="20"/>
      <c r="B252" s="10"/>
      <c r="C252" s="10"/>
      <c r="D252" s="15">
        <f>IF(C252="","",IFERROR(INDEX(Alimentos!$B$5:$B$104,MATCH(C252,Alimentos!$A$5:$A$104,0)),""))</f>
      </c>
      <c r="E252" s="21"/>
      <c r="F252" s="21"/>
      <c r="G252" s="17">
        <f>IF(OR(E252="",F252=""),"",E252-F252)</f>
      </c>
      <c r="H252" s="18">
        <f>IF(OR(G252="",E252="",E252=0),"",G252/E252)</f>
      </c>
      <c r="I252" s="19">
        <f>IF(OR(E252="",C252=""),"",IFERROR(E252*INDEX(Alimentos!$C$5:$C$104,MATCH(C252,Alimentos!$A$5:$A$104,0)),""))</f>
      </c>
      <c r="J252" s="10"/>
      <c r="K252" s="10"/>
      <c r="L252" s="10"/>
    </row>
    <row r="253" spans="1:12" x14ac:dyDescent="0.25">
      <c r="A253" s="20"/>
      <c r="B253" s="10"/>
      <c r="C253" s="10"/>
      <c r="D253" s="15">
        <f>IF(C253="","",IFERROR(INDEX(Alimentos!$B$5:$B$104,MATCH(C253,Alimentos!$A$5:$A$104,0)),""))</f>
      </c>
      <c r="E253" s="21"/>
      <c r="F253" s="21"/>
      <c r="G253" s="17">
        <f>IF(OR(E253="",F253=""),"",E253-F253)</f>
      </c>
      <c r="H253" s="18">
        <f>IF(OR(G253="",E253="",E253=0),"",G253/E253)</f>
      </c>
      <c r="I253" s="19">
        <f>IF(OR(E253="",C253=""),"",IFERROR(E253*INDEX(Alimentos!$C$5:$C$104,MATCH(C253,Alimentos!$A$5:$A$104,0)),""))</f>
      </c>
      <c r="J253" s="10"/>
      <c r="K253" s="10"/>
      <c r="L253" s="10"/>
    </row>
    <row r="254" spans="1:12" x14ac:dyDescent="0.25">
      <c r="A254" s="20"/>
      <c r="B254" s="10"/>
      <c r="C254" s="10"/>
      <c r="D254" s="15">
        <f>IF(C254="","",IFERROR(INDEX(Alimentos!$B$5:$B$104,MATCH(C254,Alimentos!$A$5:$A$104,0)),""))</f>
      </c>
      <c r="E254" s="21"/>
      <c r="F254" s="21"/>
      <c r="G254" s="17">
        <f>IF(OR(E254="",F254=""),"",E254-F254)</f>
      </c>
      <c r="H254" s="18">
        <f>IF(OR(G254="",E254="",E254=0),"",G254/E254)</f>
      </c>
      <c r="I254" s="19">
        <f>IF(OR(E254="",C254=""),"",IFERROR(E254*INDEX(Alimentos!$C$5:$C$104,MATCH(C254,Alimentos!$A$5:$A$104,0)),""))</f>
      </c>
      <c r="J254" s="10"/>
      <c r="K254" s="10"/>
      <c r="L254" s="10"/>
    </row>
    <row r="255" spans="1:12" x14ac:dyDescent="0.25">
      <c r="A255" s="20"/>
      <c r="B255" s="10"/>
      <c r="C255" s="10"/>
      <c r="D255" s="15">
        <f>IF(C255="","",IFERROR(INDEX(Alimentos!$B$5:$B$104,MATCH(C255,Alimentos!$A$5:$A$104,0)),""))</f>
      </c>
      <c r="E255" s="21"/>
      <c r="F255" s="21"/>
      <c r="G255" s="17">
        <f>IF(OR(E255="",F255=""),"",E255-F255)</f>
      </c>
      <c r="H255" s="18">
        <f>IF(OR(G255="",E255="",E255=0),"",G255/E255)</f>
      </c>
      <c r="I255" s="19">
        <f>IF(OR(E255="",C255=""),"",IFERROR(E255*INDEX(Alimentos!$C$5:$C$104,MATCH(C255,Alimentos!$A$5:$A$104,0)),""))</f>
      </c>
      <c r="J255" s="10"/>
      <c r="K255" s="10"/>
      <c r="L255" s="10"/>
    </row>
    <row r="256" spans="1:12" x14ac:dyDescent="0.25">
      <c r="A256" s="20"/>
      <c r="B256" s="10"/>
      <c r="C256" s="10"/>
      <c r="D256" s="15">
        <f>IF(C256="","",IFERROR(INDEX(Alimentos!$B$5:$B$104,MATCH(C256,Alimentos!$A$5:$A$104,0)),""))</f>
      </c>
      <c r="E256" s="21"/>
      <c r="F256" s="21"/>
      <c r="G256" s="17">
        <f>IF(OR(E256="",F256=""),"",E256-F256)</f>
      </c>
      <c r="H256" s="18">
        <f>IF(OR(G256="",E256="",E256=0),"",G256/E256)</f>
      </c>
      <c r="I256" s="19">
        <f>IF(OR(E256="",C256=""),"",IFERROR(E256*INDEX(Alimentos!$C$5:$C$104,MATCH(C256,Alimentos!$A$5:$A$104,0)),""))</f>
      </c>
      <c r="J256" s="10"/>
      <c r="K256" s="10"/>
      <c r="L256" s="10"/>
    </row>
    <row r="257" spans="1:12" x14ac:dyDescent="0.25">
      <c r="A257" s="20"/>
      <c r="B257" s="10"/>
      <c r="C257" s="10"/>
      <c r="D257" s="15">
        <f>IF(C257="","",IFERROR(INDEX(Alimentos!$B$5:$B$104,MATCH(C257,Alimentos!$A$5:$A$104,0)),""))</f>
      </c>
      <c r="E257" s="21"/>
      <c r="F257" s="21"/>
      <c r="G257" s="17">
        <f>IF(OR(E257="",F257=""),"",E257-F257)</f>
      </c>
      <c r="H257" s="18">
        <f>IF(OR(G257="",E257="",E257=0),"",G257/E257)</f>
      </c>
      <c r="I257" s="19">
        <f>IF(OR(E257="",C257=""),"",IFERROR(E257*INDEX(Alimentos!$C$5:$C$104,MATCH(C257,Alimentos!$A$5:$A$104,0)),""))</f>
      </c>
      <c r="J257" s="10"/>
      <c r="K257" s="10"/>
      <c r="L257" s="10"/>
    </row>
    <row r="258" spans="1:12" x14ac:dyDescent="0.25">
      <c r="A258" s="20"/>
      <c r="B258" s="10"/>
      <c r="C258" s="10"/>
      <c r="D258" s="15">
        <f>IF(C258="","",IFERROR(INDEX(Alimentos!$B$5:$B$104,MATCH(C258,Alimentos!$A$5:$A$104,0)),""))</f>
      </c>
      <c r="E258" s="21"/>
      <c r="F258" s="21"/>
      <c r="G258" s="17">
        <f>IF(OR(E258="",F258=""),"",E258-F258)</f>
      </c>
      <c r="H258" s="18">
        <f>IF(OR(G258="",E258="",E258=0),"",G258/E258)</f>
      </c>
      <c r="I258" s="19">
        <f>IF(OR(E258="",C258=""),"",IFERROR(E258*INDEX(Alimentos!$C$5:$C$104,MATCH(C258,Alimentos!$A$5:$A$104,0)),""))</f>
      </c>
      <c r="J258" s="10"/>
      <c r="K258" s="10"/>
      <c r="L258" s="10"/>
    </row>
    <row r="259" spans="1:12" x14ac:dyDescent="0.25">
      <c r="A259" s="20"/>
      <c r="B259" s="10"/>
      <c r="C259" s="10"/>
      <c r="D259" s="15">
        <f>IF(C259="","",IFERROR(INDEX(Alimentos!$B$5:$B$104,MATCH(C259,Alimentos!$A$5:$A$104,0)),""))</f>
      </c>
      <c r="E259" s="21"/>
      <c r="F259" s="21"/>
      <c r="G259" s="17">
        <f>IF(OR(E259="",F259=""),"",E259-F259)</f>
      </c>
      <c r="H259" s="18">
        <f>IF(OR(G259="",E259="",E259=0),"",G259/E259)</f>
      </c>
      <c r="I259" s="19">
        <f>IF(OR(E259="",C259=""),"",IFERROR(E259*INDEX(Alimentos!$C$5:$C$104,MATCH(C259,Alimentos!$A$5:$A$104,0)),""))</f>
      </c>
      <c r="J259" s="10"/>
      <c r="K259" s="10"/>
      <c r="L259" s="10"/>
    </row>
    <row r="260" spans="1:12" x14ac:dyDescent="0.25">
      <c r="A260" s="20"/>
      <c r="B260" s="10"/>
      <c r="C260" s="10"/>
      <c r="D260" s="15">
        <f>IF(C260="","",IFERROR(INDEX(Alimentos!$B$5:$B$104,MATCH(C260,Alimentos!$A$5:$A$104,0)),""))</f>
      </c>
      <c r="E260" s="21"/>
      <c r="F260" s="21"/>
      <c r="G260" s="17">
        <f>IF(OR(E260="",F260=""),"",E260-F260)</f>
      </c>
      <c r="H260" s="18">
        <f>IF(OR(G260="",E260="",E260=0),"",G260/E260)</f>
      </c>
      <c r="I260" s="19">
        <f>IF(OR(E260="",C260=""),"",IFERROR(E260*INDEX(Alimentos!$C$5:$C$104,MATCH(C260,Alimentos!$A$5:$A$104,0)),""))</f>
      </c>
      <c r="J260" s="10"/>
      <c r="K260" s="10"/>
      <c r="L260" s="10"/>
    </row>
    <row r="261" spans="1:12" x14ac:dyDescent="0.25">
      <c r="A261" s="20"/>
      <c r="B261" s="10"/>
      <c r="C261" s="10"/>
      <c r="D261" s="15">
        <f>IF(C261="","",IFERROR(INDEX(Alimentos!$B$5:$B$104,MATCH(C261,Alimentos!$A$5:$A$104,0)),""))</f>
      </c>
      <c r="E261" s="21"/>
      <c r="F261" s="21"/>
      <c r="G261" s="17">
        <f>IF(OR(E261="",F261=""),"",E261-F261)</f>
      </c>
      <c r="H261" s="18">
        <f>IF(OR(G261="",E261="",E261=0),"",G261/E261)</f>
      </c>
      <c r="I261" s="19">
        <f>IF(OR(E261="",C261=""),"",IFERROR(E261*INDEX(Alimentos!$C$5:$C$104,MATCH(C261,Alimentos!$A$5:$A$104,0)),""))</f>
      </c>
      <c r="J261" s="10"/>
      <c r="K261" s="10"/>
      <c r="L261" s="10"/>
    </row>
    <row r="262" spans="1:12" x14ac:dyDescent="0.25">
      <c r="A262" s="20"/>
      <c r="B262" s="10"/>
      <c r="C262" s="10"/>
      <c r="D262" s="15">
        <f>IF(C262="","",IFERROR(INDEX(Alimentos!$B$5:$B$104,MATCH(C262,Alimentos!$A$5:$A$104,0)),""))</f>
      </c>
      <c r="E262" s="21"/>
      <c r="F262" s="21"/>
      <c r="G262" s="17">
        <f>IF(OR(E262="",F262=""),"",E262-F262)</f>
      </c>
      <c r="H262" s="18">
        <f>IF(OR(G262="",E262="",E262=0),"",G262/E262)</f>
      </c>
      <c r="I262" s="19">
        <f>IF(OR(E262="",C262=""),"",IFERROR(E262*INDEX(Alimentos!$C$5:$C$104,MATCH(C262,Alimentos!$A$5:$A$104,0)),""))</f>
      </c>
      <c r="J262" s="10"/>
      <c r="K262" s="10"/>
      <c r="L262" s="10"/>
    </row>
    <row r="263" spans="1:12" x14ac:dyDescent="0.25">
      <c r="A263" s="20"/>
      <c r="B263" s="10"/>
      <c r="C263" s="10"/>
      <c r="D263" s="15">
        <f>IF(C263="","",IFERROR(INDEX(Alimentos!$B$5:$B$104,MATCH(C263,Alimentos!$A$5:$A$104,0)),""))</f>
      </c>
      <c r="E263" s="21"/>
      <c r="F263" s="21"/>
      <c r="G263" s="17">
        <f>IF(OR(E263="",F263=""),"",E263-F263)</f>
      </c>
      <c r="H263" s="18">
        <f>IF(OR(G263="",E263="",E263=0),"",G263/E263)</f>
      </c>
      <c r="I263" s="19">
        <f>IF(OR(E263="",C263=""),"",IFERROR(E263*INDEX(Alimentos!$C$5:$C$104,MATCH(C263,Alimentos!$A$5:$A$104,0)),""))</f>
      </c>
      <c r="J263" s="10"/>
      <c r="K263" s="10"/>
      <c r="L263" s="10"/>
    </row>
    <row r="264" spans="1:12" x14ac:dyDescent="0.25">
      <c r="A264" s="20"/>
      <c r="B264" s="10"/>
      <c r="C264" s="10"/>
      <c r="D264" s="15">
        <f>IF(C264="","",IFERROR(INDEX(Alimentos!$B$5:$B$104,MATCH(C264,Alimentos!$A$5:$A$104,0)),""))</f>
      </c>
      <c r="E264" s="21"/>
      <c r="F264" s="21"/>
      <c r="G264" s="17">
        <f>IF(OR(E264="",F264=""),"",E264-F264)</f>
      </c>
      <c r="H264" s="18">
        <f>IF(OR(G264="",E264="",E264=0),"",G264/E264)</f>
      </c>
      <c r="I264" s="19">
        <f>IF(OR(E264="",C264=""),"",IFERROR(E264*INDEX(Alimentos!$C$5:$C$104,MATCH(C264,Alimentos!$A$5:$A$104,0)),""))</f>
      </c>
      <c r="J264" s="10"/>
      <c r="K264" s="10"/>
      <c r="L264" s="10"/>
    </row>
    <row r="265" spans="1:12" x14ac:dyDescent="0.25">
      <c r="A265" s="20"/>
      <c r="B265" s="10"/>
      <c r="C265" s="10"/>
      <c r="D265" s="15">
        <f>IF(C265="","",IFERROR(INDEX(Alimentos!$B$5:$B$104,MATCH(C265,Alimentos!$A$5:$A$104,0)),""))</f>
      </c>
      <c r="E265" s="21"/>
      <c r="F265" s="21"/>
      <c r="G265" s="17">
        <f>IF(OR(E265="",F265=""),"",E265-F265)</f>
      </c>
      <c r="H265" s="18">
        <f>IF(OR(G265="",E265="",E265=0),"",G265/E265)</f>
      </c>
      <c r="I265" s="19">
        <f>IF(OR(E265="",C265=""),"",IFERROR(E265*INDEX(Alimentos!$C$5:$C$104,MATCH(C265,Alimentos!$A$5:$A$104,0)),""))</f>
      </c>
      <c r="J265" s="10"/>
      <c r="K265" s="10"/>
      <c r="L265" s="10"/>
    </row>
    <row r="266" spans="1:12" x14ac:dyDescent="0.25">
      <c r="A266" s="20"/>
      <c r="B266" s="10"/>
      <c r="C266" s="10"/>
      <c r="D266" s="15">
        <f>IF(C266="","",IFERROR(INDEX(Alimentos!$B$5:$B$104,MATCH(C266,Alimentos!$A$5:$A$104,0)),""))</f>
      </c>
      <c r="E266" s="21"/>
      <c r="F266" s="21"/>
      <c r="G266" s="17">
        <f>IF(OR(E266="",F266=""),"",E266-F266)</f>
      </c>
      <c r="H266" s="18">
        <f>IF(OR(G266="",E266="",E266=0),"",G266/E266)</f>
      </c>
      <c r="I266" s="19">
        <f>IF(OR(E266="",C266=""),"",IFERROR(E266*INDEX(Alimentos!$C$5:$C$104,MATCH(C266,Alimentos!$A$5:$A$104,0)),""))</f>
      </c>
      <c r="J266" s="10"/>
      <c r="K266" s="10"/>
      <c r="L266" s="10"/>
    </row>
    <row r="267" spans="1:12" x14ac:dyDescent="0.25">
      <c r="A267" s="20"/>
      <c r="B267" s="10"/>
      <c r="C267" s="10"/>
      <c r="D267" s="15">
        <f>IF(C267="","",IFERROR(INDEX(Alimentos!$B$5:$B$104,MATCH(C267,Alimentos!$A$5:$A$104,0)),""))</f>
      </c>
      <c r="E267" s="21"/>
      <c r="F267" s="21"/>
      <c r="G267" s="17">
        <f>IF(OR(E267="",F267=""),"",E267-F267)</f>
      </c>
      <c r="H267" s="18">
        <f>IF(OR(G267="",E267="",E267=0),"",G267/E267)</f>
      </c>
      <c r="I267" s="19">
        <f>IF(OR(E267="",C267=""),"",IFERROR(E267*INDEX(Alimentos!$C$5:$C$104,MATCH(C267,Alimentos!$A$5:$A$104,0)),""))</f>
      </c>
      <c r="J267" s="10"/>
      <c r="K267" s="10"/>
      <c r="L267" s="10"/>
    </row>
    <row r="268" spans="1:12" x14ac:dyDescent="0.25">
      <c r="A268" s="20"/>
      <c r="B268" s="10"/>
      <c r="C268" s="10"/>
      <c r="D268" s="15">
        <f>IF(C268="","",IFERROR(INDEX(Alimentos!$B$5:$B$104,MATCH(C268,Alimentos!$A$5:$A$104,0)),""))</f>
      </c>
      <c r="E268" s="21"/>
      <c r="F268" s="21"/>
      <c r="G268" s="17">
        <f>IF(OR(E268="",F268=""),"",E268-F268)</f>
      </c>
      <c r="H268" s="18">
        <f>IF(OR(G268="",E268="",E268=0),"",G268/E268)</f>
      </c>
      <c r="I268" s="19">
        <f>IF(OR(E268="",C268=""),"",IFERROR(E268*INDEX(Alimentos!$C$5:$C$104,MATCH(C268,Alimentos!$A$5:$A$104,0)),""))</f>
      </c>
      <c r="J268" s="10"/>
      <c r="K268" s="10"/>
      <c r="L268" s="10"/>
    </row>
    <row r="269" spans="1:12" x14ac:dyDescent="0.25">
      <c r="A269" s="20"/>
      <c r="B269" s="10"/>
      <c r="C269" s="10"/>
      <c r="D269" s="15">
        <f>IF(C269="","",IFERROR(INDEX(Alimentos!$B$5:$B$104,MATCH(C269,Alimentos!$A$5:$A$104,0)),""))</f>
      </c>
      <c r="E269" s="21"/>
      <c r="F269" s="21"/>
      <c r="G269" s="17">
        <f>IF(OR(E269="",F269=""),"",E269-F269)</f>
      </c>
      <c r="H269" s="18">
        <f>IF(OR(G269="",E269="",E269=0),"",G269/E269)</f>
      </c>
      <c r="I269" s="19">
        <f>IF(OR(E269="",C269=""),"",IFERROR(E269*INDEX(Alimentos!$C$5:$C$104,MATCH(C269,Alimentos!$A$5:$A$104,0)),""))</f>
      </c>
      <c r="J269" s="10"/>
      <c r="K269" s="10"/>
      <c r="L269" s="10"/>
    </row>
    <row r="270" spans="1:12" x14ac:dyDescent="0.25">
      <c r="A270" s="20"/>
      <c r="B270" s="10"/>
      <c r="C270" s="10"/>
      <c r="D270" s="15">
        <f>IF(C270="","",IFERROR(INDEX(Alimentos!$B$5:$B$104,MATCH(C270,Alimentos!$A$5:$A$104,0)),""))</f>
      </c>
      <c r="E270" s="21"/>
      <c r="F270" s="21"/>
      <c r="G270" s="17">
        <f>IF(OR(E270="",F270=""),"",E270-F270)</f>
      </c>
      <c r="H270" s="18">
        <f>IF(OR(G270="",E270="",E270=0),"",G270/E270)</f>
      </c>
      <c r="I270" s="19">
        <f>IF(OR(E270="",C270=""),"",IFERROR(E270*INDEX(Alimentos!$C$5:$C$104,MATCH(C270,Alimentos!$A$5:$A$104,0)),""))</f>
      </c>
      <c r="J270" s="10"/>
      <c r="K270" s="10"/>
      <c r="L270" s="10"/>
    </row>
    <row r="271" spans="1:12" x14ac:dyDescent="0.25">
      <c r="A271" s="20"/>
      <c r="B271" s="10"/>
      <c r="C271" s="10"/>
      <c r="D271" s="15">
        <f>IF(C271="","",IFERROR(INDEX(Alimentos!$B$5:$B$104,MATCH(C271,Alimentos!$A$5:$A$104,0)),""))</f>
      </c>
      <c r="E271" s="21"/>
      <c r="F271" s="21"/>
      <c r="G271" s="17">
        <f>IF(OR(E271="",F271=""),"",E271-F271)</f>
      </c>
      <c r="H271" s="18">
        <f>IF(OR(G271="",E271="",E271=0),"",G271/E271)</f>
      </c>
      <c r="I271" s="19">
        <f>IF(OR(E271="",C271=""),"",IFERROR(E271*INDEX(Alimentos!$C$5:$C$104,MATCH(C271,Alimentos!$A$5:$A$104,0)),""))</f>
      </c>
      <c r="J271" s="10"/>
      <c r="K271" s="10"/>
      <c r="L271" s="10"/>
    </row>
    <row r="272" spans="1:12" x14ac:dyDescent="0.25">
      <c r="A272" s="20"/>
      <c r="B272" s="10"/>
      <c r="C272" s="10"/>
      <c r="D272" s="15">
        <f>IF(C272="","",IFERROR(INDEX(Alimentos!$B$5:$B$104,MATCH(C272,Alimentos!$A$5:$A$104,0)),""))</f>
      </c>
      <c r="E272" s="21"/>
      <c r="F272" s="21"/>
      <c r="G272" s="17">
        <f>IF(OR(E272="",F272=""),"",E272-F272)</f>
      </c>
      <c r="H272" s="18">
        <f>IF(OR(G272="",E272="",E272=0),"",G272/E272)</f>
      </c>
      <c r="I272" s="19">
        <f>IF(OR(E272="",C272=""),"",IFERROR(E272*INDEX(Alimentos!$C$5:$C$104,MATCH(C272,Alimentos!$A$5:$A$104,0)),""))</f>
      </c>
      <c r="J272" s="10"/>
      <c r="K272" s="10"/>
      <c r="L272" s="10"/>
    </row>
    <row r="273" spans="1:12" x14ac:dyDescent="0.25">
      <c r="A273" s="20"/>
      <c r="B273" s="10"/>
      <c r="C273" s="10"/>
      <c r="D273" s="15">
        <f>IF(C273="","",IFERROR(INDEX(Alimentos!$B$5:$B$104,MATCH(C273,Alimentos!$A$5:$A$104,0)),""))</f>
      </c>
      <c r="E273" s="21"/>
      <c r="F273" s="21"/>
      <c r="G273" s="17">
        <f>IF(OR(E273="",F273=""),"",E273-F273)</f>
      </c>
      <c r="H273" s="18">
        <f>IF(OR(G273="",E273="",E273=0),"",G273/E273)</f>
      </c>
      <c r="I273" s="19">
        <f>IF(OR(E273="",C273=""),"",IFERROR(E273*INDEX(Alimentos!$C$5:$C$104,MATCH(C273,Alimentos!$A$5:$A$104,0)),""))</f>
      </c>
      <c r="J273" s="10"/>
      <c r="K273" s="10"/>
      <c r="L273" s="10"/>
    </row>
    <row r="274" spans="1:12" x14ac:dyDescent="0.25">
      <c r="A274" s="20"/>
      <c r="B274" s="10"/>
      <c r="C274" s="10"/>
      <c r="D274" s="15">
        <f>IF(C274="","",IFERROR(INDEX(Alimentos!$B$5:$B$104,MATCH(C274,Alimentos!$A$5:$A$104,0)),""))</f>
      </c>
      <c r="E274" s="21"/>
      <c r="F274" s="21"/>
      <c r="G274" s="17">
        <f>IF(OR(E274="",F274=""),"",E274-F274)</f>
      </c>
      <c r="H274" s="18">
        <f>IF(OR(G274="",E274="",E274=0),"",G274/E274)</f>
      </c>
      <c r="I274" s="19">
        <f>IF(OR(E274="",C274=""),"",IFERROR(E274*INDEX(Alimentos!$C$5:$C$104,MATCH(C274,Alimentos!$A$5:$A$104,0)),""))</f>
      </c>
      <c r="J274" s="10"/>
      <c r="K274" s="10"/>
      <c r="L274" s="10"/>
    </row>
    <row r="275" spans="1:12" x14ac:dyDescent="0.25">
      <c r="A275" s="20"/>
      <c r="B275" s="10"/>
      <c r="C275" s="10"/>
      <c r="D275" s="15">
        <f>IF(C275="","",IFERROR(INDEX(Alimentos!$B$5:$B$104,MATCH(C275,Alimentos!$A$5:$A$104,0)),""))</f>
      </c>
      <c r="E275" s="21"/>
      <c r="F275" s="21"/>
      <c r="G275" s="17">
        <f>IF(OR(E275="",F275=""),"",E275-F275)</f>
      </c>
      <c r="H275" s="18">
        <f>IF(OR(G275="",E275="",E275=0),"",G275/E275)</f>
      </c>
      <c r="I275" s="19">
        <f>IF(OR(E275="",C275=""),"",IFERROR(E275*INDEX(Alimentos!$C$5:$C$104,MATCH(C275,Alimentos!$A$5:$A$104,0)),""))</f>
      </c>
      <c r="J275" s="10"/>
      <c r="K275" s="10"/>
      <c r="L275" s="10"/>
    </row>
    <row r="276" spans="1:12" x14ac:dyDescent="0.25">
      <c r="A276" s="20"/>
      <c r="B276" s="10"/>
      <c r="C276" s="10"/>
      <c r="D276" s="15">
        <f>IF(C276="","",IFERROR(INDEX(Alimentos!$B$5:$B$104,MATCH(C276,Alimentos!$A$5:$A$104,0)),""))</f>
      </c>
      <c r="E276" s="21"/>
      <c r="F276" s="21"/>
      <c r="G276" s="17">
        <f>IF(OR(E276="",F276=""),"",E276-F276)</f>
      </c>
      <c r="H276" s="18">
        <f>IF(OR(G276="",E276="",E276=0),"",G276/E276)</f>
      </c>
      <c r="I276" s="19">
        <f>IF(OR(E276="",C276=""),"",IFERROR(E276*INDEX(Alimentos!$C$5:$C$104,MATCH(C276,Alimentos!$A$5:$A$104,0)),""))</f>
      </c>
      <c r="J276" s="10"/>
      <c r="K276" s="10"/>
      <c r="L276" s="10"/>
    </row>
    <row r="277" spans="1:12" x14ac:dyDescent="0.25">
      <c r="A277" s="20"/>
      <c r="B277" s="10"/>
      <c r="C277" s="10"/>
      <c r="D277" s="15">
        <f>IF(C277="","",IFERROR(INDEX(Alimentos!$B$5:$B$104,MATCH(C277,Alimentos!$A$5:$A$104,0)),""))</f>
      </c>
      <c r="E277" s="21"/>
      <c r="F277" s="21"/>
      <c r="G277" s="17">
        <f>IF(OR(E277="",F277=""),"",E277-F277)</f>
      </c>
      <c r="H277" s="18">
        <f>IF(OR(G277="",E277="",E277=0),"",G277/E277)</f>
      </c>
      <c r="I277" s="19">
        <f>IF(OR(E277="",C277=""),"",IFERROR(E277*INDEX(Alimentos!$C$5:$C$104,MATCH(C277,Alimentos!$A$5:$A$104,0)),""))</f>
      </c>
      <c r="J277" s="10"/>
      <c r="K277" s="10"/>
      <c r="L277" s="10"/>
    </row>
    <row r="278" spans="1:12" x14ac:dyDescent="0.25">
      <c r="A278" s="20"/>
      <c r="B278" s="10"/>
      <c r="C278" s="10"/>
      <c r="D278" s="15">
        <f>IF(C278="","",IFERROR(INDEX(Alimentos!$B$5:$B$104,MATCH(C278,Alimentos!$A$5:$A$104,0)),""))</f>
      </c>
      <c r="E278" s="21"/>
      <c r="F278" s="21"/>
      <c r="G278" s="17">
        <f>IF(OR(E278="",F278=""),"",E278-F278)</f>
      </c>
      <c r="H278" s="18">
        <f>IF(OR(G278="",E278="",E278=0),"",G278/E278)</f>
      </c>
      <c r="I278" s="19">
        <f>IF(OR(E278="",C278=""),"",IFERROR(E278*INDEX(Alimentos!$C$5:$C$104,MATCH(C278,Alimentos!$A$5:$A$104,0)),""))</f>
      </c>
      <c r="J278" s="10"/>
      <c r="K278" s="10"/>
      <c r="L278" s="10"/>
    </row>
    <row r="279" spans="1:12" x14ac:dyDescent="0.25">
      <c r="A279" s="20"/>
      <c r="B279" s="10"/>
      <c r="C279" s="10"/>
      <c r="D279" s="15">
        <f>IF(C279="","",IFERROR(INDEX(Alimentos!$B$5:$B$104,MATCH(C279,Alimentos!$A$5:$A$104,0)),""))</f>
      </c>
      <c r="E279" s="21"/>
      <c r="F279" s="21"/>
      <c r="G279" s="17">
        <f>IF(OR(E279="",F279=""),"",E279-F279)</f>
      </c>
      <c r="H279" s="18">
        <f>IF(OR(G279="",E279="",E279=0),"",G279/E279)</f>
      </c>
      <c r="I279" s="19">
        <f>IF(OR(E279="",C279=""),"",IFERROR(E279*INDEX(Alimentos!$C$5:$C$104,MATCH(C279,Alimentos!$A$5:$A$104,0)),""))</f>
      </c>
      <c r="J279" s="10"/>
      <c r="K279" s="10"/>
      <c r="L279" s="10"/>
    </row>
    <row r="280" spans="1:12" x14ac:dyDescent="0.25">
      <c r="A280" s="20"/>
      <c r="B280" s="10"/>
      <c r="C280" s="10"/>
      <c r="D280" s="15">
        <f>IF(C280="","",IFERROR(INDEX(Alimentos!$B$5:$B$104,MATCH(C280,Alimentos!$A$5:$A$104,0)),""))</f>
      </c>
      <c r="E280" s="21"/>
      <c r="F280" s="21"/>
      <c r="G280" s="17">
        <f>IF(OR(E280="",F280=""),"",E280-F280)</f>
      </c>
      <c r="H280" s="18">
        <f>IF(OR(G280="",E280="",E280=0),"",G280/E280)</f>
      </c>
      <c r="I280" s="19">
        <f>IF(OR(E280="",C280=""),"",IFERROR(E280*INDEX(Alimentos!$C$5:$C$104,MATCH(C280,Alimentos!$A$5:$A$104,0)),""))</f>
      </c>
      <c r="J280" s="10"/>
      <c r="K280" s="10"/>
      <c r="L280" s="10"/>
    </row>
    <row r="281" spans="1:12" x14ac:dyDescent="0.25">
      <c r="A281" s="20"/>
      <c r="B281" s="10"/>
      <c r="C281" s="10"/>
      <c r="D281" s="15">
        <f>IF(C281="","",IFERROR(INDEX(Alimentos!$B$5:$B$104,MATCH(C281,Alimentos!$A$5:$A$104,0)),""))</f>
      </c>
      <c r="E281" s="21"/>
      <c r="F281" s="21"/>
      <c r="G281" s="17">
        <f>IF(OR(E281="",F281=""),"",E281-F281)</f>
      </c>
      <c r="H281" s="18">
        <f>IF(OR(G281="",E281="",E281=0),"",G281/E281)</f>
      </c>
      <c r="I281" s="19">
        <f>IF(OR(E281="",C281=""),"",IFERROR(E281*INDEX(Alimentos!$C$5:$C$104,MATCH(C281,Alimentos!$A$5:$A$104,0)),""))</f>
      </c>
      <c r="J281" s="10"/>
      <c r="K281" s="10"/>
      <c r="L281" s="10"/>
    </row>
    <row r="282" spans="1:12" x14ac:dyDescent="0.25">
      <c r="A282" s="20"/>
      <c r="B282" s="10"/>
      <c r="C282" s="10"/>
      <c r="D282" s="15">
        <f>IF(C282="","",IFERROR(INDEX(Alimentos!$B$5:$B$104,MATCH(C282,Alimentos!$A$5:$A$104,0)),""))</f>
      </c>
      <c r="E282" s="21"/>
      <c r="F282" s="21"/>
      <c r="G282" s="17">
        <f>IF(OR(E282="",F282=""),"",E282-F282)</f>
      </c>
      <c r="H282" s="18">
        <f>IF(OR(G282="",E282="",E282=0),"",G282/E282)</f>
      </c>
      <c r="I282" s="19">
        <f>IF(OR(E282="",C282=""),"",IFERROR(E282*INDEX(Alimentos!$C$5:$C$104,MATCH(C282,Alimentos!$A$5:$A$104,0)),""))</f>
      </c>
      <c r="J282" s="10"/>
      <c r="K282" s="10"/>
      <c r="L282" s="10"/>
    </row>
    <row r="283" spans="1:12" x14ac:dyDescent="0.25">
      <c r="A283" s="20"/>
      <c r="B283" s="10"/>
      <c r="C283" s="10"/>
      <c r="D283" s="15">
        <f>IF(C283="","",IFERROR(INDEX(Alimentos!$B$5:$B$104,MATCH(C283,Alimentos!$A$5:$A$104,0)),""))</f>
      </c>
      <c r="E283" s="21"/>
      <c r="F283" s="21"/>
      <c r="G283" s="17">
        <f>IF(OR(E283="",F283=""),"",E283-F283)</f>
      </c>
      <c r="H283" s="18">
        <f>IF(OR(G283="",E283="",E283=0),"",G283/E283)</f>
      </c>
      <c r="I283" s="19">
        <f>IF(OR(E283="",C283=""),"",IFERROR(E283*INDEX(Alimentos!$C$5:$C$104,MATCH(C283,Alimentos!$A$5:$A$104,0)),""))</f>
      </c>
      <c r="J283" s="10"/>
      <c r="K283" s="10"/>
      <c r="L283" s="10"/>
    </row>
    <row r="284" spans="1:12" x14ac:dyDescent="0.25">
      <c r="A284" s="20"/>
      <c r="B284" s="10"/>
      <c r="C284" s="10"/>
      <c r="D284" s="15">
        <f>IF(C284="","",IFERROR(INDEX(Alimentos!$B$5:$B$104,MATCH(C284,Alimentos!$A$5:$A$104,0)),""))</f>
      </c>
      <c r="E284" s="21"/>
      <c r="F284" s="21"/>
      <c r="G284" s="17">
        <f>IF(OR(E284="",F284=""),"",E284-F284)</f>
      </c>
      <c r="H284" s="18">
        <f>IF(OR(G284="",E284="",E284=0),"",G284/E284)</f>
      </c>
      <c r="I284" s="19">
        <f>IF(OR(E284="",C284=""),"",IFERROR(E284*INDEX(Alimentos!$C$5:$C$104,MATCH(C284,Alimentos!$A$5:$A$104,0)),""))</f>
      </c>
      <c r="J284" s="10"/>
      <c r="K284" s="10"/>
      <c r="L284" s="10"/>
    </row>
    <row r="285" spans="1:12" x14ac:dyDescent="0.25">
      <c r="A285" s="20"/>
      <c r="B285" s="10"/>
      <c r="C285" s="10"/>
      <c r="D285" s="15">
        <f>IF(C285="","",IFERROR(INDEX(Alimentos!$B$5:$B$104,MATCH(C285,Alimentos!$A$5:$A$104,0)),""))</f>
      </c>
      <c r="E285" s="21"/>
      <c r="F285" s="21"/>
      <c r="G285" s="17">
        <f>IF(OR(E285="",F285=""),"",E285-F285)</f>
      </c>
      <c r="H285" s="18">
        <f>IF(OR(G285="",E285="",E285=0),"",G285/E285)</f>
      </c>
      <c r="I285" s="19">
        <f>IF(OR(E285="",C285=""),"",IFERROR(E285*INDEX(Alimentos!$C$5:$C$104,MATCH(C285,Alimentos!$A$5:$A$104,0)),""))</f>
      </c>
      <c r="J285" s="10"/>
      <c r="K285" s="10"/>
      <c r="L285" s="10"/>
    </row>
    <row r="286" spans="1:12" x14ac:dyDescent="0.25">
      <c r="A286" s="20"/>
      <c r="B286" s="10"/>
      <c r="C286" s="10"/>
      <c r="D286" s="15">
        <f>IF(C286="","",IFERROR(INDEX(Alimentos!$B$5:$B$104,MATCH(C286,Alimentos!$A$5:$A$104,0)),""))</f>
      </c>
      <c r="E286" s="21"/>
      <c r="F286" s="21"/>
      <c r="G286" s="17">
        <f>IF(OR(E286="",F286=""),"",E286-F286)</f>
      </c>
      <c r="H286" s="18">
        <f>IF(OR(G286="",E286="",E286=0),"",G286/E286)</f>
      </c>
      <c r="I286" s="19">
        <f>IF(OR(E286="",C286=""),"",IFERROR(E286*INDEX(Alimentos!$C$5:$C$104,MATCH(C286,Alimentos!$A$5:$A$104,0)),""))</f>
      </c>
      <c r="J286" s="10"/>
      <c r="K286" s="10"/>
      <c r="L286" s="10"/>
    </row>
    <row r="287" spans="1:12" x14ac:dyDescent="0.25">
      <c r="A287" s="20"/>
      <c r="B287" s="10"/>
      <c r="C287" s="10"/>
      <c r="D287" s="15">
        <f>IF(C287="","",IFERROR(INDEX(Alimentos!$B$5:$B$104,MATCH(C287,Alimentos!$A$5:$A$104,0)),""))</f>
      </c>
      <c r="E287" s="21"/>
      <c r="F287" s="21"/>
      <c r="G287" s="17">
        <f>IF(OR(E287="",F287=""),"",E287-F287)</f>
      </c>
      <c r="H287" s="18">
        <f>IF(OR(G287="",E287="",E287=0),"",G287/E287)</f>
      </c>
      <c r="I287" s="19">
        <f>IF(OR(E287="",C287=""),"",IFERROR(E287*INDEX(Alimentos!$C$5:$C$104,MATCH(C287,Alimentos!$A$5:$A$104,0)),""))</f>
      </c>
      <c r="J287" s="10"/>
      <c r="K287" s="10"/>
      <c r="L287" s="10"/>
    </row>
    <row r="288" spans="1:12" x14ac:dyDescent="0.25">
      <c r="A288" s="20"/>
      <c r="B288" s="10"/>
      <c r="C288" s="10"/>
      <c r="D288" s="15">
        <f>IF(C288="","",IFERROR(INDEX(Alimentos!$B$5:$B$104,MATCH(C288,Alimentos!$A$5:$A$104,0)),""))</f>
      </c>
      <c r="E288" s="21"/>
      <c r="F288" s="21"/>
      <c r="G288" s="17">
        <f>IF(OR(E288="",F288=""),"",E288-F288)</f>
      </c>
      <c r="H288" s="18">
        <f>IF(OR(G288="",E288="",E288=0),"",G288/E288)</f>
      </c>
      <c r="I288" s="19">
        <f>IF(OR(E288="",C288=""),"",IFERROR(E288*INDEX(Alimentos!$C$5:$C$104,MATCH(C288,Alimentos!$A$5:$A$104,0)),""))</f>
      </c>
      <c r="J288" s="10"/>
      <c r="K288" s="10"/>
      <c r="L288" s="10"/>
    </row>
    <row r="289" spans="1:12" x14ac:dyDescent="0.25">
      <c r="A289" s="20"/>
      <c r="B289" s="10"/>
      <c r="C289" s="10"/>
      <c r="D289" s="15">
        <f>IF(C289="","",IFERROR(INDEX(Alimentos!$B$5:$B$104,MATCH(C289,Alimentos!$A$5:$A$104,0)),""))</f>
      </c>
      <c r="E289" s="21"/>
      <c r="F289" s="21"/>
      <c r="G289" s="17">
        <f>IF(OR(E289="",F289=""),"",E289-F289)</f>
      </c>
      <c r="H289" s="18">
        <f>IF(OR(G289="",E289="",E289=0),"",G289/E289)</f>
      </c>
      <c r="I289" s="19">
        <f>IF(OR(E289="",C289=""),"",IFERROR(E289*INDEX(Alimentos!$C$5:$C$104,MATCH(C289,Alimentos!$A$5:$A$104,0)),""))</f>
      </c>
      <c r="J289" s="10"/>
      <c r="K289" s="10"/>
      <c r="L289" s="10"/>
    </row>
    <row r="290" spans="1:12" x14ac:dyDescent="0.25">
      <c r="A290" s="20"/>
      <c r="B290" s="10"/>
      <c r="C290" s="10"/>
      <c r="D290" s="15">
        <f>IF(C290="","",IFERROR(INDEX(Alimentos!$B$5:$B$104,MATCH(C290,Alimentos!$A$5:$A$104,0)),""))</f>
      </c>
      <c r="E290" s="21"/>
      <c r="F290" s="21"/>
      <c r="G290" s="17">
        <f>IF(OR(E290="",F290=""),"",E290-F290)</f>
      </c>
      <c r="H290" s="18">
        <f>IF(OR(G290="",E290="",E290=0),"",G290/E290)</f>
      </c>
      <c r="I290" s="19">
        <f>IF(OR(E290="",C290=""),"",IFERROR(E290*INDEX(Alimentos!$C$5:$C$104,MATCH(C290,Alimentos!$A$5:$A$104,0)),""))</f>
      </c>
      <c r="J290" s="10"/>
      <c r="K290" s="10"/>
      <c r="L290" s="10"/>
    </row>
    <row r="291" spans="1:12" x14ac:dyDescent="0.25">
      <c r="A291" s="20"/>
      <c r="B291" s="10"/>
      <c r="C291" s="10"/>
      <c r="D291" s="15">
        <f>IF(C291="","",IFERROR(INDEX(Alimentos!$B$5:$B$104,MATCH(C291,Alimentos!$A$5:$A$104,0)),""))</f>
      </c>
      <c r="E291" s="21"/>
      <c r="F291" s="21"/>
      <c r="G291" s="17">
        <f>IF(OR(E291="",F291=""),"",E291-F291)</f>
      </c>
      <c r="H291" s="18">
        <f>IF(OR(G291="",E291="",E291=0),"",G291/E291)</f>
      </c>
      <c r="I291" s="19">
        <f>IF(OR(E291="",C291=""),"",IFERROR(E291*INDEX(Alimentos!$C$5:$C$104,MATCH(C291,Alimentos!$A$5:$A$104,0)),""))</f>
      </c>
      <c r="J291" s="10"/>
      <c r="K291" s="10"/>
      <c r="L291" s="10"/>
    </row>
    <row r="292" spans="1:12" x14ac:dyDescent="0.25">
      <c r="A292" s="20"/>
      <c r="B292" s="10"/>
      <c r="C292" s="10"/>
      <c r="D292" s="15">
        <f>IF(C292="","",IFERROR(INDEX(Alimentos!$B$5:$B$104,MATCH(C292,Alimentos!$A$5:$A$104,0)),""))</f>
      </c>
      <c r="E292" s="21"/>
      <c r="F292" s="21"/>
      <c r="G292" s="17">
        <f>IF(OR(E292="",F292=""),"",E292-F292)</f>
      </c>
      <c r="H292" s="18">
        <f>IF(OR(G292="",E292="",E292=0),"",G292/E292)</f>
      </c>
      <c r="I292" s="19">
        <f>IF(OR(E292="",C292=""),"",IFERROR(E292*INDEX(Alimentos!$C$5:$C$104,MATCH(C292,Alimentos!$A$5:$A$104,0)),""))</f>
      </c>
      <c r="J292" s="10"/>
      <c r="K292" s="10"/>
      <c r="L292" s="10"/>
    </row>
    <row r="293" spans="1:12" x14ac:dyDescent="0.25">
      <c r="A293" s="20"/>
      <c r="B293" s="10"/>
      <c r="C293" s="10"/>
      <c r="D293" s="15">
        <f>IF(C293="","",IFERROR(INDEX(Alimentos!$B$5:$B$104,MATCH(C293,Alimentos!$A$5:$A$104,0)),""))</f>
      </c>
      <c r="E293" s="21"/>
      <c r="F293" s="21"/>
      <c r="G293" s="17">
        <f>IF(OR(E293="",F293=""),"",E293-F293)</f>
      </c>
      <c r="H293" s="18">
        <f>IF(OR(G293="",E293="",E293=0),"",G293/E293)</f>
      </c>
      <c r="I293" s="19">
        <f>IF(OR(E293="",C293=""),"",IFERROR(E293*INDEX(Alimentos!$C$5:$C$104,MATCH(C293,Alimentos!$A$5:$A$104,0)),""))</f>
      </c>
      <c r="J293" s="10"/>
      <c r="K293" s="10"/>
      <c r="L293" s="10"/>
    </row>
    <row r="294" spans="1:12" x14ac:dyDescent="0.25">
      <c r="A294" s="20"/>
      <c r="B294" s="10"/>
      <c r="C294" s="10"/>
      <c r="D294" s="15">
        <f>IF(C294="","",IFERROR(INDEX(Alimentos!$B$5:$B$104,MATCH(C294,Alimentos!$A$5:$A$104,0)),""))</f>
      </c>
      <c r="E294" s="21"/>
      <c r="F294" s="21"/>
      <c r="G294" s="17">
        <f>IF(OR(E294="",F294=""),"",E294-F294)</f>
      </c>
      <c r="H294" s="18">
        <f>IF(OR(G294="",E294="",E294=0),"",G294/E294)</f>
      </c>
      <c r="I294" s="19">
        <f>IF(OR(E294="",C294=""),"",IFERROR(E294*INDEX(Alimentos!$C$5:$C$104,MATCH(C294,Alimentos!$A$5:$A$104,0)),""))</f>
      </c>
      <c r="J294" s="10"/>
      <c r="K294" s="10"/>
      <c r="L294" s="10"/>
    </row>
    <row r="295" spans="1:12" x14ac:dyDescent="0.25">
      <c r="A295" s="20"/>
      <c r="B295" s="10"/>
      <c r="C295" s="10"/>
      <c r="D295" s="15">
        <f>IF(C295="","",IFERROR(INDEX(Alimentos!$B$5:$B$104,MATCH(C295,Alimentos!$A$5:$A$104,0)),""))</f>
      </c>
      <c r="E295" s="21"/>
      <c r="F295" s="21"/>
      <c r="G295" s="17">
        <f>IF(OR(E295="",F295=""),"",E295-F295)</f>
      </c>
      <c r="H295" s="18">
        <f>IF(OR(G295="",E295="",E295=0),"",G295/E295)</f>
      </c>
      <c r="I295" s="19">
        <f>IF(OR(E295="",C295=""),"",IFERROR(E295*INDEX(Alimentos!$C$5:$C$104,MATCH(C295,Alimentos!$A$5:$A$104,0)),""))</f>
      </c>
      <c r="J295" s="10"/>
      <c r="K295" s="10"/>
      <c r="L295" s="10"/>
    </row>
    <row r="296" spans="1:12" x14ac:dyDescent="0.25">
      <c r="A296" s="20"/>
      <c r="B296" s="10"/>
      <c r="C296" s="10"/>
      <c r="D296" s="15">
        <f>IF(C296="","",IFERROR(INDEX(Alimentos!$B$5:$B$104,MATCH(C296,Alimentos!$A$5:$A$104,0)),""))</f>
      </c>
      <c r="E296" s="21"/>
      <c r="F296" s="21"/>
      <c r="G296" s="17">
        <f>IF(OR(E296="",F296=""),"",E296-F296)</f>
      </c>
      <c r="H296" s="18">
        <f>IF(OR(G296="",E296="",E296=0),"",G296/E296)</f>
      </c>
      <c r="I296" s="19">
        <f>IF(OR(E296="",C296=""),"",IFERROR(E296*INDEX(Alimentos!$C$5:$C$104,MATCH(C296,Alimentos!$A$5:$A$104,0)),""))</f>
      </c>
      <c r="J296" s="10"/>
      <c r="K296" s="10"/>
      <c r="L296" s="10"/>
    </row>
    <row r="297" spans="1:12" x14ac:dyDescent="0.25">
      <c r="A297" s="20"/>
      <c r="B297" s="10"/>
      <c r="C297" s="10"/>
      <c r="D297" s="15">
        <f>IF(C297="","",IFERROR(INDEX(Alimentos!$B$5:$B$104,MATCH(C297,Alimentos!$A$5:$A$104,0)),""))</f>
      </c>
      <c r="E297" s="21"/>
      <c r="F297" s="21"/>
      <c r="G297" s="17">
        <f>IF(OR(E297="",F297=""),"",E297-F297)</f>
      </c>
      <c r="H297" s="18">
        <f>IF(OR(G297="",E297="",E297=0),"",G297/E297)</f>
      </c>
      <c r="I297" s="19">
        <f>IF(OR(E297="",C297=""),"",IFERROR(E297*INDEX(Alimentos!$C$5:$C$104,MATCH(C297,Alimentos!$A$5:$A$104,0)),""))</f>
      </c>
      <c r="J297" s="10"/>
      <c r="K297" s="10"/>
      <c r="L297" s="10"/>
    </row>
    <row r="298" spans="1:12" x14ac:dyDescent="0.25">
      <c r="A298" s="20"/>
      <c r="B298" s="10"/>
      <c r="C298" s="10"/>
      <c r="D298" s="15">
        <f>IF(C298="","",IFERROR(INDEX(Alimentos!$B$5:$B$104,MATCH(C298,Alimentos!$A$5:$A$104,0)),""))</f>
      </c>
      <c r="E298" s="21"/>
      <c r="F298" s="21"/>
      <c r="G298" s="17">
        <f>IF(OR(E298="",F298=""),"",E298-F298)</f>
      </c>
      <c r="H298" s="18">
        <f>IF(OR(G298="",E298="",E298=0),"",G298/E298)</f>
      </c>
      <c r="I298" s="19">
        <f>IF(OR(E298="",C298=""),"",IFERROR(E298*INDEX(Alimentos!$C$5:$C$104,MATCH(C298,Alimentos!$A$5:$A$104,0)),""))</f>
      </c>
      <c r="J298" s="10"/>
      <c r="K298" s="10"/>
      <c r="L298" s="10"/>
    </row>
    <row r="299" spans="1:12" x14ac:dyDescent="0.25">
      <c r="A299" s="20"/>
      <c r="B299" s="10"/>
      <c r="C299" s="10"/>
      <c r="D299" s="15">
        <f>IF(C299="","",IFERROR(INDEX(Alimentos!$B$5:$B$104,MATCH(C299,Alimentos!$A$5:$A$104,0)),""))</f>
      </c>
      <c r="E299" s="21"/>
      <c r="F299" s="21"/>
      <c r="G299" s="17">
        <f>IF(OR(E299="",F299=""),"",E299-F299)</f>
      </c>
      <c r="H299" s="18">
        <f>IF(OR(G299="",E299="",E299=0),"",G299/E299)</f>
      </c>
      <c r="I299" s="19">
        <f>IF(OR(E299="",C299=""),"",IFERROR(E299*INDEX(Alimentos!$C$5:$C$104,MATCH(C299,Alimentos!$A$5:$A$104,0)),""))</f>
      </c>
      <c r="J299" s="10"/>
      <c r="K299" s="10"/>
      <c r="L299" s="10"/>
    </row>
    <row r="300" spans="1:12" x14ac:dyDescent="0.25">
      <c r="A300" s="20"/>
      <c r="B300" s="10"/>
      <c r="C300" s="10"/>
      <c r="D300" s="15">
        <f>IF(C300="","",IFERROR(INDEX(Alimentos!$B$5:$B$104,MATCH(C300,Alimentos!$A$5:$A$104,0)),""))</f>
      </c>
      <c r="E300" s="21"/>
      <c r="F300" s="21"/>
      <c r="G300" s="17">
        <f>IF(OR(E300="",F300=""),"",E300-F300)</f>
      </c>
      <c r="H300" s="18">
        <f>IF(OR(G300="",E300="",E300=0),"",G300/E300)</f>
      </c>
      <c r="I300" s="19">
        <f>IF(OR(E300="",C300=""),"",IFERROR(E300*INDEX(Alimentos!$C$5:$C$104,MATCH(C300,Alimentos!$A$5:$A$104,0)),""))</f>
      </c>
      <c r="J300" s="10"/>
      <c r="K300" s="10"/>
      <c r="L300" s="10"/>
    </row>
    <row r="301" spans="1:12" x14ac:dyDescent="0.25">
      <c r="A301" s="20"/>
      <c r="B301" s="10"/>
      <c r="C301" s="10"/>
      <c r="D301" s="15">
        <f>IF(C301="","",IFERROR(INDEX(Alimentos!$B$5:$B$104,MATCH(C301,Alimentos!$A$5:$A$104,0)),""))</f>
      </c>
      <c r="E301" s="21"/>
      <c r="F301" s="21"/>
      <c r="G301" s="17">
        <f>IF(OR(E301="",F301=""),"",E301-F301)</f>
      </c>
      <c r="H301" s="18">
        <f>IF(OR(G301="",E301="",E301=0),"",G301/E301)</f>
      </c>
      <c r="I301" s="19">
        <f>IF(OR(E301="",C301=""),"",IFERROR(E301*INDEX(Alimentos!$C$5:$C$104,MATCH(C301,Alimentos!$A$5:$A$104,0)),""))</f>
      </c>
      <c r="J301" s="10"/>
      <c r="K301" s="10"/>
      <c r="L301" s="10"/>
    </row>
    <row r="302" spans="1:12" x14ac:dyDescent="0.25">
      <c r="A302" s="20"/>
      <c r="B302" s="10"/>
      <c r="C302" s="10"/>
      <c r="D302" s="15">
        <f>IF(C302="","",IFERROR(INDEX(Alimentos!$B$5:$B$104,MATCH(C302,Alimentos!$A$5:$A$104,0)),""))</f>
      </c>
      <c r="E302" s="21"/>
      <c r="F302" s="21"/>
      <c r="G302" s="17">
        <f>IF(OR(E302="",F302=""),"",E302-F302)</f>
      </c>
      <c r="H302" s="18">
        <f>IF(OR(G302="",E302="",E302=0),"",G302/E302)</f>
      </c>
      <c r="I302" s="19">
        <f>IF(OR(E302="",C302=""),"",IFERROR(E302*INDEX(Alimentos!$C$5:$C$104,MATCH(C302,Alimentos!$A$5:$A$104,0)),""))</f>
      </c>
      <c r="J302" s="10"/>
      <c r="K302" s="10"/>
      <c r="L302" s="10"/>
    </row>
    <row r="303" spans="1:12" x14ac:dyDescent="0.25">
      <c r="A303" s="20"/>
      <c r="B303" s="10"/>
      <c r="C303" s="10"/>
      <c r="D303" s="15">
        <f>IF(C303="","",IFERROR(INDEX(Alimentos!$B$5:$B$104,MATCH(C303,Alimentos!$A$5:$A$104,0)),""))</f>
      </c>
      <c r="E303" s="21"/>
      <c r="F303" s="21"/>
      <c r="G303" s="17">
        <f>IF(OR(E303="",F303=""),"",E303-F303)</f>
      </c>
      <c r="H303" s="18">
        <f>IF(OR(G303="",E303="",E303=0),"",G303/E303)</f>
      </c>
      <c r="I303" s="19">
        <f>IF(OR(E303="",C303=""),"",IFERROR(E303*INDEX(Alimentos!$C$5:$C$104,MATCH(C303,Alimentos!$A$5:$A$104,0)),""))</f>
      </c>
      <c r="J303" s="10"/>
      <c r="K303" s="10"/>
      <c r="L303" s="10"/>
    </row>
    <row r="304" spans="1:12" x14ac:dyDescent="0.25">
      <c r="A304" s="20"/>
      <c r="B304" s="10"/>
      <c r="C304" s="10"/>
      <c r="D304" s="15">
        <f>IF(C304="","",IFERROR(INDEX(Alimentos!$B$5:$B$104,MATCH(C304,Alimentos!$A$5:$A$104,0)),""))</f>
      </c>
      <c r="E304" s="21"/>
      <c r="F304" s="21"/>
      <c r="G304" s="17">
        <f>IF(OR(E304="",F304=""),"",E304-F304)</f>
      </c>
      <c r="H304" s="18">
        <f>IF(OR(G304="",E304="",E304=0),"",G304/E304)</f>
      </c>
      <c r="I304" s="19">
        <f>IF(OR(E304="",C304=""),"",IFERROR(E304*INDEX(Alimentos!$C$5:$C$104,MATCH(C304,Alimentos!$A$5:$A$104,0)),""))</f>
      </c>
      <c r="J304" s="10"/>
      <c r="K304" s="10"/>
      <c r="L304" s="10"/>
    </row>
    <row r="305" spans="1:12" x14ac:dyDescent="0.25">
      <c r="A305" s="20"/>
      <c r="B305" s="10"/>
      <c r="C305" s="10"/>
      <c r="D305" s="15">
        <f>IF(C305="","",IFERROR(INDEX(Alimentos!$B$5:$B$104,MATCH(C305,Alimentos!$A$5:$A$104,0)),""))</f>
      </c>
      <c r="E305" s="21"/>
      <c r="F305" s="21"/>
      <c r="G305" s="17">
        <f>IF(OR(E305="",F305=""),"",E305-F305)</f>
      </c>
      <c r="H305" s="18">
        <f>IF(OR(G305="",E305="",E305=0),"",G305/E305)</f>
      </c>
      <c r="I305" s="19">
        <f>IF(OR(E305="",C305=""),"",IFERROR(E305*INDEX(Alimentos!$C$5:$C$104,MATCH(C305,Alimentos!$A$5:$A$104,0)),""))</f>
      </c>
      <c r="J305" s="10"/>
      <c r="K305" s="10"/>
      <c r="L305" s="10"/>
    </row>
    <row r="306" spans="1:12" x14ac:dyDescent="0.25">
      <c r="A306" s="20"/>
      <c r="B306" s="10"/>
      <c r="C306" s="10"/>
      <c r="D306" s="15">
        <f>IF(C306="","",IFERROR(INDEX(Alimentos!$B$5:$B$104,MATCH(C306,Alimentos!$A$5:$A$104,0)),""))</f>
      </c>
      <c r="E306" s="21"/>
      <c r="F306" s="21"/>
      <c r="G306" s="17">
        <f>IF(OR(E306="",F306=""),"",E306-F306)</f>
      </c>
      <c r="H306" s="18">
        <f>IF(OR(G306="",E306="",E306=0),"",G306/E306)</f>
      </c>
      <c r="I306" s="19">
        <f>IF(OR(E306="",C306=""),"",IFERROR(E306*INDEX(Alimentos!$C$5:$C$104,MATCH(C306,Alimentos!$A$5:$A$104,0)),""))</f>
      </c>
      <c r="J306" s="10"/>
      <c r="K306" s="10"/>
      <c r="L306" s="10"/>
    </row>
    <row r="307" spans="1:12" x14ac:dyDescent="0.25">
      <c r="A307" s="20"/>
      <c r="B307" s="10"/>
      <c r="C307" s="10"/>
      <c r="D307" s="15">
        <f>IF(C307="","",IFERROR(INDEX(Alimentos!$B$5:$B$104,MATCH(C307,Alimentos!$A$5:$A$104,0)),""))</f>
      </c>
      <c r="E307" s="21"/>
      <c r="F307" s="21"/>
      <c r="G307" s="17">
        <f>IF(OR(E307="",F307=""),"",E307-F307)</f>
      </c>
      <c r="H307" s="18">
        <f>IF(OR(G307="",E307="",E307=0),"",G307/E307)</f>
      </c>
      <c r="I307" s="19">
        <f>IF(OR(E307="",C307=""),"",IFERROR(E307*INDEX(Alimentos!$C$5:$C$104,MATCH(C307,Alimentos!$A$5:$A$104,0)),""))</f>
      </c>
      <c r="J307" s="10"/>
      <c r="K307" s="10"/>
      <c r="L307" s="10"/>
    </row>
    <row r="308" spans="1:12" x14ac:dyDescent="0.25">
      <c r="A308" s="20"/>
      <c r="B308" s="10"/>
      <c r="C308" s="10"/>
      <c r="D308" s="15">
        <f>IF(C308="","",IFERROR(INDEX(Alimentos!$B$5:$B$104,MATCH(C308,Alimentos!$A$5:$A$104,0)),""))</f>
      </c>
      <c r="E308" s="21"/>
      <c r="F308" s="21"/>
      <c r="G308" s="17">
        <f>IF(OR(E308="",F308=""),"",E308-F308)</f>
      </c>
      <c r="H308" s="18">
        <f>IF(OR(G308="",E308="",E308=0),"",G308/E308)</f>
      </c>
      <c r="I308" s="19">
        <f>IF(OR(E308="",C308=""),"",IFERROR(E308*INDEX(Alimentos!$C$5:$C$104,MATCH(C308,Alimentos!$A$5:$A$104,0)),""))</f>
      </c>
      <c r="J308" s="10"/>
      <c r="K308" s="10"/>
      <c r="L308" s="10"/>
    </row>
    <row r="309" spans="1:12" x14ac:dyDescent="0.25">
      <c r="A309" s="20"/>
      <c r="B309" s="10"/>
      <c r="C309" s="10"/>
      <c r="D309" s="15">
        <f>IF(C309="","",IFERROR(INDEX(Alimentos!$B$5:$B$104,MATCH(C309,Alimentos!$A$5:$A$104,0)),""))</f>
      </c>
      <c r="E309" s="21"/>
      <c r="F309" s="21"/>
      <c r="G309" s="17">
        <f>IF(OR(E309="",F309=""),"",E309-F309)</f>
      </c>
      <c r="H309" s="18">
        <f>IF(OR(G309="",E309="",E309=0),"",G309/E309)</f>
      </c>
      <c r="I309" s="19">
        <f>IF(OR(E309="",C309=""),"",IFERROR(E309*INDEX(Alimentos!$C$5:$C$104,MATCH(C309,Alimentos!$A$5:$A$104,0)),""))</f>
      </c>
      <c r="J309" s="10"/>
      <c r="K309" s="10"/>
      <c r="L309" s="10"/>
    </row>
    <row r="310" spans="1:12" x14ac:dyDescent="0.25">
      <c r="A310" s="20"/>
      <c r="B310" s="10"/>
      <c r="C310" s="10"/>
      <c r="D310" s="15">
        <f>IF(C310="","",IFERROR(INDEX(Alimentos!$B$5:$B$104,MATCH(C310,Alimentos!$A$5:$A$104,0)),""))</f>
      </c>
      <c r="E310" s="21"/>
      <c r="F310" s="21"/>
      <c r="G310" s="17">
        <f>IF(OR(E310="",F310=""),"",E310-F310)</f>
      </c>
      <c r="H310" s="18">
        <f>IF(OR(G310="",E310="",E310=0),"",G310/E310)</f>
      </c>
      <c r="I310" s="19">
        <f>IF(OR(E310="",C310=""),"",IFERROR(E310*INDEX(Alimentos!$C$5:$C$104,MATCH(C310,Alimentos!$A$5:$A$104,0)),""))</f>
      </c>
      <c r="J310" s="10"/>
      <c r="K310" s="10"/>
      <c r="L310" s="10"/>
    </row>
    <row r="311" spans="1:12" x14ac:dyDescent="0.25">
      <c r="A311" s="20"/>
      <c r="B311" s="10"/>
      <c r="C311" s="10"/>
      <c r="D311" s="15">
        <f>IF(C311="","",IFERROR(INDEX(Alimentos!$B$5:$B$104,MATCH(C311,Alimentos!$A$5:$A$104,0)),""))</f>
      </c>
      <c r="E311" s="21"/>
      <c r="F311" s="21"/>
      <c r="G311" s="17">
        <f>IF(OR(E311="",F311=""),"",E311-F311)</f>
      </c>
      <c r="H311" s="18">
        <f>IF(OR(G311="",E311="",E311=0),"",G311/E311)</f>
      </c>
      <c r="I311" s="19">
        <f>IF(OR(E311="",C311=""),"",IFERROR(E311*INDEX(Alimentos!$C$5:$C$104,MATCH(C311,Alimentos!$A$5:$A$104,0)),""))</f>
      </c>
      <c r="J311" s="10"/>
      <c r="K311" s="10"/>
      <c r="L311" s="10"/>
    </row>
    <row r="312" spans="1:12" x14ac:dyDescent="0.25">
      <c r="A312" s="20"/>
      <c r="B312" s="10"/>
      <c r="C312" s="10"/>
      <c r="D312" s="15">
        <f>IF(C312="","",IFERROR(INDEX(Alimentos!$B$5:$B$104,MATCH(C312,Alimentos!$A$5:$A$104,0)),""))</f>
      </c>
      <c r="E312" s="21"/>
      <c r="F312" s="21"/>
      <c r="G312" s="17">
        <f>IF(OR(E312="",F312=""),"",E312-F312)</f>
      </c>
      <c r="H312" s="18">
        <f>IF(OR(G312="",E312="",E312=0),"",G312/E312)</f>
      </c>
      <c r="I312" s="19">
        <f>IF(OR(E312="",C312=""),"",IFERROR(E312*INDEX(Alimentos!$C$5:$C$104,MATCH(C312,Alimentos!$A$5:$A$104,0)),""))</f>
      </c>
      <c r="J312" s="10"/>
      <c r="K312" s="10"/>
      <c r="L312" s="10"/>
    </row>
    <row r="313" spans="1:12" x14ac:dyDescent="0.25">
      <c r="A313" s="20"/>
      <c r="B313" s="10"/>
      <c r="C313" s="10"/>
      <c r="D313" s="15">
        <f>IF(C313="","",IFERROR(INDEX(Alimentos!$B$5:$B$104,MATCH(C313,Alimentos!$A$5:$A$104,0)),""))</f>
      </c>
      <c r="E313" s="21"/>
      <c r="F313" s="21"/>
      <c r="G313" s="17">
        <f>IF(OR(E313="",F313=""),"",E313-F313)</f>
      </c>
      <c r="H313" s="18">
        <f>IF(OR(G313="",E313="",E313=0),"",G313/E313)</f>
      </c>
      <c r="I313" s="19">
        <f>IF(OR(E313="",C313=""),"",IFERROR(E313*INDEX(Alimentos!$C$5:$C$104,MATCH(C313,Alimentos!$A$5:$A$104,0)),""))</f>
      </c>
      <c r="J313" s="10"/>
      <c r="K313" s="10"/>
      <c r="L313" s="10"/>
    </row>
    <row r="314" spans="1:12" x14ac:dyDescent="0.25">
      <c r="A314" s="20"/>
      <c r="B314" s="10"/>
      <c r="C314" s="10"/>
      <c r="D314" s="15">
        <f>IF(C314="","",IFERROR(INDEX(Alimentos!$B$5:$B$104,MATCH(C314,Alimentos!$A$5:$A$104,0)),""))</f>
      </c>
      <c r="E314" s="21"/>
      <c r="F314" s="21"/>
      <c r="G314" s="17">
        <f>IF(OR(E314="",F314=""),"",E314-F314)</f>
      </c>
      <c r="H314" s="18">
        <f>IF(OR(G314="",E314="",E314=0),"",G314/E314)</f>
      </c>
      <c r="I314" s="19">
        <f>IF(OR(E314="",C314=""),"",IFERROR(E314*INDEX(Alimentos!$C$5:$C$104,MATCH(C314,Alimentos!$A$5:$A$104,0)),""))</f>
      </c>
      <c r="J314" s="10"/>
      <c r="K314" s="10"/>
      <c r="L314" s="10"/>
    </row>
    <row r="315" spans="1:12" x14ac:dyDescent="0.25">
      <c r="A315" s="20"/>
      <c r="B315" s="10"/>
      <c r="C315" s="10"/>
      <c r="D315" s="15">
        <f>IF(C315="","",IFERROR(INDEX(Alimentos!$B$5:$B$104,MATCH(C315,Alimentos!$A$5:$A$104,0)),""))</f>
      </c>
      <c r="E315" s="21"/>
      <c r="F315" s="21"/>
      <c r="G315" s="17">
        <f>IF(OR(E315="",F315=""),"",E315-F315)</f>
      </c>
      <c r="H315" s="18">
        <f>IF(OR(G315="",E315="",E315=0),"",G315/E315)</f>
      </c>
      <c r="I315" s="19">
        <f>IF(OR(E315="",C315=""),"",IFERROR(E315*INDEX(Alimentos!$C$5:$C$104,MATCH(C315,Alimentos!$A$5:$A$104,0)),""))</f>
      </c>
      <c r="J315" s="10"/>
      <c r="K315" s="10"/>
      <c r="L315" s="10"/>
    </row>
    <row r="316" spans="1:12" x14ac:dyDescent="0.25">
      <c r="A316" s="20"/>
      <c r="B316" s="10"/>
      <c r="C316" s="10"/>
      <c r="D316" s="15">
        <f>IF(C316="","",IFERROR(INDEX(Alimentos!$B$5:$B$104,MATCH(C316,Alimentos!$A$5:$A$104,0)),""))</f>
      </c>
      <c r="E316" s="21"/>
      <c r="F316" s="21"/>
      <c r="G316" s="17">
        <f>IF(OR(E316="",F316=""),"",E316-F316)</f>
      </c>
      <c r="H316" s="18">
        <f>IF(OR(G316="",E316="",E316=0),"",G316/E316)</f>
      </c>
      <c r="I316" s="19">
        <f>IF(OR(E316="",C316=""),"",IFERROR(E316*INDEX(Alimentos!$C$5:$C$104,MATCH(C316,Alimentos!$A$5:$A$104,0)),""))</f>
      </c>
      <c r="J316" s="10"/>
      <c r="K316" s="10"/>
      <c r="L316" s="10"/>
    </row>
    <row r="317" spans="1:12" x14ac:dyDescent="0.25">
      <c r="A317" s="20"/>
      <c r="B317" s="10"/>
      <c r="C317" s="10"/>
      <c r="D317" s="15">
        <f>IF(C317="","",IFERROR(INDEX(Alimentos!$B$5:$B$104,MATCH(C317,Alimentos!$A$5:$A$104,0)),""))</f>
      </c>
      <c r="E317" s="21"/>
      <c r="F317" s="21"/>
      <c r="G317" s="17">
        <f>IF(OR(E317="",F317=""),"",E317-F317)</f>
      </c>
      <c r="H317" s="18">
        <f>IF(OR(G317="",E317="",E317=0),"",G317/E317)</f>
      </c>
      <c r="I317" s="19">
        <f>IF(OR(E317="",C317=""),"",IFERROR(E317*INDEX(Alimentos!$C$5:$C$104,MATCH(C317,Alimentos!$A$5:$A$104,0)),""))</f>
      </c>
      <c r="J317" s="10"/>
      <c r="K317" s="10"/>
      <c r="L317" s="10"/>
    </row>
    <row r="318" spans="1:12" x14ac:dyDescent="0.25">
      <c r="A318" s="20"/>
      <c r="B318" s="10"/>
      <c r="C318" s="10"/>
      <c r="D318" s="15">
        <f>IF(C318="","",IFERROR(INDEX(Alimentos!$B$5:$B$104,MATCH(C318,Alimentos!$A$5:$A$104,0)),""))</f>
      </c>
      <c r="E318" s="21"/>
      <c r="F318" s="21"/>
      <c r="G318" s="17">
        <f>IF(OR(E318="",F318=""),"",E318-F318)</f>
      </c>
      <c r="H318" s="18">
        <f>IF(OR(G318="",E318="",E318=0),"",G318/E318)</f>
      </c>
      <c r="I318" s="19">
        <f>IF(OR(E318="",C318=""),"",IFERROR(E318*INDEX(Alimentos!$C$5:$C$104,MATCH(C318,Alimentos!$A$5:$A$104,0)),""))</f>
      </c>
      <c r="J318" s="10"/>
      <c r="K318" s="10"/>
      <c r="L318" s="10"/>
    </row>
    <row r="319" spans="1:12" x14ac:dyDescent="0.25">
      <c r="A319" s="20"/>
      <c r="B319" s="10"/>
      <c r="C319" s="10"/>
      <c r="D319" s="15">
        <f>IF(C319="","",IFERROR(INDEX(Alimentos!$B$5:$B$104,MATCH(C319,Alimentos!$A$5:$A$104,0)),""))</f>
      </c>
      <c r="E319" s="21"/>
      <c r="F319" s="21"/>
      <c r="G319" s="17">
        <f>IF(OR(E319="",F319=""),"",E319-F319)</f>
      </c>
      <c r="H319" s="18">
        <f>IF(OR(G319="",E319="",E319=0),"",G319/E319)</f>
      </c>
      <c r="I319" s="19">
        <f>IF(OR(E319="",C319=""),"",IFERROR(E319*INDEX(Alimentos!$C$5:$C$104,MATCH(C319,Alimentos!$A$5:$A$104,0)),""))</f>
      </c>
      <c r="J319" s="10"/>
      <c r="K319" s="10"/>
      <c r="L319" s="10"/>
    </row>
    <row r="320" spans="1:12" x14ac:dyDescent="0.25">
      <c r="A320" s="20"/>
      <c r="B320" s="10"/>
      <c r="C320" s="10"/>
      <c r="D320" s="15">
        <f>IF(C320="","",IFERROR(INDEX(Alimentos!$B$5:$B$104,MATCH(C320,Alimentos!$A$5:$A$104,0)),""))</f>
      </c>
      <c r="E320" s="21"/>
      <c r="F320" s="21"/>
      <c r="G320" s="17">
        <f>IF(OR(E320="",F320=""),"",E320-F320)</f>
      </c>
      <c r="H320" s="18">
        <f>IF(OR(G320="",E320="",E320=0),"",G320/E320)</f>
      </c>
      <c r="I320" s="19">
        <f>IF(OR(E320="",C320=""),"",IFERROR(E320*INDEX(Alimentos!$C$5:$C$104,MATCH(C320,Alimentos!$A$5:$A$104,0)),""))</f>
      </c>
      <c r="J320" s="10"/>
      <c r="K320" s="10"/>
      <c r="L320" s="10"/>
    </row>
    <row r="321" spans="1:12" x14ac:dyDescent="0.25">
      <c r="A321" s="20"/>
      <c r="B321" s="10"/>
      <c r="C321" s="10"/>
      <c r="D321" s="15">
        <f>IF(C321="","",IFERROR(INDEX(Alimentos!$B$5:$B$104,MATCH(C321,Alimentos!$A$5:$A$104,0)),""))</f>
      </c>
      <c r="E321" s="21"/>
      <c r="F321" s="21"/>
      <c r="G321" s="17">
        <f>IF(OR(E321="",F321=""),"",E321-F321)</f>
      </c>
      <c r="H321" s="18">
        <f>IF(OR(G321="",E321="",E321=0),"",G321/E321)</f>
      </c>
      <c r="I321" s="19">
        <f>IF(OR(E321="",C321=""),"",IFERROR(E321*INDEX(Alimentos!$C$5:$C$104,MATCH(C321,Alimentos!$A$5:$A$104,0)),""))</f>
      </c>
      <c r="J321" s="10"/>
      <c r="K321" s="10"/>
      <c r="L321" s="10"/>
    </row>
    <row r="322" spans="1:12" x14ac:dyDescent="0.25">
      <c r="A322" s="20"/>
      <c r="B322" s="10"/>
      <c r="C322" s="10"/>
      <c r="D322" s="15">
        <f>IF(C322="","",IFERROR(INDEX(Alimentos!$B$5:$B$104,MATCH(C322,Alimentos!$A$5:$A$104,0)),""))</f>
      </c>
      <c r="E322" s="21"/>
      <c r="F322" s="21"/>
      <c r="G322" s="17">
        <f>IF(OR(E322="",F322=""),"",E322-F322)</f>
      </c>
      <c r="H322" s="18">
        <f>IF(OR(G322="",E322="",E322=0),"",G322/E322)</f>
      </c>
      <c r="I322" s="19">
        <f>IF(OR(E322="",C322=""),"",IFERROR(E322*INDEX(Alimentos!$C$5:$C$104,MATCH(C322,Alimentos!$A$5:$A$104,0)),""))</f>
      </c>
      <c r="J322" s="10"/>
      <c r="K322" s="10"/>
      <c r="L322" s="10"/>
    </row>
    <row r="323" spans="1:12" x14ac:dyDescent="0.25">
      <c r="A323" s="20"/>
      <c r="B323" s="10"/>
      <c r="C323" s="10"/>
      <c r="D323" s="15">
        <f>IF(C323="","",IFERROR(INDEX(Alimentos!$B$5:$B$104,MATCH(C323,Alimentos!$A$5:$A$104,0)),""))</f>
      </c>
      <c r="E323" s="21"/>
      <c r="F323" s="21"/>
      <c r="G323" s="17">
        <f>IF(OR(E323="",F323=""),"",E323-F323)</f>
      </c>
      <c r="H323" s="18">
        <f>IF(OR(G323="",E323="",E323=0),"",G323/E323)</f>
      </c>
      <c r="I323" s="19">
        <f>IF(OR(E323="",C323=""),"",IFERROR(E323*INDEX(Alimentos!$C$5:$C$104,MATCH(C323,Alimentos!$A$5:$A$104,0)),""))</f>
      </c>
      <c r="J323" s="10"/>
      <c r="K323" s="10"/>
      <c r="L323" s="10"/>
    </row>
    <row r="324" spans="1:12" x14ac:dyDescent="0.25">
      <c r="A324" s="20"/>
      <c r="B324" s="10"/>
      <c r="C324" s="10"/>
      <c r="D324" s="15">
        <f>IF(C324="","",IFERROR(INDEX(Alimentos!$B$5:$B$104,MATCH(C324,Alimentos!$A$5:$A$104,0)),""))</f>
      </c>
      <c r="E324" s="21"/>
      <c r="F324" s="21"/>
      <c r="G324" s="17">
        <f>IF(OR(E324="",F324=""),"",E324-F324)</f>
      </c>
      <c r="H324" s="18">
        <f>IF(OR(G324="",E324="",E324=0),"",G324/E324)</f>
      </c>
      <c r="I324" s="19">
        <f>IF(OR(E324="",C324=""),"",IFERROR(E324*INDEX(Alimentos!$C$5:$C$104,MATCH(C324,Alimentos!$A$5:$A$104,0)),""))</f>
      </c>
      <c r="J324" s="10"/>
      <c r="K324" s="10"/>
      <c r="L324" s="10"/>
    </row>
    <row r="325" spans="1:12" x14ac:dyDescent="0.25">
      <c r="A325" s="20"/>
      <c r="B325" s="10"/>
      <c r="C325" s="10"/>
      <c r="D325" s="15">
        <f>IF(C325="","",IFERROR(INDEX(Alimentos!$B$5:$B$104,MATCH(C325,Alimentos!$A$5:$A$104,0)),""))</f>
      </c>
      <c r="E325" s="21"/>
      <c r="F325" s="21"/>
      <c r="G325" s="17">
        <f>IF(OR(E325="",F325=""),"",E325-F325)</f>
      </c>
      <c r="H325" s="18">
        <f>IF(OR(G325="",E325="",E325=0),"",G325/E325)</f>
      </c>
      <c r="I325" s="19">
        <f>IF(OR(E325="",C325=""),"",IFERROR(E325*INDEX(Alimentos!$C$5:$C$104,MATCH(C325,Alimentos!$A$5:$A$104,0)),""))</f>
      </c>
      <c r="J325" s="10"/>
      <c r="K325" s="10"/>
      <c r="L325" s="10"/>
    </row>
    <row r="326" spans="1:12" x14ac:dyDescent="0.25">
      <c r="A326" s="20"/>
      <c r="B326" s="10"/>
      <c r="C326" s="10"/>
      <c r="D326" s="15">
        <f>IF(C326="","",IFERROR(INDEX(Alimentos!$B$5:$B$104,MATCH(C326,Alimentos!$A$5:$A$104,0)),""))</f>
      </c>
      <c r="E326" s="21"/>
      <c r="F326" s="21"/>
      <c r="G326" s="17">
        <f>IF(OR(E326="",F326=""),"",E326-F326)</f>
      </c>
      <c r="H326" s="18">
        <f>IF(OR(G326="",E326="",E326=0),"",G326/E326)</f>
      </c>
      <c r="I326" s="19">
        <f>IF(OR(E326="",C326=""),"",IFERROR(E326*INDEX(Alimentos!$C$5:$C$104,MATCH(C326,Alimentos!$A$5:$A$104,0)),""))</f>
      </c>
      <c r="J326" s="10"/>
      <c r="K326" s="10"/>
      <c r="L326" s="10"/>
    </row>
    <row r="327" spans="1:12" x14ac:dyDescent="0.25">
      <c r="A327" s="20"/>
      <c r="B327" s="10"/>
      <c r="C327" s="10"/>
      <c r="D327" s="15">
        <f>IF(C327="","",IFERROR(INDEX(Alimentos!$B$5:$B$104,MATCH(C327,Alimentos!$A$5:$A$104,0)),""))</f>
      </c>
      <c r="E327" s="21"/>
      <c r="F327" s="21"/>
      <c r="G327" s="17">
        <f>IF(OR(E327="",F327=""),"",E327-F327)</f>
      </c>
      <c r="H327" s="18">
        <f>IF(OR(G327="",E327="",E327=0),"",G327/E327)</f>
      </c>
      <c r="I327" s="19">
        <f>IF(OR(E327="",C327=""),"",IFERROR(E327*INDEX(Alimentos!$C$5:$C$104,MATCH(C327,Alimentos!$A$5:$A$104,0)),""))</f>
      </c>
      <c r="J327" s="10"/>
      <c r="K327" s="10"/>
      <c r="L327" s="10"/>
    </row>
    <row r="328" spans="1:12" x14ac:dyDescent="0.25">
      <c r="A328" s="20"/>
      <c r="B328" s="10"/>
      <c r="C328" s="10"/>
      <c r="D328" s="15">
        <f>IF(C328="","",IFERROR(INDEX(Alimentos!$B$5:$B$104,MATCH(C328,Alimentos!$A$5:$A$104,0)),""))</f>
      </c>
      <c r="E328" s="21"/>
      <c r="F328" s="21"/>
      <c r="G328" s="17">
        <f>IF(OR(E328="",F328=""),"",E328-F328)</f>
      </c>
      <c r="H328" s="18">
        <f>IF(OR(G328="",E328="",E328=0),"",G328/E328)</f>
      </c>
      <c r="I328" s="19">
        <f>IF(OR(E328="",C328=""),"",IFERROR(E328*INDEX(Alimentos!$C$5:$C$104,MATCH(C328,Alimentos!$A$5:$A$104,0)),""))</f>
      </c>
      <c r="J328" s="10"/>
      <c r="K328" s="10"/>
      <c r="L328" s="10"/>
    </row>
    <row r="329" spans="1:12" x14ac:dyDescent="0.25">
      <c r="A329" s="20"/>
      <c r="B329" s="10"/>
      <c r="C329" s="10"/>
      <c r="D329" s="15">
        <f>IF(C329="","",IFERROR(INDEX(Alimentos!$B$5:$B$104,MATCH(C329,Alimentos!$A$5:$A$104,0)),""))</f>
      </c>
      <c r="E329" s="21"/>
      <c r="F329" s="21"/>
      <c r="G329" s="17">
        <f>IF(OR(E329="",F329=""),"",E329-F329)</f>
      </c>
      <c r="H329" s="18">
        <f>IF(OR(G329="",E329="",E329=0),"",G329/E329)</f>
      </c>
      <c r="I329" s="19">
        <f>IF(OR(E329="",C329=""),"",IFERROR(E329*INDEX(Alimentos!$C$5:$C$104,MATCH(C329,Alimentos!$A$5:$A$104,0)),""))</f>
      </c>
      <c r="J329" s="10"/>
      <c r="K329" s="10"/>
      <c r="L329" s="10"/>
    </row>
    <row r="330" spans="1:12" x14ac:dyDescent="0.25">
      <c r="A330" s="20"/>
      <c r="B330" s="10"/>
      <c r="C330" s="10"/>
      <c r="D330" s="15">
        <f>IF(C330="","",IFERROR(INDEX(Alimentos!$B$5:$B$104,MATCH(C330,Alimentos!$A$5:$A$104,0)),""))</f>
      </c>
      <c r="E330" s="21"/>
      <c r="F330" s="21"/>
      <c r="G330" s="17">
        <f>IF(OR(E330="",F330=""),"",E330-F330)</f>
      </c>
      <c r="H330" s="18">
        <f>IF(OR(G330="",E330="",E330=0),"",G330/E330)</f>
      </c>
      <c r="I330" s="19">
        <f>IF(OR(E330="",C330=""),"",IFERROR(E330*INDEX(Alimentos!$C$5:$C$104,MATCH(C330,Alimentos!$A$5:$A$104,0)),""))</f>
      </c>
      <c r="J330" s="10"/>
      <c r="K330" s="10"/>
      <c r="L330" s="10"/>
    </row>
    <row r="331" spans="1:12" x14ac:dyDescent="0.25">
      <c r="A331" s="20"/>
      <c r="B331" s="10"/>
      <c r="C331" s="10"/>
      <c r="D331" s="15">
        <f>IF(C331="","",IFERROR(INDEX(Alimentos!$B$5:$B$104,MATCH(C331,Alimentos!$A$5:$A$104,0)),""))</f>
      </c>
      <c r="E331" s="21"/>
      <c r="F331" s="21"/>
      <c r="G331" s="17">
        <f>IF(OR(E331="",F331=""),"",E331-F331)</f>
      </c>
      <c r="H331" s="18">
        <f>IF(OR(G331="",E331="",E331=0),"",G331/E331)</f>
      </c>
      <c r="I331" s="19">
        <f>IF(OR(E331="",C331=""),"",IFERROR(E331*INDEX(Alimentos!$C$5:$C$104,MATCH(C331,Alimentos!$A$5:$A$104,0)),""))</f>
      </c>
      <c r="J331" s="10"/>
      <c r="K331" s="10"/>
      <c r="L331" s="10"/>
    </row>
    <row r="332" spans="1:12" x14ac:dyDescent="0.25">
      <c r="A332" s="20"/>
      <c r="B332" s="10"/>
      <c r="C332" s="10"/>
      <c r="D332" s="15">
        <f>IF(C332="","",IFERROR(INDEX(Alimentos!$B$5:$B$104,MATCH(C332,Alimentos!$A$5:$A$104,0)),""))</f>
      </c>
      <c r="E332" s="21"/>
      <c r="F332" s="21"/>
      <c r="G332" s="17">
        <f>IF(OR(E332="",F332=""),"",E332-F332)</f>
      </c>
      <c r="H332" s="18">
        <f>IF(OR(G332="",E332="",E332=0),"",G332/E332)</f>
      </c>
      <c r="I332" s="19">
        <f>IF(OR(E332="",C332=""),"",IFERROR(E332*INDEX(Alimentos!$C$5:$C$104,MATCH(C332,Alimentos!$A$5:$A$104,0)),""))</f>
      </c>
      <c r="J332" s="10"/>
      <c r="K332" s="10"/>
      <c r="L332" s="10"/>
    </row>
    <row r="333" spans="1:12" x14ac:dyDescent="0.25">
      <c r="A333" s="20"/>
      <c r="B333" s="10"/>
      <c r="C333" s="10"/>
      <c r="D333" s="15">
        <f>IF(C333="","",IFERROR(INDEX(Alimentos!$B$5:$B$104,MATCH(C333,Alimentos!$A$5:$A$104,0)),""))</f>
      </c>
      <c r="E333" s="21"/>
      <c r="F333" s="21"/>
      <c r="G333" s="17">
        <f>IF(OR(E333="",F333=""),"",E333-F333)</f>
      </c>
      <c r="H333" s="18">
        <f>IF(OR(G333="",E333="",E333=0),"",G333/E333)</f>
      </c>
      <c r="I333" s="19">
        <f>IF(OR(E333="",C333=""),"",IFERROR(E333*INDEX(Alimentos!$C$5:$C$104,MATCH(C333,Alimentos!$A$5:$A$104,0)),""))</f>
      </c>
      <c r="J333" s="10"/>
      <c r="K333" s="10"/>
      <c r="L333" s="10"/>
    </row>
    <row r="334" spans="1:12" x14ac:dyDescent="0.25">
      <c r="A334" s="20"/>
      <c r="B334" s="10"/>
      <c r="C334" s="10"/>
      <c r="D334" s="15">
        <f>IF(C334="","",IFERROR(INDEX(Alimentos!$B$5:$B$104,MATCH(C334,Alimentos!$A$5:$A$104,0)),""))</f>
      </c>
      <c r="E334" s="21"/>
      <c r="F334" s="21"/>
      <c r="G334" s="17">
        <f>IF(OR(E334="",F334=""),"",E334-F334)</f>
      </c>
      <c r="H334" s="18">
        <f>IF(OR(G334="",E334="",E334=0),"",G334/E334)</f>
      </c>
      <c r="I334" s="19">
        <f>IF(OR(E334="",C334=""),"",IFERROR(E334*INDEX(Alimentos!$C$5:$C$104,MATCH(C334,Alimentos!$A$5:$A$104,0)),""))</f>
      </c>
      <c r="J334" s="10"/>
      <c r="K334" s="10"/>
      <c r="L334" s="10"/>
    </row>
    <row r="335" spans="1:12" x14ac:dyDescent="0.25">
      <c r="A335" s="20"/>
      <c r="B335" s="10"/>
      <c r="C335" s="10"/>
      <c r="D335" s="15">
        <f>IF(C335="","",IFERROR(INDEX(Alimentos!$B$5:$B$104,MATCH(C335,Alimentos!$A$5:$A$104,0)),""))</f>
      </c>
      <c r="E335" s="21"/>
      <c r="F335" s="21"/>
      <c r="G335" s="17">
        <f>IF(OR(E335="",F335=""),"",E335-F335)</f>
      </c>
      <c r="H335" s="18">
        <f>IF(OR(G335="",E335="",E335=0),"",G335/E335)</f>
      </c>
      <c r="I335" s="19">
        <f>IF(OR(E335="",C335=""),"",IFERROR(E335*INDEX(Alimentos!$C$5:$C$104,MATCH(C335,Alimentos!$A$5:$A$104,0)),""))</f>
      </c>
      <c r="J335" s="10"/>
      <c r="K335" s="10"/>
      <c r="L335" s="10"/>
    </row>
    <row r="336" spans="1:12" x14ac:dyDescent="0.25">
      <c r="A336" s="20"/>
      <c r="B336" s="10"/>
      <c r="C336" s="10"/>
      <c r="D336" s="15">
        <f>IF(C336="","",IFERROR(INDEX(Alimentos!$B$5:$B$104,MATCH(C336,Alimentos!$A$5:$A$104,0)),""))</f>
      </c>
      <c r="E336" s="21"/>
      <c r="F336" s="21"/>
      <c r="G336" s="17">
        <f>IF(OR(E336="",F336=""),"",E336-F336)</f>
      </c>
      <c r="H336" s="18">
        <f>IF(OR(G336="",E336="",E336=0),"",G336/E336)</f>
      </c>
      <c r="I336" s="19">
        <f>IF(OR(E336="",C336=""),"",IFERROR(E336*INDEX(Alimentos!$C$5:$C$104,MATCH(C336,Alimentos!$A$5:$A$104,0)),""))</f>
      </c>
      <c r="J336" s="10"/>
      <c r="K336" s="10"/>
      <c r="L336" s="10"/>
    </row>
    <row r="337" spans="1:12" x14ac:dyDescent="0.25">
      <c r="A337" s="20"/>
      <c r="B337" s="10"/>
      <c r="C337" s="10"/>
      <c r="D337" s="15">
        <f>IF(C337="","",IFERROR(INDEX(Alimentos!$B$5:$B$104,MATCH(C337,Alimentos!$A$5:$A$104,0)),""))</f>
      </c>
      <c r="E337" s="21"/>
      <c r="F337" s="21"/>
      <c r="G337" s="17">
        <f>IF(OR(E337="",F337=""),"",E337-F337)</f>
      </c>
      <c r="H337" s="18">
        <f>IF(OR(G337="",E337="",E337=0),"",G337/E337)</f>
      </c>
      <c r="I337" s="19">
        <f>IF(OR(E337="",C337=""),"",IFERROR(E337*INDEX(Alimentos!$C$5:$C$104,MATCH(C337,Alimentos!$A$5:$A$104,0)),""))</f>
      </c>
      <c r="J337" s="10"/>
      <c r="K337" s="10"/>
      <c r="L337" s="10"/>
    </row>
    <row r="338" spans="1:12" x14ac:dyDescent="0.25">
      <c r="A338" s="20"/>
      <c r="B338" s="10"/>
      <c r="C338" s="10"/>
      <c r="D338" s="15">
        <f>IF(C338="","",IFERROR(INDEX(Alimentos!$B$5:$B$104,MATCH(C338,Alimentos!$A$5:$A$104,0)),""))</f>
      </c>
      <c r="E338" s="21"/>
      <c r="F338" s="21"/>
      <c r="G338" s="17">
        <f>IF(OR(E338="",F338=""),"",E338-F338)</f>
      </c>
      <c r="H338" s="18">
        <f>IF(OR(G338="",E338="",E338=0),"",G338/E338)</f>
      </c>
      <c r="I338" s="19">
        <f>IF(OR(E338="",C338=""),"",IFERROR(E338*INDEX(Alimentos!$C$5:$C$104,MATCH(C338,Alimentos!$A$5:$A$104,0)),""))</f>
      </c>
      <c r="J338" s="10"/>
      <c r="K338" s="10"/>
      <c r="L338" s="10"/>
    </row>
    <row r="339" spans="1:12" x14ac:dyDescent="0.25">
      <c r="A339" s="20"/>
      <c r="B339" s="10"/>
      <c r="C339" s="10"/>
      <c r="D339" s="15">
        <f>IF(C339="","",IFERROR(INDEX(Alimentos!$B$5:$B$104,MATCH(C339,Alimentos!$A$5:$A$104,0)),""))</f>
      </c>
      <c r="E339" s="21"/>
      <c r="F339" s="21"/>
      <c r="G339" s="17">
        <f>IF(OR(E339="",F339=""),"",E339-F339)</f>
      </c>
      <c r="H339" s="18">
        <f>IF(OR(G339="",E339="",E339=0),"",G339/E339)</f>
      </c>
      <c r="I339" s="19">
        <f>IF(OR(E339="",C339=""),"",IFERROR(E339*INDEX(Alimentos!$C$5:$C$104,MATCH(C339,Alimentos!$A$5:$A$104,0)),""))</f>
      </c>
      <c r="J339" s="10"/>
      <c r="K339" s="10"/>
      <c r="L339" s="10"/>
    </row>
    <row r="340" spans="1:12" x14ac:dyDescent="0.25">
      <c r="A340" s="20"/>
      <c r="B340" s="10"/>
      <c r="C340" s="10"/>
      <c r="D340" s="15">
        <f>IF(C340="","",IFERROR(INDEX(Alimentos!$B$5:$B$104,MATCH(C340,Alimentos!$A$5:$A$104,0)),""))</f>
      </c>
      <c r="E340" s="21"/>
      <c r="F340" s="21"/>
      <c r="G340" s="17">
        <f>IF(OR(E340="",F340=""),"",E340-F340)</f>
      </c>
      <c r="H340" s="18">
        <f>IF(OR(G340="",E340="",E340=0),"",G340/E340)</f>
      </c>
      <c r="I340" s="19">
        <f>IF(OR(E340="",C340=""),"",IFERROR(E340*INDEX(Alimentos!$C$5:$C$104,MATCH(C340,Alimentos!$A$5:$A$104,0)),""))</f>
      </c>
      <c r="J340" s="10"/>
      <c r="K340" s="10"/>
      <c r="L340" s="10"/>
    </row>
    <row r="341" spans="1:12" x14ac:dyDescent="0.25">
      <c r="A341" s="20"/>
      <c r="B341" s="10"/>
      <c r="C341" s="10"/>
      <c r="D341" s="15">
        <f>IF(C341="","",IFERROR(INDEX(Alimentos!$B$5:$B$104,MATCH(C341,Alimentos!$A$5:$A$104,0)),""))</f>
      </c>
      <c r="E341" s="21"/>
      <c r="F341" s="21"/>
      <c r="G341" s="17">
        <f>IF(OR(E341="",F341=""),"",E341-F341)</f>
      </c>
      <c r="H341" s="18">
        <f>IF(OR(G341="",E341="",E341=0),"",G341/E341)</f>
      </c>
      <c r="I341" s="19">
        <f>IF(OR(E341="",C341=""),"",IFERROR(E341*INDEX(Alimentos!$C$5:$C$104,MATCH(C341,Alimentos!$A$5:$A$104,0)),""))</f>
      </c>
      <c r="J341" s="10"/>
      <c r="K341" s="10"/>
      <c r="L341" s="10"/>
    </row>
    <row r="342" spans="1:12" x14ac:dyDescent="0.25">
      <c r="A342" s="20"/>
      <c r="B342" s="10"/>
      <c r="C342" s="10"/>
      <c r="D342" s="15">
        <f>IF(C342="","",IFERROR(INDEX(Alimentos!$B$5:$B$104,MATCH(C342,Alimentos!$A$5:$A$104,0)),""))</f>
      </c>
      <c r="E342" s="21"/>
      <c r="F342" s="21"/>
      <c r="G342" s="17">
        <f>IF(OR(E342="",F342=""),"",E342-F342)</f>
      </c>
      <c r="H342" s="18">
        <f>IF(OR(G342="",E342="",E342=0),"",G342/E342)</f>
      </c>
      <c r="I342" s="19">
        <f>IF(OR(E342="",C342=""),"",IFERROR(E342*INDEX(Alimentos!$C$5:$C$104,MATCH(C342,Alimentos!$A$5:$A$104,0)),""))</f>
      </c>
      <c r="J342" s="10"/>
      <c r="K342" s="10"/>
      <c r="L342" s="10"/>
    </row>
    <row r="343" spans="1:12" x14ac:dyDescent="0.25">
      <c r="A343" s="20"/>
      <c r="B343" s="10"/>
      <c r="C343" s="10"/>
      <c r="D343" s="15">
        <f>IF(C343="","",IFERROR(INDEX(Alimentos!$B$5:$B$104,MATCH(C343,Alimentos!$A$5:$A$104,0)),""))</f>
      </c>
      <c r="E343" s="21"/>
      <c r="F343" s="21"/>
      <c r="G343" s="17">
        <f>IF(OR(E343="",F343=""),"",E343-F343)</f>
      </c>
      <c r="H343" s="18">
        <f>IF(OR(G343="",E343="",E343=0),"",G343/E343)</f>
      </c>
      <c r="I343" s="19">
        <f>IF(OR(E343="",C343=""),"",IFERROR(E343*INDEX(Alimentos!$C$5:$C$104,MATCH(C343,Alimentos!$A$5:$A$104,0)),""))</f>
      </c>
      <c r="J343" s="10"/>
      <c r="K343" s="10"/>
      <c r="L343" s="10"/>
    </row>
    <row r="344" spans="1:12" x14ac:dyDescent="0.25">
      <c r="A344" s="20"/>
      <c r="B344" s="10"/>
      <c r="C344" s="10"/>
      <c r="D344" s="15">
        <f>IF(C344="","",IFERROR(INDEX(Alimentos!$B$5:$B$104,MATCH(C344,Alimentos!$A$5:$A$104,0)),""))</f>
      </c>
      <c r="E344" s="21"/>
      <c r="F344" s="21"/>
      <c r="G344" s="17">
        <f>IF(OR(E344="",F344=""),"",E344-F344)</f>
      </c>
      <c r="H344" s="18">
        <f>IF(OR(G344="",E344="",E344=0),"",G344/E344)</f>
      </c>
      <c r="I344" s="19">
        <f>IF(OR(E344="",C344=""),"",IFERROR(E344*INDEX(Alimentos!$C$5:$C$104,MATCH(C344,Alimentos!$A$5:$A$104,0)),""))</f>
      </c>
      <c r="J344" s="10"/>
      <c r="K344" s="10"/>
      <c r="L344" s="10"/>
    </row>
    <row r="345" spans="1:12" x14ac:dyDescent="0.25">
      <c r="A345" s="20"/>
      <c r="B345" s="10"/>
      <c r="C345" s="10"/>
      <c r="D345" s="15">
        <f>IF(C345="","",IFERROR(INDEX(Alimentos!$B$5:$B$104,MATCH(C345,Alimentos!$A$5:$A$104,0)),""))</f>
      </c>
      <c r="E345" s="21"/>
      <c r="F345" s="21"/>
      <c r="G345" s="17">
        <f>IF(OR(E345="",F345=""),"",E345-F345)</f>
      </c>
      <c r="H345" s="18">
        <f>IF(OR(G345="",E345="",E345=0),"",G345/E345)</f>
      </c>
      <c r="I345" s="19">
        <f>IF(OR(E345="",C345=""),"",IFERROR(E345*INDEX(Alimentos!$C$5:$C$104,MATCH(C345,Alimentos!$A$5:$A$104,0)),""))</f>
      </c>
      <c r="J345" s="10"/>
      <c r="K345" s="10"/>
      <c r="L345" s="10"/>
    </row>
    <row r="346" spans="1:12" x14ac:dyDescent="0.25">
      <c r="A346" s="20"/>
      <c r="B346" s="10"/>
      <c r="C346" s="10"/>
      <c r="D346" s="15">
        <f>IF(C346="","",IFERROR(INDEX(Alimentos!$B$5:$B$104,MATCH(C346,Alimentos!$A$5:$A$104,0)),""))</f>
      </c>
      <c r="E346" s="21"/>
      <c r="F346" s="21"/>
      <c r="G346" s="17">
        <f>IF(OR(E346="",F346=""),"",E346-F346)</f>
      </c>
      <c r="H346" s="18">
        <f>IF(OR(G346="",E346="",E346=0),"",G346/E346)</f>
      </c>
      <c r="I346" s="19">
        <f>IF(OR(E346="",C346=""),"",IFERROR(E346*INDEX(Alimentos!$C$5:$C$104,MATCH(C346,Alimentos!$A$5:$A$104,0)),""))</f>
      </c>
      <c r="J346" s="10"/>
      <c r="K346" s="10"/>
      <c r="L346" s="10"/>
    </row>
    <row r="347" spans="1:12" x14ac:dyDescent="0.25">
      <c r="A347" s="20"/>
      <c r="B347" s="10"/>
      <c r="C347" s="10"/>
      <c r="D347" s="15">
        <f>IF(C347="","",IFERROR(INDEX(Alimentos!$B$5:$B$104,MATCH(C347,Alimentos!$A$5:$A$104,0)),""))</f>
      </c>
      <c r="E347" s="21"/>
      <c r="F347" s="21"/>
      <c r="G347" s="17">
        <f>IF(OR(E347="",F347=""),"",E347-F347)</f>
      </c>
      <c r="H347" s="18">
        <f>IF(OR(G347="",E347="",E347=0),"",G347/E347)</f>
      </c>
      <c r="I347" s="19">
        <f>IF(OR(E347="",C347=""),"",IFERROR(E347*INDEX(Alimentos!$C$5:$C$104,MATCH(C347,Alimentos!$A$5:$A$104,0)),""))</f>
      </c>
      <c r="J347" s="10"/>
      <c r="K347" s="10"/>
      <c r="L347" s="10"/>
    </row>
    <row r="348" spans="1:12" x14ac:dyDescent="0.25">
      <c r="A348" s="20"/>
      <c r="B348" s="10"/>
      <c r="C348" s="10"/>
      <c r="D348" s="15">
        <f>IF(C348="","",IFERROR(INDEX(Alimentos!$B$5:$B$104,MATCH(C348,Alimentos!$A$5:$A$104,0)),""))</f>
      </c>
      <c r="E348" s="21"/>
      <c r="F348" s="21"/>
      <c r="G348" s="17">
        <f>IF(OR(E348="",F348=""),"",E348-F348)</f>
      </c>
      <c r="H348" s="18">
        <f>IF(OR(G348="",E348="",E348=0),"",G348/E348)</f>
      </c>
      <c r="I348" s="19">
        <f>IF(OR(E348="",C348=""),"",IFERROR(E348*INDEX(Alimentos!$C$5:$C$104,MATCH(C348,Alimentos!$A$5:$A$104,0)),""))</f>
      </c>
      <c r="J348" s="10"/>
      <c r="K348" s="10"/>
      <c r="L348" s="10"/>
    </row>
    <row r="349" spans="1:12" x14ac:dyDescent="0.25">
      <c r="A349" s="20"/>
      <c r="B349" s="10"/>
      <c r="C349" s="10"/>
      <c r="D349" s="15">
        <f>IF(C349="","",IFERROR(INDEX(Alimentos!$B$5:$B$104,MATCH(C349,Alimentos!$A$5:$A$104,0)),""))</f>
      </c>
      <c r="E349" s="21"/>
      <c r="F349" s="21"/>
      <c r="G349" s="17">
        <f>IF(OR(E349="",F349=""),"",E349-F349)</f>
      </c>
      <c r="H349" s="18">
        <f>IF(OR(G349="",E349="",E349=0),"",G349/E349)</f>
      </c>
      <c r="I349" s="19">
        <f>IF(OR(E349="",C349=""),"",IFERROR(E349*INDEX(Alimentos!$C$5:$C$104,MATCH(C349,Alimentos!$A$5:$A$104,0)),""))</f>
      </c>
      <c r="J349" s="10"/>
      <c r="K349" s="10"/>
      <c r="L349" s="10"/>
    </row>
    <row r="350" spans="1:12" x14ac:dyDescent="0.25">
      <c r="A350" s="20"/>
      <c r="B350" s="10"/>
      <c r="C350" s="10"/>
      <c r="D350" s="15">
        <f>IF(C350="","",IFERROR(INDEX(Alimentos!$B$5:$B$104,MATCH(C350,Alimentos!$A$5:$A$104,0)),""))</f>
      </c>
      <c r="E350" s="21"/>
      <c r="F350" s="21"/>
      <c r="G350" s="17">
        <f>IF(OR(E350="",F350=""),"",E350-F350)</f>
      </c>
      <c r="H350" s="18">
        <f>IF(OR(G350="",E350="",E350=0),"",G350/E350)</f>
      </c>
      <c r="I350" s="19">
        <f>IF(OR(E350="",C350=""),"",IFERROR(E350*INDEX(Alimentos!$C$5:$C$104,MATCH(C350,Alimentos!$A$5:$A$104,0)),""))</f>
      </c>
      <c r="J350" s="10"/>
      <c r="K350" s="10"/>
      <c r="L350" s="10"/>
    </row>
    <row r="351" spans="1:12" x14ac:dyDescent="0.25">
      <c r="A351" s="20"/>
      <c r="B351" s="10"/>
      <c r="C351" s="10"/>
      <c r="D351" s="15">
        <f>IF(C351="","",IFERROR(INDEX(Alimentos!$B$5:$B$104,MATCH(C351,Alimentos!$A$5:$A$104,0)),""))</f>
      </c>
      <c r="E351" s="21"/>
      <c r="F351" s="21"/>
      <c r="G351" s="17">
        <f>IF(OR(E351="",F351=""),"",E351-F351)</f>
      </c>
      <c r="H351" s="18">
        <f>IF(OR(G351="",E351="",E351=0),"",G351/E351)</f>
      </c>
      <c r="I351" s="19">
        <f>IF(OR(E351="",C351=""),"",IFERROR(E351*INDEX(Alimentos!$C$5:$C$104,MATCH(C351,Alimentos!$A$5:$A$104,0)),""))</f>
      </c>
      <c r="J351" s="10"/>
      <c r="K351" s="10"/>
      <c r="L351" s="10"/>
    </row>
    <row r="352" spans="1:12" x14ac:dyDescent="0.25">
      <c r="A352" s="20"/>
      <c r="B352" s="10"/>
      <c r="C352" s="10"/>
      <c r="D352" s="15">
        <f>IF(C352="","",IFERROR(INDEX(Alimentos!$B$5:$B$104,MATCH(C352,Alimentos!$A$5:$A$104,0)),""))</f>
      </c>
      <c r="E352" s="21"/>
      <c r="F352" s="21"/>
      <c r="G352" s="17">
        <f>IF(OR(E352="",F352=""),"",E352-F352)</f>
      </c>
      <c r="H352" s="18">
        <f>IF(OR(G352="",E352="",E352=0),"",G352/E352)</f>
      </c>
      <c r="I352" s="19">
        <f>IF(OR(E352="",C352=""),"",IFERROR(E352*INDEX(Alimentos!$C$5:$C$104,MATCH(C352,Alimentos!$A$5:$A$104,0)),""))</f>
      </c>
      <c r="J352" s="10"/>
      <c r="K352" s="10"/>
      <c r="L352" s="10"/>
    </row>
    <row r="353" spans="1:12" x14ac:dyDescent="0.25">
      <c r="A353" s="20"/>
      <c r="B353" s="10"/>
      <c r="C353" s="10"/>
      <c r="D353" s="15">
        <f>IF(C353="","",IFERROR(INDEX(Alimentos!$B$5:$B$104,MATCH(C353,Alimentos!$A$5:$A$104,0)),""))</f>
      </c>
      <c r="E353" s="21"/>
      <c r="F353" s="21"/>
      <c r="G353" s="17">
        <f>IF(OR(E353="",F353=""),"",E353-F353)</f>
      </c>
      <c r="H353" s="18">
        <f>IF(OR(G353="",E353="",E353=0),"",G353/E353)</f>
      </c>
      <c r="I353" s="19">
        <f>IF(OR(E353="",C353=""),"",IFERROR(E353*INDEX(Alimentos!$C$5:$C$104,MATCH(C353,Alimentos!$A$5:$A$104,0)),""))</f>
      </c>
      <c r="J353" s="10"/>
      <c r="K353" s="10"/>
      <c r="L353" s="10"/>
    </row>
    <row r="354" spans="1:12" x14ac:dyDescent="0.25">
      <c r="A354" s="20"/>
      <c r="B354" s="10"/>
      <c r="C354" s="10"/>
      <c r="D354" s="15">
        <f>IF(C354="","",IFERROR(INDEX(Alimentos!$B$5:$B$104,MATCH(C354,Alimentos!$A$5:$A$104,0)),""))</f>
      </c>
      <c r="E354" s="21"/>
      <c r="F354" s="21"/>
      <c r="G354" s="17">
        <f>IF(OR(E354="",F354=""),"",E354-F354)</f>
      </c>
      <c r="H354" s="18">
        <f>IF(OR(G354="",E354="",E354=0),"",G354/E354)</f>
      </c>
      <c r="I354" s="19">
        <f>IF(OR(E354="",C354=""),"",IFERROR(E354*INDEX(Alimentos!$C$5:$C$104,MATCH(C354,Alimentos!$A$5:$A$104,0)),""))</f>
      </c>
      <c r="J354" s="10"/>
      <c r="K354" s="10"/>
      <c r="L354" s="10"/>
    </row>
    <row r="355" spans="1:12" x14ac:dyDescent="0.25">
      <c r="A355" s="20"/>
      <c r="B355" s="10"/>
      <c r="C355" s="10"/>
      <c r="D355" s="15">
        <f>IF(C355="","",IFERROR(INDEX(Alimentos!$B$5:$B$104,MATCH(C355,Alimentos!$A$5:$A$104,0)),""))</f>
      </c>
      <c r="E355" s="21"/>
      <c r="F355" s="21"/>
      <c r="G355" s="17">
        <f>IF(OR(E355="",F355=""),"",E355-F355)</f>
      </c>
      <c r="H355" s="18">
        <f>IF(OR(G355="",E355="",E355=0),"",G355/E355)</f>
      </c>
      <c r="I355" s="19">
        <f>IF(OR(E355="",C355=""),"",IFERROR(E355*INDEX(Alimentos!$C$5:$C$104,MATCH(C355,Alimentos!$A$5:$A$104,0)),""))</f>
      </c>
      <c r="J355" s="10"/>
      <c r="K355" s="10"/>
      <c r="L355" s="10"/>
    </row>
    <row r="356" spans="1:12" x14ac:dyDescent="0.25">
      <c r="A356" s="20"/>
      <c r="B356" s="10"/>
      <c r="C356" s="10"/>
      <c r="D356" s="15">
        <f>IF(C356="","",IFERROR(INDEX(Alimentos!$B$5:$B$104,MATCH(C356,Alimentos!$A$5:$A$104,0)),""))</f>
      </c>
      <c r="E356" s="21"/>
      <c r="F356" s="21"/>
      <c r="G356" s="17">
        <f>IF(OR(E356="",F356=""),"",E356-F356)</f>
      </c>
      <c r="H356" s="18">
        <f>IF(OR(G356="",E356="",E356=0),"",G356/E356)</f>
      </c>
      <c r="I356" s="19">
        <f>IF(OR(E356="",C356=""),"",IFERROR(E356*INDEX(Alimentos!$C$5:$C$104,MATCH(C356,Alimentos!$A$5:$A$104,0)),""))</f>
      </c>
      <c r="J356" s="10"/>
      <c r="K356" s="10"/>
      <c r="L356" s="10"/>
    </row>
    <row r="357" spans="1:12" x14ac:dyDescent="0.25">
      <c r="A357" s="20"/>
      <c r="B357" s="10"/>
      <c r="C357" s="10"/>
      <c r="D357" s="15">
        <f>IF(C357="","",IFERROR(INDEX(Alimentos!$B$5:$B$104,MATCH(C357,Alimentos!$A$5:$A$104,0)),""))</f>
      </c>
      <c r="E357" s="21"/>
      <c r="F357" s="21"/>
      <c r="G357" s="17">
        <f>IF(OR(E357="",F357=""),"",E357-F357)</f>
      </c>
      <c r="H357" s="18">
        <f>IF(OR(G357="",E357="",E357=0),"",G357/E357)</f>
      </c>
      <c r="I357" s="19">
        <f>IF(OR(E357="",C357=""),"",IFERROR(E357*INDEX(Alimentos!$C$5:$C$104,MATCH(C357,Alimentos!$A$5:$A$104,0)),""))</f>
      </c>
      <c r="J357" s="10"/>
      <c r="K357" s="10"/>
      <c r="L357" s="10"/>
    </row>
    <row r="358" spans="1:12" x14ac:dyDescent="0.25">
      <c r="A358" s="20"/>
      <c r="B358" s="10"/>
      <c r="C358" s="10"/>
      <c r="D358" s="15">
        <f>IF(C358="","",IFERROR(INDEX(Alimentos!$B$5:$B$104,MATCH(C358,Alimentos!$A$5:$A$104,0)),""))</f>
      </c>
      <c r="E358" s="21"/>
      <c r="F358" s="21"/>
      <c r="G358" s="17">
        <f>IF(OR(E358="",F358=""),"",E358-F358)</f>
      </c>
      <c r="H358" s="18">
        <f>IF(OR(G358="",E358="",E358=0),"",G358/E358)</f>
      </c>
      <c r="I358" s="19">
        <f>IF(OR(E358="",C358=""),"",IFERROR(E358*INDEX(Alimentos!$C$5:$C$104,MATCH(C358,Alimentos!$A$5:$A$104,0)),""))</f>
      </c>
      <c r="J358" s="10"/>
      <c r="K358" s="10"/>
      <c r="L358" s="10"/>
    </row>
    <row r="359" spans="1:12" x14ac:dyDescent="0.25">
      <c r="A359" s="20"/>
      <c r="B359" s="10"/>
      <c r="C359" s="10"/>
      <c r="D359" s="15">
        <f>IF(C359="","",IFERROR(INDEX(Alimentos!$B$5:$B$104,MATCH(C359,Alimentos!$A$5:$A$104,0)),""))</f>
      </c>
      <c r="E359" s="21"/>
      <c r="F359" s="21"/>
      <c r="G359" s="17">
        <f>IF(OR(E359="",F359=""),"",E359-F359)</f>
      </c>
      <c r="H359" s="18">
        <f>IF(OR(G359="",E359="",E359=0),"",G359/E359)</f>
      </c>
      <c r="I359" s="19">
        <f>IF(OR(E359="",C359=""),"",IFERROR(E359*INDEX(Alimentos!$C$5:$C$104,MATCH(C359,Alimentos!$A$5:$A$104,0)),""))</f>
      </c>
      <c r="J359" s="10"/>
      <c r="K359" s="10"/>
      <c r="L359" s="10"/>
    </row>
    <row r="360" spans="1:12" x14ac:dyDescent="0.25">
      <c r="A360" s="20"/>
      <c r="B360" s="10"/>
      <c r="C360" s="10"/>
      <c r="D360" s="15">
        <f>IF(C360="","",IFERROR(INDEX(Alimentos!$B$5:$B$104,MATCH(C360,Alimentos!$A$5:$A$104,0)),""))</f>
      </c>
      <c r="E360" s="21"/>
      <c r="F360" s="21"/>
      <c r="G360" s="17">
        <f>IF(OR(E360="",F360=""),"",E360-F360)</f>
      </c>
      <c r="H360" s="18">
        <f>IF(OR(G360="",E360="",E360=0),"",G360/E360)</f>
      </c>
      <c r="I360" s="19">
        <f>IF(OR(E360="",C360=""),"",IFERROR(E360*INDEX(Alimentos!$C$5:$C$104,MATCH(C360,Alimentos!$A$5:$A$104,0)),""))</f>
      </c>
      <c r="J360" s="10"/>
      <c r="K360" s="10"/>
      <c r="L360" s="10"/>
    </row>
    <row r="361" spans="1:12" x14ac:dyDescent="0.25">
      <c r="A361" s="20"/>
      <c r="B361" s="10"/>
      <c r="C361" s="10"/>
      <c r="D361" s="15">
        <f>IF(C361="","",IFERROR(INDEX(Alimentos!$B$5:$B$104,MATCH(C361,Alimentos!$A$5:$A$104,0)),""))</f>
      </c>
      <c r="E361" s="21"/>
      <c r="F361" s="21"/>
      <c r="G361" s="17">
        <f>IF(OR(E361="",F361=""),"",E361-F361)</f>
      </c>
      <c r="H361" s="18">
        <f>IF(OR(G361="",E361="",E361=0),"",G361/E361)</f>
      </c>
      <c r="I361" s="19">
        <f>IF(OR(E361="",C361=""),"",IFERROR(E361*INDEX(Alimentos!$C$5:$C$104,MATCH(C361,Alimentos!$A$5:$A$104,0)),""))</f>
      </c>
      <c r="J361" s="10"/>
      <c r="K361" s="10"/>
      <c r="L361" s="10"/>
    </row>
    <row r="362" spans="1:12" x14ac:dyDescent="0.25">
      <c r="A362" s="20"/>
      <c r="B362" s="10"/>
      <c r="C362" s="10"/>
      <c r="D362" s="15">
        <f>IF(C362="","",IFERROR(INDEX(Alimentos!$B$5:$B$104,MATCH(C362,Alimentos!$A$5:$A$104,0)),""))</f>
      </c>
      <c r="E362" s="21"/>
      <c r="F362" s="21"/>
      <c r="G362" s="17">
        <f>IF(OR(E362="",F362=""),"",E362-F362)</f>
      </c>
      <c r="H362" s="18">
        <f>IF(OR(G362="",E362="",E362=0),"",G362/E362)</f>
      </c>
      <c r="I362" s="19">
        <f>IF(OR(E362="",C362=""),"",IFERROR(E362*INDEX(Alimentos!$C$5:$C$104,MATCH(C362,Alimentos!$A$5:$A$104,0)),""))</f>
      </c>
      <c r="J362" s="10"/>
      <c r="K362" s="10"/>
      <c r="L362" s="10"/>
    </row>
    <row r="363" spans="1:12" x14ac:dyDescent="0.25">
      <c r="A363" s="20"/>
      <c r="B363" s="10"/>
      <c r="C363" s="10"/>
      <c r="D363" s="15">
        <f>IF(C363="","",IFERROR(INDEX(Alimentos!$B$5:$B$104,MATCH(C363,Alimentos!$A$5:$A$104,0)),""))</f>
      </c>
      <c r="E363" s="21"/>
      <c r="F363" s="21"/>
      <c r="G363" s="17">
        <f>IF(OR(E363="",F363=""),"",E363-F363)</f>
      </c>
      <c r="H363" s="18">
        <f>IF(OR(G363="",E363="",E363=0),"",G363/E363)</f>
      </c>
      <c r="I363" s="19">
        <f>IF(OR(E363="",C363=""),"",IFERROR(E363*INDEX(Alimentos!$C$5:$C$104,MATCH(C363,Alimentos!$A$5:$A$104,0)),""))</f>
      </c>
      <c r="J363" s="10"/>
      <c r="K363" s="10"/>
      <c r="L363" s="10"/>
    </row>
    <row r="364" spans="1:12" x14ac:dyDescent="0.25">
      <c r="A364" s="20"/>
      <c r="B364" s="10"/>
      <c r="C364" s="10"/>
      <c r="D364" s="15">
        <f>IF(C364="","",IFERROR(INDEX(Alimentos!$B$5:$B$104,MATCH(C364,Alimentos!$A$5:$A$104,0)),""))</f>
      </c>
      <c r="E364" s="21"/>
      <c r="F364" s="21"/>
      <c r="G364" s="17">
        <f>IF(OR(E364="",F364=""),"",E364-F364)</f>
      </c>
      <c r="H364" s="18">
        <f>IF(OR(G364="",E364="",E364=0),"",G364/E364)</f>
      </c>
      <c r="I364" s="19">
        <f>IF(OR(E364="",C364=""),"",IFERROR(E364*INDEX(Alimentos!$C$5:$C$104,MATCH(C364,Alimentos!$A$5:$A$104,0)),""))</f>
      </c>
      <c r="J364" s="10"/>
      <c r="K364" s="10"/>
      <c r="L364" s="10"/>
    </row>
    <row r="365" spans="1:12" x14ac:dyDescent="0.25">
      <c r="A365" s="20"/>
      <c r="B365" s="10"/>
      <c r="C365" s="10"/>
      <c r="D365" s="15">
        <f>IF(C365="","",IFERROR(INDEX(Alimentos!$B$5:$B$104,MATCH(C365,Alimentos!$A$5:$A$104,0)),""))</f>
      </c>
      <c r="E365" s="21"/>
      <c r="F365" s="21"/>
      <c r="G365" s="17">
        <f>IF(OR(E365="",F365=""),"",E365-F365)</f>
      </c>
      <c r="H365" s="18">
        <f>IF(OR(G365="",E365="",E365=0),"",G365/E365)</f>
      </c>
      <c r="I365" s="19">
        <f>IF(OR(E365="",C365=""),"",IFERROR(E365*INDEX(Alimentos!$C$5:$C$104,MATCH(C365,Alimentos!$A$5:$A$104,0)),""))</f>
      </c>
      <c r="J365" s="10"/>
      <c r="K365" s="10"/>
      <c r="L365" s="10"/>
    </row>
    <row r="366" spans="1:12" x14ac:dyDescent="0.25">
      <c r="A366" s="20"/>
      <c r="B366" s="10"/>
      <c r="C366" s="10"/>
      <c r="D366" s="15">
        <f>IF(C366="","",IFERROR(INDEX(Alimentos!$B$5:$B$104,MATCH(C366,Alimentos!$A$5:$A$104,0)),""))</f>
      </c>
      <c r="E366" s="21"/>
      <c r="F366" s="21"/>
      <c r="G366" s="17">
        <f>IF(OR(E366="",F366=""),"",E366-F366)</f>
      </c>
      <c r="H366" s="18">
        <f>IF(OR(G366="",E366="",E366=0),"",G366/E366)</f>
      </c>
      <c r="I366" s="19">
        <f>IF(OR(E366="",C366=""),"",IFERROR(E366*INDEX(Alimentos!$C$5:$C$104,MATCH(C366,Alimentos!$A$5:$A$104,0)),""))</f>
      </c>
      <c r="J366" s="10"/>
      <c r="K366" s="10"/>
      <c r="L366" s="10"/>
    </row>
    <row r="367" spans="1:12" x14ac:dyDescent="0.25">
      <c r="A367" s="20"/>
      <c r="B367" s="10"/>
      <c r="C367" s="10"/>
      <c r="D367" s="15">
        <f>IF(C367="","",IFERROR(INDEX(Alimentos!$B$5:$B$104,MATCH(C367,Alimentos!$A$5:$A$104,0)),""))</f>
      </c>
      <c r="E367" s="21"/>
      <c r="F367" s="21"/>
      <c r="G367" s="17">
        <f>IF(OR(E367="",F367=""),"",E367-F367)</f>
      </c>
      <c r="H367" s="18">
        <f>IF(OR(G367="",E367="",E367=0),"",G367/E367)</f>
      </c>
      <c r="I367" s="19">
        <f>IF(OR(E367="",C367=""),"",IFERROR(E367*INDEX(Alimentos!$C$5:$C$104,MATCH(C367,Alimentos!$A$5:$A$104,0)),""))</f>
      </c>
      <c r="J367" s="10"/>
      <c r="K367" s="10"/>
      <c r="L367" s="10"/>
    </row>
    <row r="368" spans="1:12" x14ac:dyDescent="0.25">
      <c r="A368" s="20"/>
      <c r="B368" s="10"/>
      <c r="C368" s="10"/>
      <c r="D368" s="15">
        <f>IF(C368="","",IFERROR(INDEX(Alimentos!$B$5:$B$104,MATCH(C368,Alimentos!$A$5:$A$104,0)),""))</f>
      </c>
      <c r="E368" s="21"/>
      <c r="F368" s="21"/>
      <c r="G368" s="17">
        <f>IF(OR(E368="",F368=""),"",E368-F368)</f>
      </c>
      <c r="H368" s="18">
        <f>IF(OR(G368="",E368="",E368=0),"",G368/E368)</f>
      </c>
      <c r="I368" s="19">
        <f>IF(OR(E368="",C368=""),"",IFERROR(E368*INDEX(Alimentos!$C$5:$C$104,MATCH(C368,Alimentos!$A$5:$A$104,0)),""))</f>
      </c>
      <c r="J368" s="10"/>
      <c r="K368" s="10"/>
      <c r="L368" s="10"/>
    </row>
    <row r="369" spans="1:12" x14ac:dyDescent="0.25">
      <c r="A369" s="20"/>
      <c r="B369" s="10"/>
      <c r="C369" s="10"/>
      <c r="D369" s="15">
        <f>IF(C369="","",IFERROR(INDEX(Alimentos!$B$5:$B$104,MATCH(C369,Alimentos!$A$5:$A$104,0)),""))</f>
      </c>
      <c r="E369" s="21"/>
      <c r="F369" s="21"/>
      <c r="G369" s="17">
        <f>IF(OR(E369="",F369=""),"",E369-F369)</f>
      </c>
      <c r="H369" s="18">
        <f>IF(OR(G369="",E369="",E369=0),"",G369/E369)</f>
      </c>
      <c r="I369" s="19">
        <f>IF(OR(E369="",C369=""),"",IFERROR(E369*INDEX(Alimentos!$C$5:$C$104,MATCH(C369,Alimentos!$A$5:$A$104,0)),""))</f>
      </c>
      <c r="J369" s="10"/>
      <c r="K369" s="10"/>
      <c r="L369" s="10"/>
    </row>
    <row r="370" spans="1:12" x14ac:dyDescent="0.25">
      <c r="A370" s="20"/>
      <c r="B370" s="10"/>
      <c r="C370" s="10"/>
      <c r="D370" s="15">
        <f>IF(C370="","",IFERROR(INDEX(Alimentos!$B$5:$B$104,MATCH(C370,Alimentos!$A$5:$A$104,0)),""))</f>
      </c>
      <c r="E370" s="21"/>
      <c r="F370" s="21"/>
      <c r="G370" s="17">
        <f>IF(OR(E370="",F370=""),"",E370-F370)</f>
      </c>
      <c r="H370" s="18">
        <f>IF(OR(G370="",E370="",E370=0),"",G370/E370)</f>
      </c>
      <c r="I370" s="19">
        <f>IF(OR(E370="",C370=""),"",IFERROR(E370*INDEX(Alimentos!$C$5:$C$104,MATCH(C370,Alimentos!$A$5:$A$104,0)),""))</f>
      </c>
      <c r="J370" s="10"/>
      <c r="K370" s="10"/>
      <c r="L370" s="10"/>
    </row>
    <row r="371" spans="1:12" x14ac:dyDescent="0.25">
      <c r="A371" s="20"/>
      <c r="B371" s="10"/>
      <c r="C371" s="10"/>
      <c r="D371" s="15">
        <f>IF(C371="","",IFERROR(INDEX(Alimentos!$B$5:$B$104,MATCH(C371,Alimentos!$A$5:$A$104,0)),""))</f>
      </c>
      <c r="E371" s="21"/>
      <c r="F371" s="21"/>
      <c r="G371" s="17">
        <f>IF(OR(E371="",F371=""),"",E371-F371)</f>
      </c>
      <c r="H371" s="18">
        <f>IF(OR(G371="",E371="",E371=0),"",G371/E371)</f>
      </c>
      <c r="I371" s="19">
        <f>IF(OR(E371="",C371=""),"",IFERROR(E371*INDEX(Alimentos!$C$5:$C$104,MATCH(C371,Alimentos!$A$5:$A$104,0)),""))</f>
      </c>
      <c r="J371" s="10"/>
      <c r="K371" s="10"/>
      <c r="L371" s="10"/>
    </row>
    <row r="372" spans="1:12" x14ac:dyDescent="0.25">
      <c r="A372" s="20"/>
      <c r="B372" s="10"/>
      <c r="C372" s="10"/>
      <c r="D372" s="15">
        <f>IF(C372="","",IFERROR(INDEX(Alimentos!$B$5:$B$104,MATCH(C372,Alimentos!$A$5:$A$104,0)),""))</f>
      </c>
      <c r="E372" s="21"/>
      <c r="F372" s="21"/>
      <c r="G372" s="17">
        <f>IF(OR(E372="",F372=""),"",E372-F372)</f>
      </c>
      <c r="H372" s="18">
        <f>IF(OR(G372="",E372="",E372=0),"",G372/E372)</f>
      </c>
      <c r="I372" s="19">
        <f>IF(OR(E372="",C372=""),"",IFERROR(E372*INDEX(Alimentos!$C$5:$C$104,MATCH(C372,Alimentos!$A$5:$A$104,0)),""))</f>
      </c>
      <c r="J372" s="10"/>
      <c r="K372" s="10"/>
      <c r="L372" s="10"/>
    </row>
    <row r="373" spans="1:12" x14ac:dyDescent="0.25">
      <c r="A373" s="20"/>
      <c r="B373" s="10"/>
      <c r="C373" s="10"/>
      <c r="D373" s="15">
        <f>IF(C373="","",IFERROR(INDEX(Alimentos!$B$5:$B$104,MATCH(C373,Alimentos!$A$5:$A$104,0)),""))</f>
      </c>
      <c r="E373" s="21"/>
      <c r="F373" s="21"/>
      <c r="G373" s="17">
        <f>IF(OR(E373="",F373=""),"",E373-F373)</f>
      </c>
      <c r="H373" s="18">
        <f>IF(OR(G373="",E373="",E373=0),"",G373/E373)</f>
      </c>
      <c r="I373" s="19">
        <f>IF(OR(E373="",C373=""),"",IFERROR(E373*INDEX(Alimentos!$C$5:$C$104,MATCH(C373,Alimentos!$A$5:$A$104,0)),""))</f>
      </c>
      <c r="J373" s="10"/>
      <c r="K373" s="10"/>
      <c r="L373" s="10"/>
    </row>
    <row r="374" spans="1:12" x14ac:dyDescent="0.25">
      <c r="A374" s="20"/>
      <c r="B374" s="10"/>
      <c r="C374" s="10"/>
      <c r="D374" s="15">
        <f>IF(C374="","",IFERROR(INDEX(Alimentos!$B$5:$B$104,MATCH(C374,Alimentos!$A$5:$A$104,0)),""))</f>
      </c>
      <c r="E374" s="21"/>
      <c r="F374" s="21"/>
      <c r="G374" s="17">
        <f>IF(OR(E374="",F374=""),"",E374-F374)</f>
      </c>
      <c r="H374" s="18">
        <f>IF(OR(G374="",E374="",E374=0),"",G374/E374)</f>
      </c>
      <c r="I374" s="19">
        <f>IF(OR(E374="",C374=""),"",IFERROR(E374*INDEX(Alimentos!$C$5:$C$104,MATCH(C374,Alimentos!$A$5:$A$104,0)),""))</f>
      </c>
      <c r="J374" s="10"/>
      <c r="K374" s="10"/>
      <c r="L374" s="10"/>
    </row>
    <row r="375" spans="1:12" x14ac:dyDescent="0.25">
      <c r="A375" s="20"/>
      <c r="B375" s="10"/>
      <c r="C375" s="10"/>
      <c r="D375" s="15">
        <f>IF(C375="","",IFERROR(INDEX(Alimentos!$B$5:$B$104,MATCH(C375,Alimentos!$A$5:$A$104,0)),""))</f>
      </c>
      <c r="E375" s="21"/>
      <c r="F375" s="21"/>
      <c r="G375" s="17">
        <f>IF(OR(E375="",F375=""),"",E375-F375)</f>
      </c>
      <c r="H375" s="18">
        <f>IF(OR(G375="",E375="",E375=0),"",G375/E375)</f>
      </c>
      <c r="I375" s="19">
        <f>IF(OR(E375="",C375=""),"",IFERROR(E375*INDEX(Alimentos!$C$5:$C$104,MATCH(C375,Alimentos!$A$5:$A$104,0)),""))</f>
      </c>
      <c r="J375" s="10"/>
      <c r="K375" s="10"/>
      <c r="L375" s="10"/>
    </row>
    <row r="376" spans="1:12" x14ac:dyDescent="0.25">
      <c r="A376" s="20"/>
      <c r="B376" s="10"/>
      <c r="C376" s="10"/>
      <c r="D376" s="15">
        <f>IF(C376="","",IFERROR(INDEX(Alimentos!$B$5:$B$104,MATCH(C376,Alimentos!$A$5:$A$104,0)),""))</f>
      </c>
      <c r="E376" s="21"/>
      <c r="F376" s="21"/>
      <c r="G376" s="17">
        <f>IF(OR(E376="",F376=""),"",E376-F376)</f>
      </c>
      <c r="H376" s="18">
        <f>IF(OR(G376="",E376="",E376=0),"",G376/E376)</f>
      </c>
      <c r="I376" s="19">
        <f>IF(OR(E376="",C376=""),"",IFERROR(E376*INDEX(Alimentos!$C$5:$C$104,MATCH(C376,Alimentos!$A$5:$A$104,0)),""))</f>
      </c>
      <c r="J376" s="10"/>
      <c r="K376" s="10"/>
      <c r="L376" s="10"/>
    </row>
    <row r="377" spans="1:12" x14ac:dyDescent="0.25">
      <c r="A377" s="20"/>
      <c r="B377" s="10"/>
      <c r="C377" s="10"/>
      <c r="D377" s="15">
        <f>IF(C377="","",IFERROR(INDEX(Alimentos!$B$5:$B$104,MATCH(C377,Alimentos!$A$5:$A$104,0)),""))</f>
      </c>
      <c r="E377" s="21"/>
      <c r="F377" s="21"/>
      <c r="G377" s="17">
        <f>IF(OR(E377="",F377=""),"",E377-F377)</f>
      </c>
      <c r="H377" s="18">
        <f>IF(OR(G377="",E377="",E377=0),"",G377/E377)</f>
      </c>
      <c r="I377" s="19">
        <f>IF(OR(E377="",C377=""),"",IFERROR(E377*INDEX(Alimentos!$C$5:$C$104,MATCH(C377,Alimentos!$A$5:$A$104,0)),""))</f>
      </c>
      <c r="J377" s="10"/>
      <c r="K377" s="10"/>
      <c r="L377" s="10"/>
    </row>
    <row r="378" spans="1:12" x14ac:dyDescent="0.25">
      <c r="A378" s="20"/>
      <c r="B378" s="10"/>
      <c r="C378" s="10"/>
      <c r="D378" s="15">
        <f>IF(C378="","",IFERROR(INDEX(Alimentos!$B$5:$B$104,MATCH(C378,Alimentos!$A$5:$A$104,0)),""))</f>
      </c>
      <c r="E378" s="21"/>
      <c r="F378" s="21"/>
      <c r="G378" s="17">
        <f>IF(OR(E378="",F378=""),"",E378-F378)</f>
      </c>
      <c r="H378" s="18">
        <f>IF(OR(G378="",E378="",E378=0),"",G378/E378)</f>
      </c>
      <c r="I378" s="19">
        <f>IF(OR(E378="",C378=""),"",IFERROR(E378*INDEX(Alimentos!$C$5:$C$104,MATCH(C378,Alimentos!$A$5:$A$104,0)),""))</f>
      </c>
      <c r="J378" s="10"/>
      <c r="K378" s="10"/>
      <c r="L378" s="10"/>
    </row>
    <row r="379" spans="1:12" x14ac:dyDescent="0.25">
      <c r="A379" s="20"/>
      <c r="B379" s="10"/>
      <c r="C379" s="10"/>
      <c r="D379" s="15">
        <f>IF(C379="","",IFERROR(INDEX(Alimentos!$B$5:$B$104,MATCH(C379,Alimentos!$A$5:$A$104,0)),""))</f>
      </c>
      <c r="E379" s="21"/>
      <c r="F379" s="21"/>
      <c r="G379" s="17">
        <f>IF(OR(E379="",F379=""),"",E379-F379)</f>
      </c>
      <c r="H379" s="18">
        <f>IF(OR(G379="",E379="",E379=0),"",G379/E379)</f>
      </c>
      <c r="I379" s="19">
        <f>IF(OR(E379="",C379=""),"",IFERROR(E379*INDEX(Alimentos!$C$5:$C$104,MATCH(C379,Alimentos!$A$5:$A$104,0)),""))</f>
      </c>
      <c r="J379" s="10"/>
      <c r="K379" s="10"/>
      <c r="L379" s="10"/>
    </row>
    <row r="380" spans="1:12" x14ac:dyDescent="0.25">
      <c r="A380" s="20"/>
      <c r="B380" s="10"/>
      <c r="C380" s="10"/>
      <c r="D380" s="15">
        <f>IF(C380="","",IFERROR(INDEX(Alimentos!$B$5:$B$104,MATCH(C380,Alimentos!$A$5:$A$104,0)),""))</f>
      </c>
      <c r="E380" s="21"/>
      <c r="F380" s="21"/>
      <c r="G380" s="17">
        <f>IF(OR(E380="",F380=""),"",E380-F380)</f>
      </c>
      <c r="H380" s="18">
        <f>IF(OR(G380="",E380="",E380=0),"",G380/E380)</f>
      </c>
      <c r="I380" s="19">
        <f>IF(OR(E380="",C380=""),"",IFERROR(E380*INDEX(Alimentos!$C$5:$C$104,MATCH(C380,Alimentos!$A$5:$A$104,0)),""))</f>
      </c>
      <c r="J380" s="10"/>
      <c r="K380" s="10"/>
      <c r="L380" s="10"/>
    </row>
    <row r="381" spans="1:12" x14ac:dyDescent="0.25">
      <c r="A381" s="20"/>
      <c r="B381" s="10"/>
      <c r="C381" s="10"/>
      <c r="D381" s="15">
        <f>IF(C381="","",IFERROR(INDEX(Alimentos!$B$5:$B$104,MATCH(C381,Alimentos!$A$5:$A$104,0)),""))</f>
      </c>
      <c r="E381" s="21"/>
      <c r="F381" s="21"/>
      <c r="G381" s="17">
        <f>IF(OR(E381="",F381=""),"",E381-F381)</f>
      </c>
      <c r="H381" s="18">
        <f>IF(OR(G381="",E381="",E381=0),"",G381/E381)</f>
      </c>
      <c r="I381" s="19">
        <f>IF(OR(E381="",C381=""),"",IFERROR(E381*INDEX(Alimentos!$C$5:$C$104,MATCH(C381,Alimentos!$A$5:$A$104,0)),""))</f>
      </c>
      <c r="J381" s="10"/>
      <c r="K381" s="10"/>
      <c r="L381" s="10"/>
    </row>
    <row r="382" spans="1:12" x14ac:dyDescent="0.25">
      <c r="A382" s="20"/>
      <c r="B382" s="10"/>
      <c r="C382" s="10"/>
      <c r="D382" s="15">
        <f>IF(C382="","",IFERROR(INDEX(Alimentos!$B$5:$B$104,MATCH(C382,Alimentos!$A$5:$A$104,0)),""))</f>
      </c>
      <c r="E382" s="21"/>
      <c r="F382" s="21"/>
      <c r="G382" s="17">
        <f>IF(OR(E382="",F382=""),"",E382-F382)</f>
      </c>
      <c r="H382" s="18">
        <f>IF(OR(G382="",E382="",E382=0),"",G382/E382)</f>
      </c>
      <c r="I382" s="19">
        <f>IF(OR(E382="",C382=""),"",IFERROR(E382*INDEX(Alimentos!$C$5:$C$104,MATCH(C382,Alimentos!$A$5:$A$104,0)),""))</f>
      </c>
      <c r="J382" s="10"/>
      <c r="K382" s="10"/>
      <c r="L382" s="10"/>
    </row>
    <row r="383" spans="1:12" x14ac:dyDescent="0.25">
      <c r="A383" s="20"/>
      <c r="B383" s="10"/>
      <c r="C383" s="10"/>
      <c r="D383" s="15">
        <f>IF(C383="","",IFERROR(INDEX(Alimentos!$B$5:$B$104,MATCH(C383,Alimentos!$A$5:$A$104,0)),""))</f>
      </c>
      <c r="E383" s="21"/>
      <c r="F383" s="21"/>
      <c r="G383" s="17">
        <f>IF(OR(E383="",F383=""),"",E383-F383)</f>
      </c>
      <c r="H383" s="18">
        <f>IF(OR(G383="",E383="",E383=0),"",G383/E383)</f>
      </c>
      <c r="I383" s="19">
        <f>IF(OR(E383="",C383=""),"",IFERROR(E383*INDEX(Alimentos!$C$5:$C$104,MATCH(C383,Alimentos!$A$5:$A$104,0)),""))</f>
      </c>
      <c r="J383" s="10"/>
      <c r="K383" s="10"/>
      <c r="L383" s="10"/>
    </row>
    <row r="384" spans="1:12" x14ac:dyDescent="0.25">
      <c r="A384" s="20"/>
      <c r="B384" s="10"/>
      <c r="C384" s="10"/>
      <c r="D384" s="15">
        <f>IF(C384="","",IFERROR(INDEX(Alimentos!$B$5:$B$104,MATCH(C384,Alimentos!$A$5:$A$104,0)),""))</f>
      </c>
      <c r="E384" s="21"/>
      <c r="F384" s="21"/>
      <c r="G384" s="17">
        <f>IF(OR(E384="",F384=""),"",E384-F384)</f>
      </c>
      <c r="H384" s="18">
        <f>IF(OR(G384="",E384="",E384=0),"",G384/E384)</f>
      </c>
      <c r="I384" s="19">
        <f>IF(OR(E384="",C384=""),"",IFERROR(E384*INDEX(Alimentos!$C$5:$C$104,MATCH(C384,Alimentos!$A$5:$A$104,0)),""))</f>
      </c>
      <c r="J384" s="10"/>
      <c r="K384" s="10"/>
      <c r="L384" s="10"/>
    </row>
    <row r="385" spans="1:12" x14ac:dyDescent="0.25">
      <c r="A385" s="20"/>
      <c r="B385" s="10"/>
      <c r="C385" s="10"/>
      <c r="D385" s="15">
        <f>IF(C385="","",IFERROR(INDEX(Alimentos!$B$5:$B$104,MATCH(C385,Alimentos!$A$5:$A$104,0)),""))</f>
      </c>
      <c r="E385" s="21"/>
      <c r="F385" s="21"/>
      <c r="G385" s="17">
        <f>IF(OR(E385="",F385=""),"",E385-F385)</f>
      </c>
      <c r="H385" s="18">
        <f>IF(OR(G385="",E385="",E385=0),"",G385/E385)</f>
      </c>
      <c r="I385" s="19">
        <f>IF(OR(E385="",C385=""),"",IFERROR(E385*INDEX(Alimentos!$C$5:$C$104,MATCH(C385,Alimentos!$A$5:$A$104,0)),""))</f>
      </c>
      <c r="J385" s="10"/>
      <c r="K385" s="10"/>
      <c r="L385" s="10"/>
    </row>
    <row r="386" spans="1:12" x14ac:dyDescent="0.25">
      <c r="A386" s="20"/>
      <c r="B386" s="10"/>
      <c r="C386" s="10"/>
      <c r="D386" s="15">
        <f>IF(C386="","",IFERROR(INDEX(Alimentos!$B$5:$B$104,MATCH(C386,Alimentos!$A$5:$A$104,0)),""))</f>
      </c>
      <c r="E386" s="21"/>
      <c r="F386" s="21"/>
      <c r="G386" s="17">
        <f>IF(OR(E386="",F386=""),"",E386-F386)</f>
      </c>
      <c r="H386" s="18">
        <f>IF(OR(G386="",E386="",E386=0),"",G386/E386)</f>
      </c>
      <c r="I386" s="19">
        <f>IF(OR(E386="",C386=""),"",IFERROR(E386*INDEX(Alimentos!$C$5:$C$104,MATCH(C386,Alimentos!$A$5:$A$104,0)),""))</f>
      </c>
      <c r="J386" s="10"/>
      <c r="K386" s="10"/>
      <c r="L386" s="10"/>
    </row>
    <row r="387" spans="1:12" x14ac:dyDescent="0.25">
      <c r="A387" s="20"/>
      <c r="B387" s="10"/>
      <c r="C387" s="10"/>
      <c r="D387" s="15">
        <f>IF(C387="","",IFERROR(INDEX(Alimentos!$B$5:$B$104,MATCH(C387,Alimentos!$A$5:$A$104,0)),""))</f>
      </c>
      <c r="E387" s="21"/>
      <c r="F387" s="21"/>
      <c r="G387" s="17">
        <f>IF(OR(E387="",F387=""),"",E387-F387)</f>
      </c>
      <c r="H387" s="18">
        <f>IF(OR(G387="",E387="",E387=0),"",G387/E387)</f>
      </c>
      <c r="I387" s="19">
        <f>IF(OR(E387="",C387=""),"",IFERROR(E387*INDEX(Alimentos!$C$5:$C$104,MATCH(C387,Alimentos!$A$5:$A$104,0)),""))</f>
      </c>
      <c r="J387" s="10"/>
      <c r="K387" s="10"/>
      <c r="L387" s="10"/>
    </row>
    <row r="388" spans="1:12" x14ac:dyDescent="0.25">
      <c r="A388" s="20"/>
      <c r="B388" s="10"/>
      <c r="C388" s="10"/>
      <c r="D388" s="15">
        <f>IF(C388="","",IFERROR(INDEX(Alimentos!$B$5:$B$104,MATCH(C388,Alimentos!$A$5:$A$104,0)),""))</f>
      </c>
      <c r="E388" s="21"/>
      <c r="F388" s="21"/>
      <c r="G388" s="17">
        <f>IF(OR(E388="",F388=""),"",E388-F388)</f>
      </c>
      <c r="H388" s="18">
        <f>IF(OR(G388="",E388="",E388=0),"",G388/E388)</f>
      </c>
      <c r="I388" s="19">
        <f>IF(OR(E388="",C388=""),"",IFERROR(E388*INDEX(Alimentos!$C$5:$C$104,MATCH(C388,Alimentos!$A$5:$A$104,0)),""))</f>
      </c>
      <c r="J388" s="10"/>
      <c r="K388" s="10"/>
      <c r="L388" s="10"/>
    </row>
    <row r="389" spans="1:12" x14ac:dyDescent="0.25">
      <c r="A389" s="20"/>
      <c r="B389" s="10"/>
      <c r="C389" s="10"/>
      <c r="D389" s="15">
        <f>IF(C389="","",IFERROR(INDEX(Alimentos!$B$5:$B$104,MATCH(C389,Alimentos!$A$5:$A$104,0)),""))</f>
      </c>
      <c r="E389" s="21"/>
      <c r="F389" s="21"/>
      <c r="G389" s="17">
        <f>IF(OR(E389="",F389=""),"",E389-F389)</f>
      </c>
      <c r="H389" s="18">
        <f>IF(OR(G389="",E389="",E389=0),"",G389/E389)</f>
      </c>
      <c r="I389" s="19">
        <f>IF(OR(E389="",C389=""),"",IFERROR(E389*INDEX(Alimentos!$C$5:$C$104,MATCH(C389,Alimentos!$A$5:$A$104,0)),""))</f>
      </c>
      <c r="J389" s="10"/>
      <c r="K389" s="10"/>
      <c r="L389" s="10"/>
    </row>
    <row r="390" spans="1:12" x14ac:dyDescent="0.25">
      <c r="A390" s="20"/>
      <c r="B390" s="10"/>
      <c r="C390" s="10"/>
      <c r="D390" s="15">
        <f>IF(C390="","",IFERROR(INDEX(Alimentos!$B$5:$B$104,MATCH(C390,Alimentos!$A$5:$A$104,0)),""))</f>
      </c>
      <c r="E390" s="21"/>
      <c r="F390" s="21"/>
      <c r="G390" s="17">
        <f>IF(OR(E390="",F390=""),"",E390-F390)</f>
      </c>
      <c r="H390" s="18">
        <f>IF(OR(G390="",E390="",E390=0),"",G390/E390)</f>
      </c>
      <c r="I390" s="19">
        <f>IF(OR(E390="",C390=""),"",IFERROR(E390*INDEX(Alimentos!$C$5:$C$104,MATCH(C390,Alimentos!$A$5:$A$104,0)),""))</f>
      </c>
      <c r="J390" s="10"/>
      <c r="K390" s="10"/>
      <c r="L390" s="10"/>
    </row>
    <row r="391" spans="1:12" x14ac:dyDescent="0.25">
      <c r="A391" s="20"/>
      <c r="B391" s="10"/>
      <c r="C391" s="10"/>
      <c r="D391" s="15">
        <f>IF(C391="","",IFERROR(INDEX(Alimentos!$B$5:$B$104,MATCH(C391,Alimentos!$A$5:$A$104,0)),""))</f>
      </c>
      <c r="E391" s="21"/>
      <c r="F391" s="21"/>
      <c r="G391" s="17">
        <f>IF(OR(E391="",F391=""),"",E391-F391)</f>
      </c>
      <c r="H391" s="18">
        <f>IF(OR(G391="",E391="",E391=0),"",G391/E391)</f>
      </c>
      <c r="I391" s="19">
        <f>IF(OR(E391="",C391=""),"",IFERROR(E391*INDEX(Alimentos!$C$5:$C$104,MATCH(C391,Alimentos!$A$5:$A$104,0)),""))</f>
      </c>
      <c r="J391" s="10"/>
      <c r="K391" s="10"/>
      <c r="L391" s="10"/>
    </row>
    <row r="392" spans="1:12" x14ac:dyDescent="0.25">
      <c r="A392" s="20"/>
      <c r="B392" s="10"/>
      <c r="C392" s="10"/>
      <c r="D392" s="15">
        <f>IF(C392="","",IFERROR(INDEX(Alimentos!$B$5:$B$104,MATCH(C392,Alimentos!$A$5:$A$104,0)),""))</f>
      </c>
      <c r="E392" s="21"/>
      <c r="F392" s="21"/>
      <c r="G392" s="17">
        <f>IF(OR(E392="",F392=""),"",E392-F392)</f>
      </c>
      <c r="H392" s="18">
        <f>IF(OR(G392="",E392="",E392=0),"",G392/E392)</f>
      </c>
      <c r="I392" s="19">
        <f>IF(OR(E392="",C392=""),"",IFERROR(E392*INDEX(Alimentos!$C$5:$C$104,MATCH(C392,Alimentos!$A$5:$A$104,0)),""))</f>
      </c>
      <c r="J392" s="10"/>
      <c r="K392" s="10"/>
      <c r="L392" s="10"/>
    </row>
    <row r="393" spans="1:12" x14ac:dyDescent="0.25">
      <c r="A393" s="20"/>
      <c r="B393" s="10"/>
      <c r="C393" s="10"/>
      <c r="D393" s="15">
        <f>IF(C393="","",IFERROR(INDEX(Alimentos!$B$5:$B$104,MATCH(C393,Alimentos!$A$5:$A$104,0)),""))</f>
      </c>
      <c r="E393" s="21"/>
      <c r="F393" s="21"/>
      <c r="G393" s="17">
        <f>IF(OR(E393="",F393=""),"",E393-F393)</f>
      </c>
      <c r="H393" s="18">
        <f>IF(OR(G393="",E393="",E393=0),"",G393/E393)</f>
      </c>
      <c r="I393" s="19">
        <f>IF(OR(E393="",C393=""),"",IFERROR(E393*INDEX(Alimentos!$C$5:$C$104,MATCH(C393,Alimentos!$A$5:$A$104,0)),""))</f>
      </c>
      <c r="J393" s="10"/>
      <c r="K393" s="10"/>
      <c r="L393" s="10"/>
    </row>
    <row r="394" spans="1:12" x14ac:dyDescent="0.25">
      <c r="A394" s="20"/>
      <c r="B394" s="10"/>
      <c r="C394" s="10"/>
      <c r="D394" s="15">
        <f>IF(C394="","",IFERROR(INDEX(Alimentos!$B$5:$B$104,MATCH(C394,Alimentos!$A$5:$A$104,0)),""))</f>
      </c>
      <c r="E394" s="21"/>
      <c r="F394" s="21"/>
      <c r="G394" s="17">
        <f>IF(OR(E394="",F394=""),"",E394-F394)</f>
      </c>
      <c r="H394" s="18">
        <f>IF(OR(G394="",E394="",E394=0),"",G394/E394)</f>
      </c>
      <c r="I394" s="19">
        <f>IF(OR(E394="",C394=""),"",IFERROR(E394*INDEX(Alimentos!$C$5:$C$104,MATCH(C394,Alimentos!$A$5:$A$104,0)),""))</f>
      </c>
      <c r="J394" s="10"/>
      <c r="K394" s="10"/>
      <c r="L394" s="10"/>
    </row>
    <row r="395" spans="1:12" x14ac:dyDescent="0.25">
      <c r="A395" s="20"/>
      <c r="B395" s="10"/>
      <c r="C395" s="10"/>
      <c r="D395" s="15">
        <f>IF(C395="","",IFERROR(INDEX(Alimentos!$B$5:$B$104,MATCH(C395,Alimentos!$A$5:$A$104,0)),""))</f>
      </c>
      <c r="E395" s="21"/>
      <c r="F395" s="21"/>
      <c r="G395" s="17">
        <f>IF(OR(E395="",F395=""),"",E395-F395)</f>
      </c>
      <c r="H395" s="18">
        <f>IF(OR(G395="",E395="",E395=0),"",G395/E395)</f>
      </c>
      <c r="I395" s="19">
        <f>IF(OR(E395="",C395=""),"",IFERROR(E395*INDEX(Alimentos!$C$5:$C$104,MATCH(C395,Alimentos!$A$5:$A$104,0)),""))</f>
      </c>
      <c r="J395" s="10"/>
      <c r="K395" s="10"/>
      <c r="L395" s="10"/>
    </row>
    <row r="396" spans="1:12" x14ac:dyDescent="0.25">
      <c r="A396" s="20"/>
      <c r="B396" s="10"/>
      <c r="C396" s="10"/>
      <c r="D396" s="15">
        <f>IF(C396="","",IFERROR(INDEX(Alimentos!$B$5:$B$104,MATCH(C396,Alimentos!$A$5:$A$104,0)),""))</f>
      </c>
      <c r="E396" s="21"/>
      <c r="F396" s="21"/>
      <c r="G396" s="17">
        <f>IF(OR(E396="",F396=""),"",E396-F396)</f>
      </c>
      <c r="H396" s="18">
        <f>IF(OR(G396="",E396="",E396=0),"",G396/E396)</f>
      </c>
      <c r="I396" s="19">
        <f>IF(OR(E396="",C396=""),"",IFERROR(E396*INDEX(Alimentos!$C$5:$C$104,MATCH(C396,Alimentos!$A$5:$A$104,0)),""))</f>
      </c>
      <c r="J396" s="10"/>
      <c r="K396" s="10"/>
      <c r="L396" s="10"/>
    </row>
    <row r="397" spans="1:12" x14ac:dyDescent="0.25">
      <c r="A397" s="20"/>
      <c r="B397" s="10"/>
      <c r="C397" s="10"/>
      <c r="D397" s="15">
        <f>IF(C397="","",IFERROR(INDEX(Alimentos!$B$5:$B$104,MATCH(C397,Alimentos!$A$5:$A$104,0)),""))</f>
      </c>
      <c r="E397" s="21"/>
      <c r="F397" s="21"/>
      <c r="G397" s="17">
        <f>IF(OR(E397="",F397=""),"",E397-F397)</f>
      </c>
      <c r="H397" s="18">
        <f>IF(OR(G397="",E397="",E397=0),"",G397/E397)</f>
      </c>
      <c r="I397" s="19">
        <f>IF(OR(E397="",C397=""),"",IFERROR(E397*INDEX(Alimentos!$C$5:$C$104,MATCH(C397,Alimentos!$A$5:$A$104,0)),""))</f>
      </c>
      <c r="J397" s="10"/>
      <c r="K397" s="10"/>
      <c r="L397" s="10"/>
    </row>
    <row r="398" spans="1:12" x14ac:dyDescent="0.25">
      <c r="A398" s="20"/>
      <c r="B398" s="10"/>
      <c r="C398" s="10"/>
      <c r="D398" s="15">
        <f>IF(C398="","",IFERROR(INDEX(Alimentos!$B$5:$B$104,MATCH(C398,Alimentos!$A$5:$A$104,0)),""))</f>
      </c>
      <c r="E398" s="21"/>
      <c r="F398" s="21"/>
      <c r="G398" s="17">
        <f>IF(OR(E398="",F398=""),"",E398-F398)</f>
      </c>
      <c r="H398" s="18">
        <f>IF(OR(G398="",E398="",E398=0),"",G398/E398)</f>
      </c>
      <c r="I398" s="19">
        <f>IF(OR(E398="",C398=""),"",IFERROR(E398*INDEX(Alimentos!$C$5:$C$104,MATCH(C398,Alimentos!$A$5:$A$104,0)),""))</f>
      </c>
      <c r="J398" s="10"/>
      <c r="K398" s="10"/>
      <c r="L398" s="10"/>
    </row>
    <row r="399" spans="1:12" x14ac:dyDescent="0.25">
      <c r="A399" s="20"/>
      <c r="B399" s="10"/>
      <c r="C399" s="10"/>
      <c r="D399" s="15">
        <f>IF(C399="","",IFERROR(INDEX(Alimentos!$B$5:$B$104,MATCH(C399,Alimentos!$A$5:$A$104,0)),""))</f>
      </c>
      <c r="E399" s="21"/>
      <c r="F399" s="21"/>
      <c r="G399" s="17">
        <f>IF(OR(E399="",F399=""),"",E399-F399)</f>
      </c>
      <c r="H399" s="18">
        <f>IF(OR(G399="",E399="",E399=0),"",G399/E399)</f>
      </c>
      <c r="I399" s="19">
        <f>IF(OR(E399="",C399=""),"",IFERROR(E399*INDEX(Alimentos!$C$5:$C$104,MATCH(C399,Alimentos!$A$5:$A$104,0)),""))</f>
      </c>
      <c r="J399" s="10"/>
      <c r="K399" s="10"/>
      <c r="L399" s="10"/>
    </row>
    <row r="400" spans="1:12" x14ac:dyDescent="0.25">
      <c r="A400" s="20"/>
      <c r="B400" s="10"/>
      <c r="C400" s="10"/>
      <c r="D400" s="15">
        <f>IF(C400="","",IFERROR(INDEX(Alimentos!$B$5:$B$104,MATCH(C400,Alimentos!$A$5:$A$104,0)),""))</f>
      </c>
      <c r="E400" s="21"/>
      <c r="F400" s="21"/>
      <c r="G400" s="17">
        <f>IF(OR(E400="",F400=""),"",E400-F400)</f>
      </c>
      <c r="H400" s="18">
        <f>IF(OR(G400="",E400="",E400=0),"",G400/E400)</f>
      </c>
      <c r="I400" s="19">
        <f>IF(OR(E400="",C400=""),"",IFERROR(E400*INDEX(Alimentos!$C$5:$C$104,MATCH(C400,Alimentos!$A$5:$A$104,0)),""))</f>
      </c>
      <c r="J400" s="10"/>
      <c r="K400" s="10"/>
      <c r="L400" s="10"/>
    </row>
    <row r="401" spans="1:12" x14ac:dyDescent="0.25">
      <c r="A401" s="20"/>
      <c r="B401" s="10"/>
      <c r="C401" s="10"/>
      <c r="D401" s="15">
        <f>IF(C401="","",IFERROR(INDEX(Alimentos!$B$5:$B$104,MATCH(C401,Alimentos!$A$5:$A$104,0)),""))</f>
      </c>
      <c r="E401" s="21"/>
      <c r="F401" s="21"/>
      <c r="G401" s="17">
        <f>IF(OR(E401="",F401=""),"",E401-F401)</f>
      </c>
      <c r="H401" s="18">
        <f>IF(OR(G401="",E401="",E401=0),"",G401/E401)</f>
      </c>
      <c r="I401" s="19">
        <f>IF(OR(E401="",C401=""),"",IFERROR(E401*INDEX(Alimentos!$C$5:$C$104,MATCH(C401,Alimentos!$A$5:$A$104,0)),""))</f>
      </c>
      <c r="J401" s="10"/>
      <c r="K401" s="10"/>
      <c r="L401" s="10"/>
    </row>
    <row r="402" spans="1:12" x14ac:dyDescent="0.25">
      <c r="A402" s="20"/>
      <c r="B402" s="10"/>
      <c r="C402" s="10"/>
      <c r="D402" s="15">
        <f>IF(C402="","",IFERROR(INDEX(Alimentos!$B$5:$B$104,MATCH(C402,Alimentos!$A$5:$A$104,0)),""))</f>
      </c>
      <c r="E402" s="21"/>
      <c r="F402" s="21"/>
      <c r="G402" s="17">
        <f>IF(OR(E402="",F402=""),"",E402-F402)</f>
      </c>
      <c r="H402" s="18">
        <f>IF(OR(G402="",E402="",E402=0),"",G402/E402)</f>
      </c>
      <c r="I402" s="19">
        <f>IF(OR(E402="",C402=""),"",IFERROR(E402*INDEX(Alimentos!$C$5:$C$104,MATCH(C402,Alimentos!$A$5:$A$104,0)),""))</f>
      </c>
      <c r="J402" s="10"/>
      <c r="K402" s="10"/>
      <c r="L402" s="10"/>
    </row>
    <row r="403" spans="1:12" x14ac:dyDescent="0.25">
      <c r="A403" s="20"/>
      <c r="B403" s="10"/>
      <c r="C403" s="10"/>
      <c r="D403" s="15">
        <f>IF(C403="","",IFERROR(INDEX(Alimentos!$B$5:$B$104,MATCH(C403,Alimentos!$A$5:$A$104,0)),""))</f>
      </c>
      <c r="E403" s="21"/>
      <c r="F403" s="21"/>
      <c r="G403" s="17">
        <f>IF(OR(E403="",F403=""),"",E403-F403)</f>
      </c>
      <c r="H403" s="18">
        <f>IF(OR(G403="",E403="",E403=0),"",G403/E403)</f>
      </c>
      <c r="I403" s="19">
        <f>IF(OR(E403="",C403=""),"",IFERROR(E403*INDEX(Alimentos!$C$5:$C$104,MATCH(C403,Alimentos!$A$5:$A$104,0)),""))</f>
      </c>
      <c r="J403" s="10"/>
      <c r="K403" s="10"/>
      <c r="L403" s="10"/>
    </row>
    <row r="404" spans="1:12" x14ac:dyDescent="0.25">
      <c r="A404" s="20"/>
      <c r="B404" s="10"/>
      <c r="C404" s="10"/>
      <c r="D404" s="15">
        <f>IF(C404="","",IFERROR(INDEX(Alimentos!$B$5:$B$104,MATCH(C404,Alimentos!$A$5:$A$104,0)),""))</f>
      </c>
      <c r="E404" s="21"/>
      <c r="F404" s="21"/>
      <c r="G404" s="17">
        <f>IF(OR(E404="",F404=""),"",E404-F404)</f>
      </c>
      <c r="H404" s="18">
        <f>IF(OR(G404="",E404="",E404=0),"",G404/E404)</f>
      </c>
      <c r="I404" s="19">
        <f>IF(OR(E404="",C404=""),"",IFERROR(E404*INDEX(Alimentos!$C$5:$C$104,MATCH(C404,Alimentos!$A$5:$A$104,0)),""))</f>
      </c>
      <c r="J404" s="10"/>
      <c r="K404" s="10"/>
      <c r="L404" s="10"/>
    </row>
    <row r="405" spans="1:12" x14ac:dyDescent="0.25">
      <c r="A405" s="20"/>
      <c r="B405" s="10"/>
      <c r="C405" s="10"/>
      <c r="D405" s="15">
        <f>IF(C405="","",IFERROR(INDEX(Alimentos!$B$5:$B$104,MATCH(C405,Alimentos!$A$5:$A$104,0)),""))</f>
      </c>
      <c r="E405" s="21"/>
      <c r="F405" s="21"/>
      <c r="G405" s="17">
        <f>IF(OR(E405="",F405=""),"",E405-F405)</f>
      </c>
      <c r="H405" s="18">
        <f>IF(OR(G405="",E405="",E405=0),"",G405/E405)</f>
      </c>
      <c r="I405" s="19">
        <f>IF(OR(E405="",C405=""),"",IFERROR(E405*INDEX(Alimentos!$C$5:$C$104,MATCH(C405,Alimentos!$A$5:$A$104,0)),""))</f>
      </c>
      <c r="J405" s="10"/>
      <c r="K405" s="10"/>
      <c r="L405" s="10"/>
    </row>
    <row r="406" spans="1:12" x14ac:dyDescent="0.25">
      <c r="A406" s="20"/>
      <c r="B406" s="10"/>
      <c r="C406" s="10"/>
      <c r="D406" s="15">
        <f>IF(C406="","",IFERROR(INDEX(Alimentos!$B$5:$B$104,MATCH(C406,Alimentos!$A$5:$A$104,0)),""))</f>
      </c>
      <c r="E406" s="21"/>
      <c r="F406" s="21"/>
      <c r="G406" s="17">
        <f>IF(OR(E406="",F406=""),"",E406-F406)</f>
      </c>
      <c r="H406" s="18">
        <f>IF(OR(G406="",E406="",E406=0),"",G406/E406)</f>
      </c>
      <c r="I406" s="19">
        <f>IF(OR(E406="",C406=""),"",IFERROR(E406*INDEX(Alimentos!$C$5:$C$104,MATCH(C406,Alimentos!$A$5:$A$104,0)),""))</f>
      </c>
      <c r="J406" s="10"/>
      <c r="K406" s="10"/>
      <c r="L406" s="10"/>
    </row>
    <row r="407" spans="1:12" x14ac:dyDescent="0.25">
      <c r="A407" s="20"/>
      <c r="B407" s="10"/>
      <c r="C407" s="10"/>
      <c r="D407" s="15">
        <f>IF(C407="","",IFERROR(INDEX(Alimentos!$B$5:$B$104,MATCH(C407,Alimentos!$A$5:$A$104,0)),""))</f>
      </c>
      <c r="E407" s="21"/>
      <c r="F407" s="21"/>
      <c r="G407" s="17">
        <f>IF(OR(E407="",F407=""),"",E407-F407)</f>
      </c>
      <c r="H407" s="18">
        <f>IF(OR(G407="",E407="",E407=0),"",G407/E407)</f>
      </c>
      <c r="I407" s="19">
        <f>IF(OR(E407="",C407=""),"",IFERROR(E407*INDEX(Alimentos!$C$5:$C$104,MATCH(C407,Alimentos!$A$5:$A$104,0)),""))</f>
      </c>
      <c r="J407" s="10"/>
      <c r="K407" s="10"/>
      <c r="L407" s="10"/>
    </row>
    <row r="408" spans="1:12" x14ac:dyDescent="0.25">
      <c r="A408" s="20"/>
      <c r="B408" s="10"/>
      <c r="C408" s="10"/>
      <c r="D408" s="15">
        <f>IF(C408="","",IFERROR(INDEX(Alimentos!$B$5:$B$104,MATCH(C408,Alimentos!$A$5:$A$104,0)),""))</f>
      </c>
      <c r="E408" s="21"/>
      <c r="F408" s="21"/>
      <c r="G408" s="17">
        <f>IF(OR(E408="",F408=""),"",E408-F408)</f>
      </c>
      <c r="H408" s="18">
        <f>IF(OR(G408="",E408="",E408=0),"",G408/E408)</f>
      </c>
      <c r="I408" s="19">
        <f>IF(OR(E408="",C408=""),"",IFERROR(E408*INDEX(Alimentos!$C$5:$C$104,MATCH(C408,Alimentos!$A$5:$A$104,0)),""))</f>
      </c>
      <c r="J408" s="10"/>
      <c r="K408" s="10"/>
      <c r="L408" s="10"/>
    </row>
    <row r="409" spans="1:12" x14ac:dyDescent="0.25">
      <c r="A409" s="20"/>
      <c r="B409" s="10"/>
      <c r="C409" s="10"/>
      <c r="D409" s="15">
        <f>IF(C409="","",IFERROR(INDEX(Alimentos!$B$5:$B$104,MATCH(C409,Alimentos!$A$5:$A$104,0)),""))</f>
      </c>
      <c r="E409" s="21"/>
      <c r="F409" s="21"/>
      <c r="G409" s="17">
        <f>IF(OR(E409="",F409=""),"",E409-F409)</f>
      </c>
      <c r="H409" s="18">
        <f>IF(OR(G409="",E409="",E409=0),"",G409/E409)</f>
      </c>
      <c r="I409" s="19">
        <f>IF(OR(E409="",C409=""),"",IFERROR(E409*INDEX(Alimentos!$C$5:$C$104,MATCH(C409,Alimentos!$A$5:$A$104,0)),""))</f>
      </c>
      <c r="J409" s="10"/>
      <c r="K409" s="10"/>
      <c r="L409" s="10"/>
    </row>
    <row r="410" spans="1:12" x14ac:dyDescent="0.25">
      <c r="A410" s="20"/>
      <c r="B410" s="10"/>
      <c r="C410" s="10"/>
      <c r="D410" s="15">
        <f>IF(C410="","",IFERROR(INDEX(Alimentos!$B$5:$B$104,MATCH(C410,Alimentos!$A$5:$A$104,0)),""))</f>
      </c>
      <c r="E410" s="21"/>
      <c r="F410" s="21"/>
      <c r="G410" s="17">
        <f>IF(OR(E410="",F410=""),"",E410-F410)</f>
      </c>
      <c r="H410" s="18">
        <f>IF(OR(G410="",E410="",E410=0),"",G410/E410)</f>
      </c>
      <c r="I410" s="19">
        <f>IF(OR(E410="",C410=""),"",IFERROR(E410*INDEX(Alimentos!$C$5:$C$104,MATCH(C410,Alimentos!$A$5:$A$104,0)),""))</f>
      </c>
      <c r="J410" s="10"/>
      <c r="K410" s="10"/>
      <c r="L410" s="10"/>
    </row>
    <row r="411" spans="1:12" x14ac:dyDescent="0.25">
      <c r="A411" s="20"/>
      <c r="B411" s="10"/>
      <c r="C411" s="10"/>
      <c r="D411" s="15">
        <f>IF(C411="","",IFERROR(INDEX(Alimentos!$B$5:$B$104,MATCH(C411,Alimentos!$A$5:$A$104,0)),""))</f>
      </c>
      <c r="E411" s="21"/>
      <c r="F411" s="21"/>
      <c r="G411" s="17">
        <f>IF(OR(E411="",F411=""),"",E411-F411)</f>
      </c>
      <c r="H411" s="18">
        <f>IF(OR(G411="",E411="",E411=0),"",G411/E411)</f>
      </c>
      <c r="I411" s="19">
        <f>IF(OR(E411="",C411=""),"",IFERROR(E411*INDEX(Alimentos!$C$5:$C$104,MATCH(C411,Alimentos!$A$5:$A$104,0)),""))</f>
      </c>
      <c r="J411" s="10"/>
      <c r="K411" s="10"/>
      <c r="L411" s="10"/>
    </row>
    <row r="412" spans="1:12" x14ac:dyDescent="0.25">
      <c r="A412" s="20"/>
      <c r="B412" s="10"/>
      <c r="C412" s="10"/>
      <c r="D412" s="15">
        <f>IF(C412="","",IFERROR(INDEX(Alimentos!$B$5:$B$104,MATCH(C412,Alimentos!$A$5:$A$104,0)),""))</f>
      </c>
      <c r="E412" s="21"/>
      <c r="F412" s="21"/>
      <c r="G412" s="17">
        <f>IF(OR(E412="",F412=""),"",E412-F412)</f>
      </c>
      <c r="H412" s="18">
        <f>IF(OR(G412="",E412="",E412=0),"",G412/E412)</f>
      </c>
      <c r="I412" s="19">
        <f>IF(OR(E412="",C412=""),"",IFERROR(E412*INDEX(Alimentos!$C$5:$C$104,MATCH(C412,Alimentos!$A$5:$A$104,0)),""))</f>
      </c>
      <c r="J412" s="10"/>
      <c r="K412" s="10"/>
      <c r="L412" s="10"/>
    </row>
    <row r="413" spans="1:12" x14ac:dyDescent="0.25">
      <c r="A413" s="20"/>
      <c r="B413" s="10"/>
      <c r="C413" s="10"/>
      <c r="D413" s="15">
        <f>IF(C413="","",IFERROR(INDEX(Alimentos!$B$5:$B$104,MATCH(C413,Alimentos!$A$5:$A$104,0)),""))</f>
      </c>
      <c r="E413" s="21"/>
      <c r="F413" s="21"/>
      <c r="G413" s="17">
        <f>IF(OR(E413="",F413=""),"",E413-F413)</f>
      </c>
      <c r="H413" s="18">
        <f>IF(OR(G413="",E413="",E413=0),"",G413/E413)</f>
      </c>
      <c r="I413" s="19">
        <f>IF(OR(E413="",C413=""),"",IFERROR(E413*INDEX(Alimentos!$C$5:$C$104,MATCH(C413,Alimentos!$A$5:$A$104,0)),""))</f>
      </c>
      <c r="J413" s="10"/>
      <c r="K413" s="10"/>
      <c r="L413" s="10"/>
    </row>
    <row r="414" spans="1:12" x14ac:dyDescent="0.25">
      <c r="A414" s="20"/>
      <c r="B414" s="10"/>
      <c r="C414" s="10"/>
      <c r="D414" s="15">
        <f>IF(C414="","",IFERROR(INDEX(Alimentos!$B$5:$B$104,MATCH(C414,Alimentos!$A$5:$A$104,0)),""))</f>
      </c>
      <c r="E414" s="21"/>
      <c r="F414" s="21"/>
      <c r="G414" s="17">
        <f>IF(OR(E414="",F414=""),"",E414-F414)</f>
      </c>
      <c r="H414" s="18">
        <f>IF(OR(G414="",E414="",E414=0),"",G414/E414)</f>
      </c>
      <c r="I414" s="19">
        <f>IF(OR(E414="",C414=""),"",IFERROR(E414*INDEX(Alimentos!$C$5:$C$104,MATCH(C414,Alimentos!$A$5:$A$104,0)),""))</f>
      </c>
      <c r="J414" s="10"/>
      <c r="K414" s="10"/>
      <c r="L414" s="10"/>
    </row>
    <row r="415" spans="1:12" x14ac:dyDescent="0.25">
      <c r="A415" s="20"/>
      <c r="B415" s="10"/>
      <c r="C415" s="10"/>
      <c r="D415" s="15">
        <f>IF(C415="","",IFERROR(INDEX(Alimentos!$B$5:$B$104,MATCH(C415,Alimentos!$A$5:$A$104,0)),""))</f>
      </c>
      <c r="E415" s="21"/>
      <c r="F415" s="21"/>
      <c r="G415" s="17">
        <f>IF(OR(E415="",F415=""),"",E415-F415)</f>
      </c>
      <c r="H415" s="18">
        <f>IF(OR(G415="",E415="",E415=0),"",G415/E415)</f>
      </c>
      <c r="I415" s="19">
        <f>IF(OR(E415="",C415=""),"",IFERROR(E415*INDEX(Alimentos!$C$5:$C$104,MATCH(C415,Alimentos!$A$5:$A$104,0)),""))</f>
      </c>
      <c r="J415" s="10"/>
      <c r="K415" s="10"/>
      <c r="L415" s="10"/>
    </row>
    <row r="416" spans="1:12" x14ac:dyDescent="0.25">
      <c r="A416" s="20"/>
      <c r="B416" s="10"/>
      <c r="C416" s="10"/>
      <c r="D416" s="15">
        <f>IF(C416="","",IFERROR(INDEX(Alimentos!$B$5:$B$104,MATCH(C416,Alimentos!$A$5:$A$104,0)),""))</f>
      </c>
      <c r="E416" s="21"/>
      <c r="F416" s="21"/>
      <c r="G416" s="17">
        <f>IF(OR(E416="",F416=""),"",E416-F416)</f>
      </c>
      <c r="H416" s="18">
        <f>IF(OR(G416="",E416="",E416=0),"",G416/E416)</f>
      </c>
      <c r="I416" s="19">
        <f>IF(OR(E416="",C416=""),"",IFERROR(E416*INDEX(Alimentos!$C$5:$C$104,MATCH(C416,Alimentos!$A$5:$A$104,0)),""))</f>
      </c>
      <c r="J416" s="10"/>
      <c r="K416" s="10"/>
      <c r="L416" s="10"/>
    </row>
    <row r="417" spans="1:12" x14ac:dyDescent="0.25">
      <c r="A417" s="20"/>
      <c r="B417" s="10"/>
      <c r="C417" s="10"/>
      <c r="D417" s="15">
        <f>IF(C417="","",IFERROR(INDEX(Alimentos!$B$5:$B$104,MATCH(C417,Alimentos!$A$5:$A$104,0)),""))</f>
      </c>
      <c r="E417" s="21"/>
      <c r="F417" s="21"/>
      <c r="G417" s="17">
        <f>IF(OR(E417="",F417=""),"",E417-F417)</f>
      </c>
      <c r="H417" s="18">
        <f>IF(OR(G417="",E417="",E417=0),"",G417/E417)</f>
      </c>
      <c r="I417" s="19">
        <f>IF(OR(E417="",C417=""),"",IFERROR(E417*INDEX(Alimentos!$C$5:$C$104,MATCH(C417,Alimentos!$A$5:$A$104,0)),""))</f>
      </c>
      <c r="J417" s="10"/>
      <c r="K417" s="10"/>
      <c r="L417" s="10"/>
    </row>
    <row r="418" spans="1:12" x14ac:dyDescent="0.25">
      <c r="A418" s="20"/>
      <c r="B418" s="10"/>
      <c r="C418" s="10"/>
      <c r="D418" s="15">
        <f>IF(C418="","",IFERROR(INDEX(Alimentos!$B$5:$B$104,MATCH(C418,Alimentos!$A$5:$A$104,0)),""))</f>
      </c>
      <c r="E418" s="21"/>
      <c r="F418" s="21"/>
      <c r="G418" s="17">
        <f>IF(OR(E418="",F418=""),"",E418-F418)</f>
      </c>
      <c r="H418" s="18">
        <f>IF(OR(G418="",E418="",E418=0),"",G418/E418)</f>
      </c>
      <c r="I418" s="19">
        <f>IF(OR(E418="",C418=""),"",IFERROR(E418*INDEX(Alimentos!$C$5:$C$104,MATCH(C418,Alimentos!$A$5:$A$104,0)),""))</f>
      </c>
      <c r="J418" s="10"/>
      <c r="K418" s="10"/>
      <c r="L418" s="10"/>
    </row>
    <row r="419" spans="1:12" x14ac:dyDescent="0.25">
      <c r="A419" s="20"/>
      <c r="B419" s="10"/>
      <c r="C419" s="10"/>
      <c r="D419" s="15">
        <f>IF(C419="","",IFERROR(INDEX(Alimentos!$B$5:$B$104,MATCH(C419,Alimentos!$A$5:$A$104,0)),""))</f>
      </c>
      <c r="E419" s="21"/>
      <c r="F419" s="21"/>
      <c r="G419" s="17">
        <f>IF(OR(E419="",F419=""),"",E419-F419)</f>
      </c>
      <c r="H419" s="18">
        <f>IF(OR(G419="",E419="",E419=0),"",G419/E419)</f>
      </c>
      <c r="I419" s="19">
        <f>IF(OR(E419="",C419=""),"",IFERROR(E419*INDEX(Alimentos!$C$5:$C$104,MATCH(C419,Alimentos!$A$5:$A$104,0)),""))</f>
      </c>
      <c r="J419" s="10"/>
      <c r="K419" s="10"/>
      <c r="L419" s="10"/>
    </row>
    <row r="420" spans="1:12" x14ac:dyDescent="0.25">
      <c r="A420" s="20"/>
      <c r="B420" s="10"/>
      <c r="C420" s="10"/>
      <c r="D420" s="15">
        <f>IF(C420="","",IFERROR(INDEX(Alimentos!$B$5:$B$104,MATCH(C420,Alimentos!$A$5:$A$104,0)),""))</f>
      </c>
      <c r="E420" s="21"/>
      <c r="F420" s="21"/>
      <c r="G420" s="17">
        <f>IF(OR(E420="",F420=""),"",E420-F420)</f>
      </c>
      <c r="H420" s="18">
        <f>IF(OR(G420="",E420="",E420=0),"",G420/E420)</f>
      </c>
      <c r="I420" s="19">
        <f>IF(OR(E420="",C420=""),"",IFERROR(E420*INDEX(Alimentos!$C$5:$C$104,MATCH(C420,Alimentos!$A$5:$A$104,0)),""))</f>
      </c>
      <c r="J420" s="10"/>
      <c r="K420" s="10"/>
      <c r="L420" s="10"/>
    </row>
    <row r="421" spans="1:12" x14ac:dyDescent="0.25">
      <c r="A421" s="20"/>
      <c r="B421" s="10"/>
      <c r="C421" s="10"/>
      <c r="D421" s="15">
        <f>IF(C421="","",IFERROR(INDEX(Alimentos!$B$5:$B$104,MATCH(C421,Alimentos!$A$5:$A$104,0)),""))</f>
      </c>
      <c r="E421" s="21"/>
      <c r="F421" s="21"/>
      <c r="G421" s="17">
        <f>IF(OR(E421="",F421=""),"",E421-F421)</f>
      </c>
      <c r="H421" s="18">
        <f>IF(OR(G421="",E421="",E421=0),"",G421/E421)</f>
      </c>
      <c r="I421" s="19">
        <f>IF(OR(E421="",C421=""),"",IFERROR(E421*INDEX(Alimentos!$C$5:$C$104,MATCH(C421,Alimentos!$A$5:$A$104,0)),""))</f>
      </c>
      <c r="J421" s="10"/>
      <c r="K421" s="10"/>
      <c r="L421" s="10"/>
    </row>
    <row r="422" spans="1:12" x14ac:dyDescent="0.25">
      <c r="A422" s="20"/>
      <c r="B422" s="10"/>
      <c r="C422" s="10"/>
      <c r="D422" s="15">
        <f>IF(C422="","",IFERROR(INDEX(Alimentos!$B$5:$B$104,MATCH(C422,Alimentos!$A$5:$A$104,0)),""))</f>
      </c>
      <c r="E422" s="21"/>
      <c r="F422" s="21"/>
      <c r="G422" s="17">
        <f>IF(OR(E422="",F422=""),"",E422-F422)</f>
      </c>
      <c r="H422" s="18">
        <f>IF(OR(G422="",E422="",E422=0),"",G422/E422)</f>
      </c>
      <c r="I422" s="19">
        <f>IF(OR(E422="",C422=""),"",IFERROR(E422*INDEX(Alimentos!$C$5:$C$104,MATCH(C422,Alimentos!$A$5:$A$104,0)),""))</f>
      </c>
      <c r="J422" s="10"/>
      <c r="K422" s="10"/>
      <c r="L422" s="10"/>
    </row>
    <row r="423" spans="1:12" x14ac:dyDescent="0.25">
      <c r="A423" s="20"/>
      <c r="B423" s="10"/>
      <c r="C423" s="10"/>
      <c r="D423" s="15">
        <f>IF(C423="","",IFERROR(INDEX(Alimentos!$B$5:$B$104,MATCH(C423,Alimentos!$A$5:$A$104,0)),""))</f>
      </c>
      <c r="E423" s="21"/>
      <c r="F423" s="21"/>
      <c r="G423" s="17">
        <f>IF(OR(E423="",F423=""),"",E423-F423)</f>
      </c>
      <c r="H423" s="18">
        <f>IF(OR(G423="",E423="",E423=0),"",G423/E423)</f>
      </c>
      <c r="I423" s="19">
        <f>IF(OR(E423="",C423=""),"",IFERROR(E423*INDEX(Alimentos!$C$5:$C$104,MATCH(C423,Alimentos!$A$5:$A$104,0)),""))</f>
      </c>
      <c r="J423" s="10"/>
      <c r="K423" s="10"/>
      <c r="L423" s="10"/>
    </row>
    <row r="424" spans="1:12" x14ac:dyDescent="0.25">
      <c r="A424" s="20"/>
      <c r="B424" s="10"/>
      <c r="C424" s="10"/>
      <c r="D424" s="15">
        <f>IF(C424="","",IFERROR(INDEX(Alimentos!$B$5:$B$104,MATCH(C424,Alimentos!$A$5:$A$104,0)),""))</f>
      </c>
      <c r="E424" s="21"/>
      <c r="F424" s="21"/>
      <c r="G424" s="17">
        <f>IF(OR(E424="",F424=""),"",E424-F424)</f>
      </c>
      <c r="H424" s="18">
        <f>IF(OR(G424="",E424="",E424=0),"",G424/E424)</f>
      </c>
      <c r="I424" s="19">
        <f>IF(OR(E424="",C424=""),"",IFERROR(E424*INDEX(Alimentos!$C$5:$C$104,MATCH(C424,Alimentos!$A$5:$A$104,0)),""))</f>
      </c>
      <c r="J424" s="10"/>
      <c r="K424" s="10"/>
      <c r="L424" s="10"/>
    </row>
    <row r="425" spans="1:12" x14ac:dyDescent="0.25">
      <c r="A425" s="20"/>
      <c r="B425" s="10"/>
      <c r="C425" s="10"/>
      <c r="D425" s="15">
        <f>IF(C425="","",IFERROR(INDEX(Alimentos!$B$5:$B$104,MATCH(C425,Alimentos!$A$5:$A$104,0)),""))</f>
      </c>
      <c r="E425" s="21"/>
      <c r="F425" s="21"/>
      <c r="G425" s="17">
        <f>IF(OR(E425="",F425=""),"",E425-F425)</f>
      </c>
      <c r="H425" s="18">
        <f>IF(OR(G425="",E425="",E425=0),"",G425/E425)</f>
      </c>
      <c r="I425" s="19">
        <f>IF(OR(E425="",C425=""),"",IFERROR(E425*INDEX(Alimentos!$C$5:$C$104,MATCH(C425,Alimentos!$A$5:$A$104,0)),""))</f>
      </c>
      <c r="J425" s="10"/>
      <c r="K425" s="10"/>
      <c r="L425" s="10"/>
    </row>
    <row r="426" spans="1:12" x14ac:dyDescent="0.25">
      <c r="A426" s="20"/>
      <c r="B426" s="10"/>
      <c r="C426" s="10"/>
      <c r="D426" s="15">
        <f>IF(C426="","",IFERROR(INDEX(Alimentos!$B$5:$B$104,MATCH(C426,Alimentos!$A$5:$A$104,0)),""))</f>
      </c>
      <c r="E426" s="21"/>
      <c r="F426" s="21"/>
      <c r="G426" s="17">
        <f>IF(OR(E426="",F426=""),"",E426-F426)</f>
      </c>
      <c r="H426" s="18">
        <f>IF(OR(G426="",E426="",E426=0),"",G426/E426)</f>
      </c>
      <c r="I426" s="19">
        <f>IF(OR(E426="",C426=""),"",IFERROR(E426*INDEX(Alimentos!$C$5:$C$104,MATCH(C426,Alimentos!$A$5:$A$104,0)),""))</f>
      </c>
      <c r="J426" s="10"/>
      <c r="K426" s="10"/>
      <c r="L426" s="10"/>
    </row>
    <row r="427" spans="1:12" x14ac:dyDescent="0.25">
      <c r="A427" s="20"/>
      <c r="B427" s="10"/>
      <c r="C427" s="10"/>
      <c r="D427" s="15">
        <f>IF(C427="","",IFERROR(INDEX(Alimentos!$B$5:$B$104,MATCH(C427,Alimentos!$A$5:$A$104,0)),""))</f>
      </c>
      <c r="E427" s="21"/>
      <c r="F427" s="21"/>
      <c r="G427" s="17">
        <f>IF(OR(E427="",F427=""),"",E427-F427)</f>
      </c>
      <c r="H427" s="18">
        <f>IF(OR(G427="",E427="",E427=0),"",G427/E427)</f>
      </c>
      <c r="I427" s="19">
        <f>IF(OR(E427="",C427=""),"",IFERROR(E427*INDEX(Alimentos!$C$5:$C$104,MATCH(C427,Alimentos!$A$5:$A$104,0)),""))</f>
      </c>
      <c r="J427" s="10"/>
      <c r="K427" s="10"/>
      <c r="L427" s="10"/>
    </row>
    <row r="428" spans="1:12" x14ac:dyDescent="0.25">
      <c r="A428" s="20"/>
      <c r="B428" s="10"/>
      <c r="C428" s="10"/>
      <c r="D428" s="15">
        <f>IF(C428="","",IFERROR(INDEX(Alimentos!$B$5:$B$104,MATCH(C428,Alimentos!$A$5:$A$104,0)),""))</f>
      </c>
      <c r="E428" s="21"/>
      <c r="F428" s="21"/>
      <c r="G428" s="17">
        <f>IF(OR(E428="",F428=""),"",E428-F428)</f>
      </c>
      <c r="H428" s="18">
        <f>IF(OR(G428="",E428="",E428=0),"",G428/E428)</f>
      </c>
      <c r="I428" s="19">
        <f>IF(OR(E428="",C428=""),"",IFERROR(E428*INDEX(Alimentos!$C$5:$C$104,MATCH(C428,Alimentos!$A$5:$A$104,0)),""))</f>
      </c>
      <c r="J428" s="10"/>
      <c r="K428" s="10"/>
      <c r="L428" s="10"/>
    </row>
    <row r="429" spans="1:12" x14ac:dyDescent="0.25">
      <c r="A429" s="20"/>
      <c r="B429" s="10"/>
      <c r="C429" s="10"/>
      <c r="D429" s="15">
        <f>IF(C429="","",IFERROR(INDEX(Alimentos!$B$5:$B$104,MATCH(C429,Alimentos!$A$5:$A$104,0)),""))</f>
      </c>
      <c r="E429" s="21"/>
      <c r="F429" s="21"/>
      <c r="G429" s="17">
        <f>IF(OR(E429="",F429=""),"",E429-F429)</f>
      </c>
      <c r="H429" s="18">
        <f>IF(OR(G429="",E429="",E429=0),"",G429/E429)</f>
      </c>
      <c r="I429" s="19">
        <f>IF(OR(E429="",C429=""),"",IFERROR(E429*INDEX(Alimentos!$C$5:$C$104,MATCH(C429,Alimentos!$A$5:$A$104,0)),""))</f>
      </c>
      <c r="J429" s="10"/>
      <c r="K429" s="10"/>
      <c r="L429" s="10"/>
    </row>
    <row r="430" spans="1:12" x14ac:dyDescent="0.25">
      <c r="A430" s="20"/>
      <c r="B430" s="10"/>
      <c r="C430" s="10"/>
      <c r="D430" s="15">
        <f>IF(C430="","",IFERROR(INDEX(Alimentos!$B$5:$B$104,MATCH(C430,Alimentos!$A$5:$A$104,0)),""))</f>
      </c>
      <c r="E430" s="21"/>
      <c r="F430" s="21"/>
      <c r="G430" s="17">
        <f>IF(OR(E430="",F430=""),"",E430-F430)</f>
      </c>
      <c r="H430" s="18">
        <f>IF(OR(G430="",E430="",E430=0),"",G430/E430)</f>
      </c>
      <c r="I430" s="19">
        <f>IF(OR(E430="",C430=""),"",IFERROR(E430*INDEX(Alimentos!$C$5:$C$104,MATCH(C430,Alimentos!$A$5:$A$104,0)),""))</f>
      </c>
      <c r="J430" s="10"/>
      <c r="K430" s="10"/>
      <c r="L430" s="10"/>
    </row>
    <row r="431" spans="1:12" x14ac:dyDescent="0.25">
      <c r="A431" s="20"/>
      <c r="B431" s="10"/>
      <c r="C431" s="10"/>
      <c r="D431" s="15">
        <f>IF(C431="","",IFERROR(INDEX(Alimentos!$B$5:$B$104,MATCH(C431,Alimentos!$A$5:$A$104,0)),""))</f>
      </c>
      <c r="E431" s="21"/>
      <c r="F431" s="21"/>
      <c r="G431" s="17">
        <f>IF(OR(E431="",F431=""),"",E431-F431)</f>
      </c>
      <c r="H431" s="18">
        <f>IF(OR(G431="",E431="",E431=0),"",G431/E431)</f>
      </c>
      <c r="I431" s="19">
        <f>IF(OR(E431="",C431=""),"",IFERROR(E431*INDEX(Alimentos!$C$5:$C$104,MATCH(C431,Alimentos!$A$5:$A$104,0)),""))</f>
      </c>
      <c r="J431" s="10"/>
      <c r="K431" s="10"/>
      <c r="L431" s="10"/>
    </row>
    <row r="432" spans="1:12" x14ac:dyDescent="0.25">
      <c r="A432" s="20"/>
      <c r="B432" s="10"/>
      <c r="C432" s="10"/>
      <c r="D432" s="15">
        <f>IF(C432="","",IFERROR(INDEX(Alimentos!$B$5:$B$104,MATCH(C432,Alimentos!$A$5:$A$104,0)),""))</f>
      </c>
      <c r="E432" s="21"/>
      <c r="F432" s="21"/>
      <c r="G432" s="17">
        <f>IF(OR(E432="",F432=""),"",E432-F432)</f>
      </c>
      <c r="H432" s="18">
        <f>IF(OR(G432="",E432="",E432=0),"",G432/E432)</f>
      </c>
      <c r="I432" s="19">
        <f>IF(OR(E432="",C432=""),"",IFERROR(E432*INDEX(Alimentos!$C$5:$C$104,MATCH(C432,Alimentos!$A$5:$A$104,0)),""))</f>
      </c>
      <c r="J432" s="10"/>
      <c r="K432" s="10"/>
      <c r="L432" s="10"/>
    </row>
    <row r="433" spans="1:12" x14ac:dyDescent="0.25">
      <c r="A433" s="20"/>
      <c r="B433" s="10"/>
      <c r="C433" s="10"/>
      <c r="D433" s="15">
        <f>IF(C433="","",IFERROR(INDEX(Alimentos!$B$5:$B$104,MATCH(C433,Alimentos!$A$5:$A$104,0)),""))</f>
      </c>
      <c r="E433" s="21"/>
      <c r="F433" s="21"/>
      <c r="G433" s="17">
        <f>IF(OR(E433="",F433=""),"",E433-F433)</f>
      </c>
      <c r="H433" s="18">
        <f>IF(OR(G433="",E433="",E433=0),"",G433/E433)</f>
      </c>
      <c r="I433" s="19">
        <f>IF(OR(E433="",C433=""),"",IFERROR(E433*INDEX(Alimentos!$C$5:$C$104,MATCH(C433,Alimentos!$A$5:$A$104,0)),""))</f>
      </c>
      <c r="J433" s="10"/>
      <c r="K433" s="10"/>
      <c r="L433" s="10"/>
    </row>
    <row r="434" spans="1:12" x14ac:dyDescent="0.25">
      <c r="A434" s="20"/>
      <c r="B434" s="10"/>
      <c r="C434" s="10"/>
      <c r="D434" s="15">
        <f>IF(C434="","",IFERROR(INDEX(Alimentos!$B$5:$B$104,MATCH(C434,Alimentos!$A$5:$A$104,0)),""))</f>
      </c>
      <c r="E434" s="21"/>
      <c r="F434" s="21"/>
      <c r="G434" s="17">
        <f>IF(OR(E434="",F434=""),"",E434-F434)</f>
      </c>
      <c r="H434" s="18">
        <f>IF(OR(G434="",E434="",E434=0),"",G434/E434)</f>
      </c>
      <c r="I434" s="19">
        <f>IF(OR(E434="",C434=""),"",IFERROR(E434*INDEX(Alimentos!$C$5:$C$104,MATCH(C434,Alimentos!$A$5:$A$104,0)),""))</f>
      </c>
      <c r="J434" s="10"/>
      <c r="K434" s="10"/>
      <c r="L434" s="10"/>
    </row>
    <row r="435" spans="1:12" x14ac:dyDescent="0.25">
      <c r="A435" s="20"/>
      <c r="B435" s="10"/>
      <c r="C435" s="10"/>
      <c r="D435" s="15">
        <f>IF(C435="","",IFERROR(INDEX(Alimentos!$B$5:$B$104,MATCH(C435,Alimentos!$A$5:$A$104,0)),""))</f>
      </c>
      <c r="E435" s="21"/>
      <c r="F435" s="21"/>
      <c r="G435" s="17">
        <f>IF(OR(E435="",F435=""),"",E435-F435)</f>
      </c>
      <c r="H435" s="18">
        <f>IF(OR(G435="",E435="",E435=0),"",G435/E435)</f>
      </c>
      <c r="I435" s="19">
        <f>IF(OR(E435="",C435=""),"",IFERROR(E435*INDEX(Alimentos!$C$5:$C$104,MATCH(C435,Alimentos!$A$5:$A$104,0)),""))</f>
      </c>
      <c r="J435" s="10"/>
      <c r="K435" s="10"/>
      <c r="L435" s="10"/>
    </row>
    <row r="436" spans="1:12" x14ac:dyDescent="0.25">
      <c r="A436" s="20"/>
      <c r="B436" s="10"/>
      <c r="C436" s="10"/>
      <c r="D436" s="15">
        <f>IF(C436="","",IFERROR(INDEX(Alimentos!$B$5:$B$104,MATCH(C436,Alimentos!$A$5:$A$104,0)),""))</f>
      </c>
      <c r="E436" s="21"/>
      <c r="F436" s="21"/>
      <c r="G436" s="17">
        <f>IF(OR(E436="",F436=""),"",E436-F436)</f>
      </c>
      <c r="H436" s="18">
        <f>IF(OR(G436="",E436="",E436=0),"",G436/E436)</f>
      </c>
      <c r="I436" s="19">
        <f>IF(OR(E436="",C436=""),"",IFERROR(E436*INDEX(Alimentos!$C$5:$C$104,MATCH(C436,Alimentos!$A$5:$A$104,0)),""))</f>
      </c>
      <c r="J436" s="10"/>
      <c r="K436" s="10"/>
      <c r="L436" s="10"/>
    </row>
    <row r="437" spans="1:12" x14ac:dyDescent="0.25">
      <c r="A437" s="20"/>
      <c r="B437" s="10"/>
      <c r="C437" s="10"/>
      <c r="D437" s="15">
        <f>IF(C437="","",IFERROR(INDEX(Alimentos!$B$5:$B$104,MATCH(C437,Alimentos!$A$5:$A$104,0)),""))</f>
      </c>
      <c r="E437" s="21"/>
      <c r="F437" s="21"/>
      <c r="G437" s="17">
        <f>IF(OR(E437="",F437=""),"",E437-F437)</f>
      </c>
      <c r="H437" s="18">
        <f>IF(OR(G437="",E437="",E437=0),"",G437/E437)</f>
      </c>
      <c r="I437" s="19">
        <f>IF(OR(E437="",C437=""),"",IFERROR(E437*INDEX(Alimentos!$C$5:$C$104,MATCH(C437,Alimentos!$A$5:$A$104,0)),""))</f>
      </c>
      <c r="J437" s="10"/>
      <c r="K437" s="10"/>
      <c r="L437" s="10"/>
    </row>
    <row r="438" spans="1:12" x14ac:dyDescent="0.25">
      <c r="A438" s="20"/>
      <c r="B438" s="10"/>
      <c r="C438" s="10"/>
      <c r="D438" s="15">
        <f>IF(C438="","",IFERROR(INDEX(Alimentos!$B$5:$B$104,MATCH(C438,Alimentos!$A$5:$A$104,0)),""))</f>
      </c>
      <c r="E438" s="21"/>
      <c r="F438" s="21"/>
      <c r="G438" s="17">
        <f>IF(OR(E438="",F438=""),"",E438-F438)</f>
      </c>
      <c r="H438" s="18">
        <f>IF(OR(G438="",E438="",E438=0),"",G438/E438)</f>
      </c>
      <c r="I438" s="19">
        <f>IF(OR(E438="",C438=""),"",IFERROR(E438*INDEX(Alimentos!$C$5:$C$104,MATCH(C438,Alimentos!$A$5:$A$104,0)),""))</f>
      </c>
      <c r="J438" s="10"/>
      <c r="K438" s="10"/>
      <c r="L438" s="10"/>
    </row>
    <row r="439" spans="1:12" x14ac:dyDescent="0.25">
      <c r="A439" s="20"/>
      <c r="B439" s="10"/>
      <c r="C439" s="10"/>
      <c r="D439" s="15">
        <f>IF(C439="","",IFERROR(INDEX(Alimentos!$B$5:$B$104,MATCH(C439,Alimentos!$A$5:$A$104,0)),""))</f>
      </c>
      <c r="E439" s="21"/>
      <c r="F439" s="21"/>
      <c r="G439" s="17">
        <f>IF(OR(E439="",F439=""),"",E439-F439)</f>
      </c>
      <c r="H439" s="18">
        <f>IF(OR(G439="",E439="",E439=0),"",G439/E439)</f>
      </c>
      <c r="I439" s="19">
        <f>IF(OR(E439="",C439=""),"",IFERROR(E439*INDEX(Alimentos!$C$5:$C$104,MATCH(C439,Alimentos!$A$5:$A$104,0)),""))</f>
      </c>
      <c r="J439" s="10"/>
      <c r="K439" s="10"/>
      <c r="L439" s="10"/>
    </row>
    <row r="440" spans="1:12" x14ac:dyDescent="0.25">
      <c r="A440" s="20"/>
      <c r="B440" s="10"/>
      <c r="C440" s="10"/>
      <c r="D440" s="15">
        <f>IF(C440="","",IFERROR(INDEX(Alimentos!$B$5:$B$104,MATCH(C440,Alimentos!$A$5:$A$104,0)),""))</f>
      </c>
      <c r="E440" s="21"/>
      <c r="F440" s="21"/>
      <c r="G440" s="17">
        <f>IF(OR(E440="",F440=""),"",E440-F440)</f>
      </c>
      <c r="H440" s="18">
        <f>IF(OR(G440="",E440="",E440=0),"",G440/E440)</f>
      </c>
      <c r="I440" s="19">
        <f>IF(OR(E440="",C440=""),"",IFERROR(E440*INDEX(Alimentos!$C$5:$C$104,MATCH(C440,Alimentos!$A$5:$A$104,0)),""))</f>
      </c>
      <c r="J440" s="10"/>
      <c r="K440" s="10"/>
      <c r="L440" s="10"/>
    </row>
    <row r="441" spans="1:12" x14ac:dyDescent="0.25">
      <c r="A441" s="20"/>
      <c r="B441" s="10"/>
      <c r="C441" s="10"/>
      <c r="D441" s="15">
        <f>IF(C441="","",IFERROR(INDEX(Alimentos!$B$5:$B$104,MATCH(C441,Alimentos!$A$5:$A$104,0)),""))</f>
      </c>
      <c r="E441" s="21"/>
      <c r="F441" s="21"/>
      <c r="G441" s="17">
        <f>IF(OR(E441="",F441=""),"",E441-F441)</f>
      </c>
      <c r="H441" s="18">
        <f>IF(OR(G441="",E441="",E441=0),"",G441/E441)</f>
      </c>
      <c r="I441" s="19">
        <f>IF(OR(E441="",C441=""),"",IFERROR(E441*INDEX(Alimentos!$C$5:$C$104,MATCH(C441,Alimentos!$A$5:$A$104,0)),""))</f>
      </c>
      <c r="J441" s="10"/>
      <c r="K441" s="10"/>
      <c r="L441" s="10"/>
    </row>
    <row r="442" spans="1:12" x14ac:dyDescent="0.25">
      <c r="A442" s="20"/>
      <c r="B442" s="10"/>
      <c r="C442" s="10"/>
      <c r="D442" s="15">
        <f>IF(C442="","",IFERROR(INDEX(Alimentos!$B$5:$B$104,MATCH(C442,Alimentos!$A$5:$A$104,0)),""))</f>
      </c>
      <c r="E442" s="21"/>
      <c r="F442" s="21"/>
      <c r="G442" s="17">
        <f>IF(OR(E442="",F442=""),"",E442-F442)</f>
      </c>
      <c r="H442" s="18">
        <f>IF(OR(G442="",E442="",E442=0),"",G442/E442)</f>
      </c>
      <c r="I442" s="19">
        <f>IF(OR(E442="",C442=""),"",IFERROR(E442*INDEX(Alimentos!$C$5:$C$104,MATCH(C442,Alimentos!$A$5:$A$104,0)),""))</f>
      </c>
      <c r="J442" s="10"/>
      <c r="K442" s="10"/>
      <c r="L442" s="10"/>
    </row>
    <row r="443" spans="1:12" x14ac:dyDescent="0.25">
      <c r="A443" s="20"/>
      <c r="B443" s="10"/>
      <c r="C443" s="10"/>
      <c r="D443" s="15">
        <f>IF(C443="","",IFERROR(INDEX(Alimentos!$B$5:$B$104,MATCH(C443,Alimentos!$A$5:$A$104,0)),""))</f>
      </c>
      <c r="E443" s="21"/>
      <c r="F443" s="21"/>
      <c r="G443" s="17">
        <f>IF(OR(E443="",F443=""),"",E443-F443)</f>
      </c>
      <c r="H443" s="18">
        <f>IF(OR(G443="",E443="",E443=0),"",G443/E443)</f>
      </c>
      <c r="I443" s="19">
        <f>IF(OR(E443="",C443=""),"",IFERROR(E443*INDEX(Alimentos!$C$5:$C$104,MATCH(C443,Alimentos!$A$5:$A$104,0)),""))</f>
      </c>
      <c r="J443" s="10"/>
      <c r="K443" s="10"/>
      <c r="L443" s="10"/>
    </row>
    <row r="444" spans="1:12" x14ac:dyDescent="0.25">
      <c r="A444" s="20"/>
      <c r="B444" s="10"/>
      <c r="C444" s="10"/>
      <c r="D444" s="15">
        <f>IF(C444="","",IFERROR(INDEX(Alimentos!$B$5:$B$104,MATCH(C444,Alimentos!$A$5:$A$104,0)),""))</f>
      </c>
      <c r="E444" s="21"/>
      <c r="F444" s="21"/>
      <c r="G444" s="17">
        <f>IF(OR(E444="",F444=""),"",E444-F444)</f>
      </c>
      <c r="H444" s="18">
        <f>IF(OR(G444="",E444="",E444=0),"",G444/E444)</f>
      </c>
      <c r="I444" s="19">
        <f>IF(OR(E444="",C444=""),"",IFERROR(E444*INDEX(Alimentos!$C$5:$C$104,MATCH(C444,Alimentos!$A$5:$A$104,0)),""))</f>
      </c>
      <c r="J444" s="10"/>
      <c r="K444" s="10"/>
      <c r="L444" s="10"/>
    </row>
    <row r="445" spans="1:12" x14ac:dyDescent="0.25">
      <c r="A445" s="20"/>
      <c r="B445" s="10"/>
      <c r="C445" s="10"/>
      <c r="D445" s="15">
        <f>IF(C445="","",IFERROR(INDEX(Alimentos!$B$5:$B$104,MATCH(C445,Alimentos!$A$5:$A$104,0)),""))</f>
      </c>
      <c r="E445" s="21"/>
      <c r="F445" s="21"/>
      <c r="G445" s="17">
        <f>IF(OR(E445="",F445=""),"",E445-F445)</f>
      </c>
      <c r="H445" s="18">
        <f>IF(OR(G445="",E445="",E445=0),"",G445/E445)</f>
      </c>
      <c r="I445" s="19">
        <f>IF(OR(E445="",C445=""),"",IFERROR(E445*INDEX(Alimentos!$C$5:$C$104,MATCH(C445,Alimentos!$A$5:$A$104,0)),""))</f>
      </c>
      <c r="J445" s="10"/>
      <c r="K445" s="10"/>
      <c r="L445" s="10"/>
    </row>
    <row r="446" spans="1:12" x14ac:dyDescent="0.25">
      <c r="A446" s="20"/>
      <c r="B446" s="10"/>
      <c r="C446" s="10"/>
      <c r="D446" s="15">
        <f>IF(C446="","",IFERROR(INDEX(Alimentos!$B$5:$B$104,MATCH(C446,Alimentos!$A$5:$A$104,0)),""))</f>
      </c>
      <c r="E446" s="21"/>
      <c r="F446" s="21"/>
      <c r="G446" s="17">
        <f>IF(OR(E446="",F446=""),"",E446-F446)</f>
      </c>
      <c r="H446" s="18">
        <f>IF(OR(G446="",E446="",E446=0),"",G446/E446)</f>
      </c>
      <c r="I446" s="19">
        <f>IF(OR(E446="",C446=""),"",IFERROR(E446*INDEX(Alimentos!$C$5:$C$104,MATCH(C446,Alimentos!$A$5:$A$104,0)),""))</f>
      </c>
      <c r="J446" s="10"/>
      <c r="K446" s="10"/>
      <c r="L446" s="10"/>
    </row>
    <row r="447" spans="1:12" x14ac:dyDescent="0.25">
      <c r="A447" s="20"/>
      <c r="B447" s="10"/>
      <c r="C447" s="10"/>
      <c r="D447" s="15">
        <f>IF(C447="","",IFERROR(INDEX(Alimentos!$B$5:$B$104,MATCH(C447,Alimentos!$A$5:$A$104,0)),""))</f>
      </c>
      <c r="E447" s="21"/>
      <c r="F447" s="21"/>
      <c r="G447" s="17">
        <f>IF(OR(E447="",F447=""),"",E447-F447)</f>
      </c>
      <c r="H447" s="18">
        <f>IF(OR(G447="",E447="",E447=0),"",G447/E447)</f>
      </c>
      <c r="I447" s="19">
        <f>IF(OR(E447="",C447=""),"",IFERROR(E447*INDEX(Alimentos!$C$5:$C$104,MATCH(C447,Alimentos!$A$5:$A$104,0)),""))</f>
      </c>
      <c r="J447" s="10"/>
      <c r="K447" s="10"/>
      <c r="L447" s="10"/>
    </row>
    <row r="448" spans="1:12" x14ac:dyDescent="0.25">
      <c r="A448" s="20"/>
      <c r="B448" s="10"/>
      <c r="C448" s="10"/>
      <c r="D448" s="15">
        <f>IF(C448="","",IFERROR(INDEX(Alimentos!$B$5:$B$104,MATCH(C448,Alimentos!$A$5:$A$104,0)),""))</f>
      </c>
      <c r="E448" s="21"/>
      <c r="F448" s="21"/>
      <c r="G448" s="17">
        <f>IF(OR(E448="",F448=""),"",E448-F448)</f>
      </c>
      <c r="H448" s="18">
        <f>IF(OR(G448="",E448="",E448=0),"",G448/E448)</f>
      </c>
      <c r="I448" s="19">
        <f>IF(OR(E448="",C448=""),"",IFERROR(E448*INDEX(Alimentos!$C$5:$C$104,MATCH(C448,Alimentos!$A$5:$A$104,0)),""))</f>
      </c>
      <c r="J448" s="10"/>
      <c r="K448" s="10"/>
      <c r="L448" s="10"/>
    </row>
    <row r="449" spans="1:12" x14ac:dyDescent="0.25">
      <c r="A449" s="20"/>
      <c r="B449" s="10"/>
      <c r="C449" s="10"/>
      <c r="D449" s="15">
        <f>IF(C449="","",IFERROR(INDEX(Alimentos!$B$5:$B$104,MATCH(C449,Alimentos!$A$5:$A$104,0)),""))</f>
      </c>
      <c r="E449" s="21"/>
      <c r="F449" s="21"/>
      <c r="G449" s="17">
        <f>IF(OR(E449="",F449=""),"",E449-F449)</f>
      </c>
      <c r="H449" s="18">
        <f>IF(OR(G449="",E449="",E449=0),"",G449/E449)</f>
      </c>
      <c r="I449" s="19">
        <f>IF(OR(E449="",C449=""),"",IFERROR(E449*INDEX(Alimentos!$C$5:$C$104,MATCH(C449,Alimentos!$A$5:$A$104,0)),""))</f>
      </c>
      <c r="J449" s="10"/>
      <c r="K449" s="10"/>
      <c r="L449" s="10"/>
    </row>
    <row r="450" spans="1:12" x14ac:dyDescent="0.25">
      <c r="A450" s="20"/>
      <c r="B450" s="10"/>
      <c r="C450" s="10"/>
      <c r="D450" s="15">
        <f>IF(C450="","",IFERROR(INDEX(Alimentos!$B$5:$B$104,MATCH(C450,Alimentos!$A$5:$A$104,0)),""))</f>
      </c>
      <c r="E450" s="21"/>
      <c r="F450" s="21"/>
      <c r="G450" s="17">
        <f>IF(OR(E450="",F450=""),"",E450-F450)</f>
      </c>
      <c r="H450" s="18">
        <f>IF(OR(G450="",E450="",E450=0),"",G450/E450)</f>
      </c>
      <c r="I450" s="19">
        <f>IF(OR(E450="",C450=""),"",IFERROR(E450*INDEX(Alimentos!$C$5:$C$104,MATCH(C450,Alimentos!$A$5:$A$104,0)),""))</f>
      </c>
      <c r="J450" s="10"/>
      <c r="K450" s="10"/>
      <c r="L450" s="10"/>
    </row>
    <row r="451" spans="1:12" x14ac:dyDescent="0.25">
      <c r="A451" s="20"/>
      <c r="B451" s="10"/>
      <c r="C451" s="10"/>
      <c r="D451" s="15">
        <f>IF(C451="","",IFERROR(INDEX(Alimentos!$B$5:$B$104,MATCH(C451,Alimentos!$A$5:$A$104,0)),""))</f>
      </c>
      <c r="E451" s="21"/>
      <c r="F451" s="21"/>
      <c r="G451" s="17">
        <f>IF(OR(E451="",F451=""),"",E451-F451)</f>
      </c>
      <c r="H451" s="18">
        <f>IF(OR(G451="",E451="",E451=0),"",G451/E451)</f>
      </c>
      <c r="I451" s="19">
        <f>IF(OR(E451="",C451=""),"",IFERROR(E451*INDEX(Alimentos!$C$5:$C$104,MATCH(C451,Alimentos!$A$5:$A$104,0)),""))</f>
      </c>
      <c r="J451" s="10"/>
      <c r="K451" s="10"/>
      <c r="L451" s="10"/>
    </row>
    <row r="452" spans="1:12" x14ac:dyDescent="0.25">
      <c r="A452" s="20"/>
      <c r="B452" s="10"/>
      <c r="C452" s="10"/>
      <c r="D452" s="15">
        <f>IF(C452="","",IFERROR(INDEX(Alimentos!$B$5:$B$104,MATCH(C452,Alimentos!$A$5:$A$104,0)),""))</f>
      </c>
      <c r="E452" s="21"/>
      <c r="F452" s="21"/>
      <c r="G452" s="17">
        <f>IF(OR(E452="",F452=""),"",E452-F452)</f>
      </c>
      <c r="H452" s="18">
        <f>IF(OR(G452="",E452="",E452=0),"",G452/E452)</f>
      </c>
      <c r="I452" s="19">
        <f>IF(OR(E452="",C452=""),"",IFERROR(E452*INDEX(Alimentos!$C$5:$C$104,MATCH(C452,Alimentos!$A$5:$A$104,0)),""))</f>
      </c>
      <c r="J452" s="10"/>
      <c r="K452" s="10"/>
      <c r="L452" s="10"/>
    </row>
    <row r="453" spans="1:12" x14ac:dyDescent="0.25">
      <c r="A453" s="20"/>
      <c r="B453" s="10"/>
      <c r="C453" s="10"/>
      <c r="D453" s="15">
        <f>IF(C453="","",IFERROR(INDEX(Alimentos!$B$5:$B$104,MATCH(C453,Alimentos!$A$5:$A$104,0)),""))</f>
      </c>
      <c r="E453" s="21"/>
      <c r="F453" s="21"/>
      <c r="G453" s="17">
        <f>IF(OR(E453="",F453=""),"",E453-F453)</f>
      </c>
      <c r="H453" s="18">
        <f>IF(OR(G453="",E453="",E453=0),"",G453/E453)</f>
      </c>
      <c r="I453" s="19">
        <f>IF(OR(E453="",C453=""),"",IFERROR(E453*INDEX(Alimentos!$C$5:$C$104,MATCH(C453,Alimentos!$A$5:$A$104,0)),""))</f>
      </c>
      <c r="J453" s="10"/>
      <c r="K453" s="10"/>
      <c r="L453" s="10"/>
    </row>
    <row r="454" spans="1:12" x14ac:dyDescent="0.25">
      <c r="A454" s="20"/>
      <c r="B454" s="10"/>
      <c r="C454" s="10"/>
      <c r="D454" s="15">
        <f>IF(C454="","",IFERROR(INDEX(Alimentos!$B$5:$B$104,MATCH(C454,Alimentos!$A$5:$A$104,0)),""))</f>
      </c>
      <c r="E454" s="21"/>
      <c r="F454" s="21"/>
      <c r="G454" s="17">
        <f>IF(OR(E454="",F454=""),"",E454-F454)</f>
      </c>
      <c r="H454" s="18">
        <f>IF(OR(G454="",E454="",E454=0),"",G454/E454)</f>
      </c>
      <c r="I454" s="19">
        <f>IF(OR(E454="",C454=""),"",IFERROR(E454*INDEX(Alimentos!$C$5:$C$104,MATCH(C454,Alimentos!$A$5:$A$104,0)),""))</f>
      </c>
      <c r="J454" s="10"/>
      <c r="K454" s="10"/>
      <c r="L454" s="10"/>
    </row>
    <row r="455" spans="1:12" x14ac:dyDescent="0.25">
      <c r="A455" s="20"/>
      <c r="B455" s="10"/>
      <c r="C455" s="10"/>
      <c r="D455" s="15">
        <f>IF(C455="","",IFERROR(INDEX(Alimentos!$B$5:$B$104,MATCH(C455,Alimentos!$A$5:$A$104,0)),""))</f>
      </c>
      <c r="E455" s="21"/>
      <c r="F455" s="21"/>
      <c r="G455" s="17">
        <f>IF(OR(E455="",F455=""),"",E455-F455)</f>
      </c>
      <c r="H455" s="18">
        <f>IF(OR(G455="",E455="",E455=0),"",G455/E455)</f>
      </c>
      <c r="I455" s="19">
        <f>IF(OR(E455="",C455=""),"",IFERROR(E455*INDEX(Alimentos!$C$5:$C$104,MATCH(C455,Alimentos!$A$5:$A$104,0)),""))</f>
      </c>
      <c r="J455" s="10"/>
      <c r="K455" s="10"/>
      <c r="L455" s="10"/>
    </row>
    <row r="456" spans="1:12" x14ac:dyDescent="0.25">
      <c r="A456" s="20"/>
      <c r="B456" s="10"/>
      <c r="C456" s="10"/>
      <c r="D456" s="15">
        <f>IF(C456="","",IFERROR(INDEX(Alimentos!$B$5:$B$104,MATCH(C456,Alimentos!$A$5:$A$104,0)),""))</f>
      </c>
      <c r="E456" s="21"/>
      <c r="F456" s="21"/>
      <c r="G456" s="17">
        <f>IF(OR(E456="",F456=""),"",E456-F456)</f>
      </c>
      <c r="H456" s="18">
        <f>IF(OR(G456="",E456="",E456=0),"",G456/E456)</f>
      </c>
      <c r="I456" s="19">
        <f>IF(OR(E456="",C456=""),"",IFERROR(E456*INDEX(Alimentos!$C$5:$C$104,MATCH(C456,Alimentos!$A$5:$A$104,0)),""))</f>
      </c>
      <c r="J456" s="10"/>
      <c r="K456" s="10"/>
      <c r="L456" s="10"/>
    </row>
    <row r="457" spans="1:12" x14ac:dyDescent="0.25">
      <c r="A457" s="20"/>
      <c r="B457" s="10"/>
      <c r="C457" s="10"/>
      <c r="D457" s="15">
        <f>IF(C457="","",IFERROR(INDEX(Alimentos!$B$5:$B$104,MATCH(C457,Alimentos!$A$5:$A$104,0)),""))</f>
      </c>
      <c r="E457" s="21"/>
      <c r="F457" s="21"/>
      <c r="G457" s="17">
        <f>IF(OR(E457="",F457=""),"",E457-F457)</f>
      </c>
      <c r="H457" s="18">
        <f>IF(OR(G457="",E457="",E457=0),"",G457/E457)</f>
      </c>
      <c r="I457" s="19">
        <f>IF(OR(E457="",C457=""),"",IFERROR(E457*INDEX(Alimentos!$C$5:$C$104,MATCH(C457,Alimentos!$A$5:$A$104,0)),""))</f>
      </c>
      <c r="J457" s="10"/>
      <c r="K457" s="10"/>
      <c r="L457" s="10"/>
    </row>
    <row r="458" spans="1:12" x14ac:dyDescent="0.25">
      <c r="A458" s="20"/>
      <c r="B458" s="10"/>
      <c r="C458" s="10"/>
      <c r="D458" s="15">
        <f>IF(C458="","",IFERROR(INDEX(Alimentos!$B$5:$B$104,MATCH(C458,Alimentos!$A$5:$A$104,0)),""))</f>
      </c>
      <c r="E458" s="21"/>
      <c r="F458" s="21"/>
      <c r="G458" s="17">
        <f>IF(OR(E458="",F458=""),"",E458-F458)</f>
      </c>
      <c r="H458" s="18">
        <f>IF(OR(G458="",E458="",E458=0),"",G458/E458)</f>
      </c>
      <c r="I458" s="19">
        <f>IF(OR(E458="",C458=""),"",IFERROR(E458*INDEX(Alimentos!$C$5:$C$104,MATCH(C458,Alimentos!$A$5:$A$104,0)),""))</f>
      </c>
      <c r="J458" s="10"/>
      <c r="K458" s="10"/>
      <c r="L458" s="10"/>
    </row>
    <row r="459" spans="1:12" x14ac:dyDescent="0.25">
      <c r="A459" s="20"/>
      <c r="B459" s="10"/>
      <c r="C459" s="10"/>
      <c r="D459" s="15">
        <f>IF(C459="","",IFERROR(INDEX(Alimentos!$B$5:$B$104,MATCH(C459,Alimentos!$A$5:$A$104,0)),""))</f>
      </c>
      <c r="E459" s="21"/>
      <c r="F459" s="21"/>
      <c r="G459" s="17">
        <f>IF(OR(E459="",F459=""),"",E459-F459)</f>
      </c>
      <c r="H459" s="18">
        <f>IF(OR(G459="",E459="",E459=0),"",G459/E459)</f>
      </c>
      <c r="I459" s="19">
        <f>IF(OR(E459="",C459=""),"",IFERROR(E459*INDEX(Alimentos!$C$5:$C$104,MATCH(C459,Alimentos!$A$5:$A$104,0)),""))</f>
      </c>
      <c r="J459" s="10"/>
      <c r="K459" s="10"/>
      <c r="L459" s="10"/>
    </row>
    <row r="460" spans="1:12" x14ac:dyDescent="0.25">
      <c r="A460" s="20"/>
      <c r="B460" s="10"/>
      <c r="C460" s="10"/>
      <c r="D460" s="15">
        <f>IF(C460="","",IFERROR(INDEX(Alimentos!$B$5:$B$104,MATCH(C460,Alimentos!$A$5:$A$104,0)),""))</f>
      </c>
      <c r="E460" s="21"/>
      <c r="F460" s="21"/>
      <c r="G460" s="17">
        <f>IF(OR(E460="",F460=""),"",E460-F460)</f>
      </c>
      <c r="H460" s="18">
        <f>IF(OR(G460="",E460="",E460=0),"",G460/E460)</f>
      </c>
      <c r="I460" s="19">
        <f>IF(OR(E460="",C460=""),"",IFERROR(E460*INDEX(Alimentos!$C$5:$C$104,MATCH(C460,Alimentos!$A$5:$A$104,0)),""))</f>
      </c>
      <c r="J460" s="10"/>
      <c r="K460" s="10"/>
      <c r="L460" s="10"/>
    </row>
    <row r="461" spans="1:12" x14ac:dyDescent="0.25">
      <c r="A461" s="20"/>
      <c r="B461" s="10"/>
      <c r="C461" s="10"/>
      <c r="D461" s="15">
        <f>IF(C461="","",IFERROR(INDEX(Alimentos!$B$5:$B$104,MATCH(C461,Alimentos!$A$5:$A$104,0)),""))</f>
      </c>
      <c r="E461" s="21"/>
      <c r="F461" s="21"/>
      <c r="G461" s="17">
        <f>IF(OR(E461="",F461=""),"",E461-F461)</f>
      </c>
      <c r="H461" s="18">
        <f>IF(OR(G461="",E461="",E461=0),"",G461/E461)</f>
      </c>
      <c r="I461" s="19">
        <f>IF(OR(E461="",C461=""),"",IFERROR(E461*INDEX(Alimentos!$C$5:$C$104,MATCH(C461,Alimentos!$A$5:$A$104,0)),""))</f>
      </c>
      <c r="J461" s="10"/>
      <c r="K461" s="10"/>
      <c r="L461" s="10"/>
    </row>
    <row r="462" spans="1:12" x14ac:dyDescent="0.25">
      <c r="A462" s="20"/>
      <c r="B462" s="10"/>
      <c r="C462" s="10"/>
      <c r="D462" s="15">
        <f>IF(C462="","",IFERROR(INDEX(Alimentos!$B$5:$B$104,MATCH(C462,Alimentos!$A$5:$A$104,0)),""))</f>
      </c>
      <c r="E462" s="21"/>
      <c r="F462" s="21"/>
      <c r="G462" s="17">
        <f>IF(OR(E462="",F462=""),"",E462-F462)</f>
      </c>
      <c r="H462" s="18">
        <f>IF(OR(G462="",E462="",E462=0),"",G462/E462)</f>
      </c>
      <c r="I462" s="19">
        <f>IF(OR(E462="",C462=""),"",IFERROR(E462*INDEX(Alimentos!$C$5:$C$104,MATCH(C462,Alimentos!$A$5:$A$104,0)),""))</f>
      </c>
      <c r="J462" s="10"/>
      <c r="K462" s="10"/>
      <c r="L462" s="10"/>
    </row>
    <row r="463" spans="1:12" x14ac:dyDescent="0.25">
      <c r="A463" s="20"/>
      <c r="B463" s="10"/>
      <c r="C463" s="10"/>
      <c r="D463" s="15">
        <f>IF(C463="","",IFERROR(INDEX(Alimentos!$B$5:$B$104,MATCH(C463,Alimentos!$A$5:$A$104,0)),""))</f>
      </c>
      <c r="E463" s="21"/>
      <c r="F463" s="21"/>
      <c r="G463" s="17">
        <f>IF(OR(E463="",F463=""),"",E463-F463)</f>
      </c>
      <c r="H463" s="18">
        <f>IF(OR(G463="",E463="",E463=0),"",G463/E463)</f>
      </c>
      <c r="I463" s="19">
        <f>IF(OR(E463="",C463=""),"",IFERROR(E463*INDEX(Alimentos!$C$5:$C$104,MATCH(C463,Alimentos!$A$5:$A$104,0)),""))</f>
      </c>
      <c r="J463" s="10"/>
      <c r="K463" s="10"/>
      <c r="L463" s="10"/>
    </row>
    <row r="464" spans="1:12" x14ac:dyDescent="0.25">
      <c r="A464" s="20"/>
      <c r="B464" s="10"/>
      <c r="C464" s="10"/>
      <c r="D464" s="15">
        <f>IF(C464="","",IFERROR(INDEX(Alimentos!$B$5:$B$104,MATCH(C464,Alimentos!$A$5:$A$104,0)),""))</f>
      </c>
      <c r="E464" s="21"/>
      <c r="F464" s="21"/>
      <c r="G464" s="17">
        <f>IF(OR(E464="",F464=""),"",E464-F464)</f>
      </c>
      <c r="H464" s="18">
        <f>IF(OR(G464="",E464="",E464=0),"",G464/E464)</f>
      </c>
      <c r="I464" s="19">
        <f>IF(OR(E464="",C464=""),"",IFERROR(E464*INDEX(Alimentos!$C$5:$C$104,MATCH(C464,Alimentos!$A$5:$A$104,0)),""))</f>
      </c>
      <c r="J464" s="10"/>
      <c r="K464" s="10"/>
      <c r="L464" s="10"/>
    </row>
    <row r="465" spans="1:12" x14ac:dyDescent="0.25">
      <c r="A465" s="20"/>
      <c r="B465" s="10"/>
      <c r="C465" s="10"/>
      <c r="D465" s="15">
        <f>IF(C465="","",IFERROR(INDEX(Alimentos!$B$5:$B$104,MATCH(C465,Alimentos!$A$5:$A$104,0)),""))</f>
      </c>
      <c r="E465" s="21"/>
      <c r="F465" s="21"/>
      <c r="G465" s="17">
        <f>IF(OR(E465="",F465=""),"",E465-F465)</f>
      </c>
      <c r="H465" s="18">
        <f>IF(OR(G465="",E465="",E465=0),"",G465/E465)</f>
      </c>
      <c r="I465" s="19">
        <f>IF(OR(E465="",C465=""),"",IFERROR(E465*INDEX(Alimentos!$C$5:$C$104,MATCH(C465,Alimentos!$A$5:$A$104,0)),""))</f>
      </c>
      <c r="J465" s="10"/>
      <c r="K465" s="10"/>
      <c r="L465" s="10"/>
    </row>
    <row r="466" spans="1:12" x14ac:dyDescent="0.25">
      <c r="A466" s="20"/>
      <c r="B466" s="10"/>
      <c r="C466" s="10"/>
      <c r="D466" s="15">
        <f>IF(C466="","",IFERROR(INDEX(Alimentos!$B$5:$B$104,MATCH(C466,Alimentos!$A$5:$A$104,0)),""))</f>
      </c>
      <c r="E466" s="21"/>
      <c r="F466" s="21"/>
      <c r="G466" s="17">
        <f>IF(OR(E466="",F466=""),"",E466-F466)</f>
      </c>
      <c r="H466" s="18">
        <f>IF(OR(G466="",E466="",E466=0),"",G466/E466)</f>
      </c>
      <c r="I466" s="19">
        <f>IF(OR(E466="",C466=""),"",IFERROR(E466*INDEX(Alimentos!$C$5:$C$104,MATCH(C466,Alimentos!$A$5:$A$104,0)),""))</f>
      </c>
      <c r="J466" s="10"/>
      <c r="K466" s="10"/>
      <c r="L466" s="10"/>
    </row>
    <row r="467" spans="1:12" x14ac:dyDescent="0.25">
      <c r="A467" s="20"/>
      <c r="B467" s="10"/>
      <c r="C467" s="10"/>
      <c r="D467" s="15">
        <f>IF(C467="","",IFERROR(INDEX(Alimentos!$B$5:$B$104,MATCH(C467,Alimentos!$A$5:$A$104,0)),""))</f>
      </c>
      <c r="E467" s="21"/>
      <c r="F467" s="21"/>
      <c r="G467" s="17">
        <f>IF(OR(E467="",F467=""),"",E467-F467)</f>
      </c>
      <c r="H467" s="18">
        <f>IF(OR(G467="",E467="",E467=0),"",G467/E467)</f>
      </c>
      <c r="I467" s="19">
        <f>IF(OR(E467="",C467=""),"",IFERROR(E467*INDEX(Alimentos!$C$5:$C$104,MATCH(C467,Alimentos!$A$5:$A$104,0)),""))</f>
      </c>
      <c r="J467" s="10"/>
      <c r="K467" s="10"/>
      <c r="L467" s="10"/>
    </row>
    <row r="468" spans="1:12" x14ac:dyDescent="0.25">
      <c r="A468" s="20"/>
      <c r="B468" s="10"/>
      <c r="C468" s="10"/>
      <c r="D468" s="15">
        <f>IF(C468="","",IFERROR(INDEX(Alimentos!$B$5:$B$104,MATCH(C468,Alimentos!$A$5:$A$104,0)),""))</f>
      </c>
      <c r="E468" s="21"/>
      <c r="F468" s="21"/>
      <c r="G468" s="17">
        <f>IF(OR(E468="",F468=""),"",E468-F468)</f>
      </c>
      <c r="H468" s="18">
        <f>IF(OR(G468="",E468="",E468=0),"",G468/E468)</f>
      </c>
      <c r="I468" s="19">
        <f>IF(OR(E468="",C468=""),"",IFERROR(E468*INDEX(Alimentos!$C$5:$C$104,MATCH(C468,Alimentos!$A$5:$A$104,0)),""))</f>
      </c>
      <c r="J468" s="10"/>
      <c r="K468" s="10"/>
      <c r="L468" s="10"/>
    </row>
    <row r="469" spans="1:12" x14ac:dyDescent="0.25">
      <c r="A469" s="20"/>
      <c r="B469" s="10"/>
      <c r="C469" s="10"/>
      <c r="D469" s="15">
        <f>IF(C469="","",IFERROR(INDEX(Alimentos!$B$5:$B$104,MATCH(C469,Alimentos!$A$5:$A$104,0)),""))</f>
      </c>
      <c r="E469" s="21"/>
      <c r="F469" s="21"/>
      <c r="G469" s="17">
        <f>IF(OR(E469="",F469=""),"",E469-F469)</f>
      </c>
      <c r="H469" s="18">
        <f>IF(OR(G469="",E469="",E469=0),"",G469/E469)</f>
      </c>
      <c r="I469" s="19">
        <f>IF(OR(E469="",C469=""),"",IFERROR(E469*INDEX(Alimentos!$C$5:$C$104,MATCH(C469,Alimentos!$A$5:$A$104,0)),""))</f>
      </c>
      <c r="J469" s="10"/>
      <c r="K469" s="10"/>
      <c r="L469" s="10"/>
    </row>
    <row r="470" spans="1:12" x14ac:dyDescent="0.25">
      <c r="A470" s="20"/>
      <c r="B470" s="10"/>
      <c r="C470" s="10"/>
      <c r="D470" s="15">
        <f>IF(C470="","",IFERROR(INDEX(Alimentos!$B$5:$B$104,MATCH(C470,Alimentos!$A$5:$A$104,0)),""))</f>
      </c>
      <c r="E470" s="21"/>
      <c r="F470" s="21"/>
      <c r="G470" s="17">
        <f>IF(OR(E470="",F470=""),"",E470-F470)</f>
      </c>
      <c r="H470" s="18">
        <f>IF(OR(G470="",E470="",E470=0),"",G470/E470)</f>
      </c>
      <c r="I470" s="19">
        <f>IF(OR(E470="",C470=""),"",IFERROR(E470*INDEX(Alimentos!$C$5:$C$104,MATCH(C470,Alimentos!$A$5:$A$104,0)),""))</f>
      </c>
      <c r="J470" s="10"/>
      <c r="K470" s="10"/>
      <c r="L470" s="10"/>
    </row>
    <row r="471" spans="1:12" x14ac:dyDescent="0.25">
      <c r="A471" s="20"/>
      <c r="B471" s="10"/>
      <c r="C471" s="10"/>
      <c r="D471" s="15">
        <f>IF(C471="","",IFERROR(INDEX(Alimentos!$B$5:$B$104,MATCH(C471,Alimentos!$A$5:$A$104,0)),""))</f>
      </c>
      <c r="E471" s="21"/>
      <c r="F471" s="21"/>
      <c r="G471" s="17">
        <f>IF(OR(E471="",F471=""),"",E471-F471)</f>
      </c>
      <c r="H471" s="18">
        <f>IF(OR(G471="",E471="",E471=0),"",G471/E471)</f>
      </c>
      <c r="I471" s="19">
        <f>IF(OR(E471="",C471=""),"",IFERROR(E471*INDEX(Alimentos!$C$5:$C$104,MATCH(C471,Alimentos!$A$5:$A$104,0)),""))</f>
      </c>
      <c r="J471" s="10"/>
      <c r="K471" s="10"/>
      <c r="L471" s="10"/>
    </row>
    <row r="472" spans="1:12" x14ac:dyDescent="0.25">
      <c r="A472" s="20"/>
      <c r="B472" s="10"/>
      <c r="C472" s="10"/>
      <c r="D472" s="15">
        <f>IF(C472="","",IFERROR(INDEX(Alimentos!$B$5:$B$104,MATCH(C472,Alimentos!$A$5:$A$104,0)),""))</f>
      </c>
      <c r="E472" s="21"/>
      <c r="F472" s="21"/>
      <c r="G472" s="17">
        <f>IF(OR(E472="",F472=""),"",E472-F472)</f>
      </c>
      <c r="H472" s="18">
        <f>IF(OR(G472="",E472="",E472=0),"",G472/E472)</f>
      </c>
      <c r="I472" s="19">
        <f>IF(OR(E472="",C472=""),"",IFERROR(E472*INDEX(Alimentos!$C$5:$C$104,MATCH(C472,Alimentos!$A$5:$A$104,0)),""))</f>
      </c>
      <c r="J472" s="10"/>
      <c r="K472" s="10"/>
      <c r="L472" s="10"/>
    </row>
    <row r="473" spans="1:12" x14ac:dyDescent="0.25">
      <c r="A473" s="20"/>
      <c r="B473" s="10"/>
      <c r="C473" s="10"/>
      <c r="D473" s="15">
        <f>IF(C473="","",IFERROR(INDEX(Alimentos!$B$5:$B$104,MATCH(C473,Alimentos!$A$5:$A$104,0)),""))</f>
      </c>
      <c r="E473" s="21"/>
      <c r="F473" s="21"/>
      <c r="G473" s="17">
        <f>IF(OR(E473="",F473=""),"",E473-F473)</f>
      </c>
      <c r="H473" s="18">
        <f>IF(OR(G473="",E473="",E473=0),"",G473/E473)</f>
      </c>
      <c r="I473" s="19">
        <f>IF(OR(E473="",C473=""),"",IFERROR(E473*INDEX(Alimentos!$C$5:$C$104,MATCH(C473,Alimentos!$A$5:$A$104,0)),""))</f>
      </c>
      <c r="J473" s="10"/>
      <c r="K473" s="10"/>
      <c r="L473" s="10"/>
    </row>
    <row r="474" spans="1:12" x14ac:dyDescent="0.25">
      <c r="A474" s="20"/>
      <c r="B474" s="10"/>
      <c r="C474" s="10"/>
      <c r="D474" s="15">
        <f>IF(C474="","",IFERROR(INDEX(Alimentos!$B$5:$B$104,MATCH(C474,Alimentos!$A$5:$A$104,0)),""))</f>
      </c>
      <c r="E474" s="21"/>
      <c r="F474" s="21"/>
      <c r="G474" s="17">
        <f>IF(OR(E474="",F474=""),"",E474-F474)</f>
      </c>
      <c r="H474" s="18">
        <f>IF(OR(G474="",E474="",E474=0),"",G474/E474)</f>
      </c>
      <c r="I474" s="19">
        <f>IF(OR(E474="",C474=""),"",IFERROR(E474*INDEX(Alimentos!$C$5:$C$104,MATCH(C474,Alimentos!$A$5:$A$104,0)),""))</f>
      </c>
      <c r="J474" s="10"/>
      <c r="K474" s="10"/>
      <c r="L474" s="10"/>
    </row>
    <row r="475" spans="1:12" x14ac:dyDescent="0.25">
      <c r="A475" s="20"/>
      <c r="B475" s="10"/>
      <c r="C475" s="10"/>
      <c r="D475" s="15">
        <f>IF(C475="","",IFERROR(INDEX(Alimentos!$B$5:$B$104,MATCH(C475,Alimentos!$A$5:$A$104,0)),""))</f>
      </c>
      <c r="E475" s="21"/>
      <c r="F475" s="21"/>
      <c r="G475" s="17">
        <f>IF(OR(E475="",F475=""),"",E475-F475)</f>
      </c>
      <c r="H475" s="18">
        <f>IF(OR(G475="",E475="",E475=0),"",G475/E475)</f>
      </c>
      <c r="I475" s="19">
        <f>IF(OR(E475="",C475=""),"",IFERROR(E475*INDEX(Alimentos!$C$5:$C$104,MATCH(C475,Alimentos!$A$5:$A$104,0)),""))</f>
      </c>
      <c r="J475" s="10"/>
      <c r="K475" s="10"/>
      <c r="L475" s="10"/>
    </row>
    <row r="476" spans="1:12" x14ac:dyDescent="0.25">
      <c r="A476" s="20"/>
      <c r="B476" s="10"/>
      <c r="C476" s="10"/>
      <c r="D476" s="15">
        <f>IF(C476="","",IFERROR(INDEX(Alimentos!$B$5:$B$104,MATCH(C476,Alimentos!$A$5:$A$104,0)),""))</f>
      </c>
      <c r="E476" s="21"/>
      <c r="F476" s="21"/>
      <c r="G476" s="17">
        <f>IF(OR(E476="",F476=""),"",E476-F476)</f>
      </c>
      <c r="H476" s="18">
        <f>IF(OR(G476="",E476="",E476=0),"",G476/E476)</f>
      </c>
      <c r="I476" s="19">
        <f>IF(OR(E476="",C476=""),"",IFERROR(E476*INDEX(Alimentos!$C$5:$C$104,MATCH(C476,Alimentos!$A$5:$A$104,0)),""))</f>
      </c>
      <c r="J476" s="10"/>
      <c r="K476" s="10"/>
      <c r="L476" s="10"/>
    </row>
    <row r="477" spans="1:12" x14ac:dyDescent="0.25">
      <c r="A477" s="20"/>
      <c r="B477" s="10"/>
      <c r="C477" s="10"/>
      <c r="D477" s="15">
        <f>IF(C477="","",IFERROR(INDEX(Alimentos!$B$5:$B$104,MATCH(C477,Alimentos!$A$5:$A$104,0)),""))</f>
      </c>
      <c r="E477" s="21"/>
      <c r="F477" s="21"/>
      <c r="G477" s="17">
        <f>IF(OR(E477="",F477=""),"",E477-F477)</f>
      </c>
      <c r="H477" s="18">
        <f>IF(OR(G477="",E477="",E477=0),"",G477/E477)</f>
      </c>
      <c r="I477" s="19">
        <f>IF(OR(E477="",C477=""),"",IFERROR(E477*INDEX(Alimentos!$C$5:$C$104,MATCH(C477,Alimentos!$A$5:$A$104,0)),""))</f>
      </c>
      <c r="J477" s="10"/>
      <c r="K477" s="10"/>
      <c r="L477" s="10"/>
    </row>
    <row r="478" spans="1:12" x14ac:dyDescent="0.25">
      <c r="A478" s="20"/>
      <c r="B478" s="10"/>
      <c r="C478" s="10"/>
      <c r="D478" s="15">
        <f>IF(C478="","",IFERROR(INDEX(Alimentos!$B$5:$B$104,MATCH(C478,Alimentos!$A$5:$A$104,0)),""))</f>
      </c>
      <c r="E478" s="21"/>
      <c r="F478" s="21"/>
      <c r="G478" s="17">
        <f>IF(OR(E478="",F478=""),"",E478-F478)</f>
      </c>
      <c r="H478" s="18">
        <f>IF(OR(G478="",E478="",E478=0),"",G478/E478)</f>
      </c>
      <c r="I478" s="19">
        <f>IF(OR(E478="",C478=""),"",IFERROR(E478*INDEX(Alimentos!$C$5:$C$104,MATCH(C478,Alimentos!$A$5:$A$104,0)),""))</f>
      </c>
      <c r="J478" s="10"/>
      <c r="K478" s="10"/>
      <c r="L478" s="10"/>
    </row>
    <row r="479" spans="1:12" x14ac:dyDescent="0.25">
      <c r="A479" s="20"/>
      <c r="B479" s="10"/>
      <c r="C479" s="10"/>
      <c r="D479" s="15">
        <f>IF(C479="","",IFERROR(INDEX(Alimentos!$B$5:$B$104,MATCH(C479,Alimentos!$A$5:$A$104,0)),""))</f>
      </c>
      <c r="E479" s="21"/>
      <c r="F479" s="21"/>
      <c r="G479" s="17">
        <f>IF(OR(E479="",F479=""),"",E479-F479)</f>
      </c>
      <c r="H479" s="18">
        <f>IF(OR(G479="",E479="",E479=0),"",G479/E479)</f>
      </c>
      <c r="I479" s="19">
        <f>IF(OR(E479="",C479=""),"",IFERROR(E479*INDEX(Alimentos!$C$5:$C$104,MATCH(C479,Alimentos!$A$5:$A$104,0)),""))</f>
      </c>
      <c r="J479" s="10"/>
      <c r="K479" s="10"/>
      <c r="L479" s="10"/>
    </row>
    <row r="480" spans="1:12" x14ac:dyDescent="0.25">
      <c r="A480" s="20"/>
      <c r="B480" s="10"/>
      <c r="C480" s="10"/>
      <c r="D480" s="15">
        <f>IF(C480="","",IFERROR(INDEX(Alimentos!$B$5:$B$104,MATCH(C480,Alimentos!$A$5:$A$104,0)),""))</f>
      </c>
      <c r="E480" s="21"/>
      <c r="F480" s="21"/>
      <c r="G480" s="17">
        <f>IF(OR(E480="",F480=""),"",E480-F480)</f>
      </c>
      <c r="H480" s="18">
        <f>IF(OR(G480="",E480="",E480=0),"",G480/E480)</f>
      </c>
      <c r="I480" s="19">
        <f>IF(OR(E480="",C480=""),"",IFERROR(E480*INDEX(Alimentos!$C$5:$C$104,MATCH(C480,Alimentos!$A$5:$A$104,0)),""))</f>
      </c>
      <c r="J480" s="10"/>
      <c r="K480" s="10"/>
      <c r="L480" s="10"/>
    </row>
    <row r="481" spans="1:12" x14ac:dyDescent="0.25">
      <c r="A481" s="20"/>
      <c r="B481" s="10"/>
      <c r="C481" s="10"/>
      <c r="D481" s="15">
        <f>IF(C481="","",IFERROR(INDEX(Alimentos!$B$5:$B$104,MATCH(C481,Alimentos!$A$5:$A$104,0)),""))</f>
      </c>
      <c r="E481" s="21"/>
      <c r="F481" s="21"/>
      <c r="G481" s="17">
        <f>IF(OR(E481="",F481=""),"",E481-F481)</f>
      </c>
      <c r="H481" s="18">
        <f>IF(OR(G481="",E481="",E481=0),"",G481/E481)</f>
      </c>
      <c r="I481" s="19">
        <f>IF(OR(E481="",C481=""),"",IFERROR(E481*INDEX(Alimentos!$C$5:$C$104,MATCH(C481,Alimentos!$A$5:$A$104,0)),""))</f>
      </c>
      <c r="J481" s="10"/>
      <c r="K481" s="10"/>
      <c r="L481" s="10"/>
    </row>
    <row r="482" spans="1:12" x14ac:dyDescent="0.25">
      <c r="A482" s="20"/>
      <c r="B482" s="10"/>
      <c r="C482" s="10"/>
      <c r="D482" s="15">
        <f>IF(C482="","",IFERROR(INDEX(Alimentos!$B$5:$B$104,MATCH(C482,Alimentos!$A$5:$A$104,0)),""))</f>
      </c>
      <c r="E482" s="21"/>
      <c r="F482" s="21"/>
      <c r="G482" s="17">
        <f>IF(OR(E482="",F482=""),"",E482-F482)</f>
      </c>
      <c r="H482" s="18">
        <f>IF(OR(G482="",E482="",E482=0),"",G482/E482)</f>
      </c>
      <c r="I482" s="19">
        <f>IF(OR(E482="",C482=""),"",IFERROR(E482*INDEX(Alimentos!$C$5:$C$104,MATCH(C482,Alimentos!$A$5:$A$104,0)),""))</f>
      </c>
      <c r="J482" s="10"/>
      <c r="K482" s="10"/>
      <c r="L482" s="10"/>
    </row>
    <row r="483" spans="1:12" x14ac:dyDescent="0.25">
      <c r="A483" s="20"/>
      <c r="B483" s="10"/>
      <c r="C483" s="10"/>
      <c r="D483" s="15">
        <f>IF(C483="","",IFERROR(INDEX(Alimentos!$B$5:$B$104,MATCH(C483,Alimentos!$A$5:$A$104,0)),""))</f>
      </c>
      <c r="E483" s="21"/>
      <c r="F483" s="21"/>
      <c r="G483" s="17">
        <f>IF(OR(E483="",F483=""),"",E483-F483)</f>
      </c>
      <c r="H483" s="18">
        <f>IF(OR(G483="",E483="",E483=0),"",G483/E483)</f>
      </c>
      <c r="I483" s="19">
        <f>IF(OR(E483="",C483=""),"",IFERROR(E483*INDEX(Alimentos!$C$5:$C$104,MATCH(C483,Alimentos!$A$5:$A$104,0)),""))</f>
      </c>
      <c r="J483" s="10"/>
      <c r="K483" s="10"/>
      <c r="L483" s="10"/>
    </row>
    <row r="484" spans="1:12" x14ac:dyDescent="0.25">
      <c r="A484" s="20"/>
      <c r="B484" s="10"/>
      <c r="C484" s="10"/>
      <c r="D484" s="15">
        <f>IF(C484="","",IFERROR(INDEX(Alimentos!$B$5:$B$104,MATCH(C484,Alimentos!$A$5:$A$104,0)),""))</f>
      </c>
      <c r="E484" s="21"/>
      <c r="F484" s="21"/>
      <c r="G484" s="17">
        <f>IF(OR(E484="",F484=""),"",E484-F484)</f>
      </c>
      <c r="H484" s="18">
        <f>IF(OR(G484="",E484="",E484=0),"",G484/E484)</f>
      </c>
      <c r="I484" s="19">
        <f>IF(OR(E484="",C484=""),"",IFERROR(E484*INDEX(Alimentos!$C$5:$C$104,MATCH(C484,Alimentos!$A$5:$A$104,0)),""))</f>
      </c>
      <c r="J484" s="10"/>
      <c r="K484" s="10"/>
      <c r="L484" s="10"/>
    </row>
    <row r="485" spans="1:12" x14ac:dyDescent="0.25">
      <c r="A485" s="20"/>
      <c r="B485" s="10"/>
      <c r="C485" s="10"/>
      <c r="D485" s="15">
        <f>IF(C485="","",IFERROR(INDEX(Alimentos!$B$5:$B$104,MATCH(C485,Alimentos!$A$5:$A$104,0)),""))</f>
      </c>
      <c r="E485" s="21"/>
      <c r="F485" s="21"/>
      <c r="G485" s="17">
        <f>IF(OR(E485="",F485=""),"",E485-F485)</f>
      </c>
      <c r="H485" s="18">
        <f>IF(OR(G485="",E485="",E485=0),"",G485/E485)</f>
      </c>
      <c r="I485" s="19">
        <f>IF(OR(E485="",C485=""),"",IFERROR(E485*INDEX(Alimentos!$C$5:$C$104,MATCH(C485,Alimentos!$A$5:$A$104,0)),""))</f>
      </c>
      <c r="J485" s="10"/>
      <c r="K485" s="10"/>
      <c r="L485" s="10"/>
    </row>
    <row r="486" spans="1:12" x14ac:dyDescent="0.25">
      <c r="A486" s="20"/>
      <c r="B486" s="10"/>
      <c r="C486" s="10"/>
      <c r="D486" s="15">
        <f>IF(C486="","",IFERROR(INDEX(Alimentos!$B$5:$B$104,MATCH(C486,Alimentos!$A$5:$A$104,0)),""))</f>
      </c>
      <c r="E486" s="21"/>
      <c r="F486" s="21"/>
      <c r="G486" s="17">
        <f>IF(OR(E486="",F486=""),"",E486-F486)</f>
      </c>
      <c r="H486" s="18">
        <f>IF(OR(G486="",E486="",E486=0),"",G486/E486)</f>
      </c>
      <c r="I486" s="19">
        <f>IF(OR(E486="",C486=""),"",IFERROR(E486*INDEX(Alimentos!$C$5:$C$104,MATCH(C486,Alimentos!$A$5:$A$104,0)),""))</f>
      </c>
      <c r="J486" s="10"/>
      <c r="K486" s="10"/>
      <c r="L486" s="10"/>
    </row>
    <row r="487" spans="1:12" x14ac:dyDescent="0.25">
      <c r="A487" s="20"/>
      <c r="B487" s="10"/>
      <c r="C487" s="10"/>
      <c r="D487" s="15">
        <f>IF(C487="","",IFERROR(INDEX(Alimentos!$B$5:$B$104,MATCH(C487,Alimentos!$A$5:$A$104,0)),""))</f>
      </c>
      <c r="E487" s="21"/>
      <c r="F487" s="21"/>
      <c r="G487" s="17">
        <f>IF(OR(E487="",F487=""),"",E487-F487)</f>
      </c>
      <c r="H487" s="18">
        <f>IF(OR(G487="",E487="",E487=0),"",G487/E487)</f>
      </c>
      <c r="I487" s="19">
        <f>IF(OR(E487="",C487=""),"",IFERROR(E487*INDEX(Alimentos!$C$5:$C$104,MATCH(C487,Alimentos!$A$5:$A$104,0)),""))</f>
      </c>
      <c r="J487" s="10"/>
      <c r="K487" s="10"/>
      <c r="L487" s="10"/>
    </row>
    <row r="488" spans="1:12" x14ac:dyDescent="0.25">
      <c r="A488" s="20"/>
      <c r="B488" s="10"/>
      <c r="C488" s="10"/>
      <c r="D488" s="15">
        <f>IF(C488="","",IFERROR(INDEX(Alimentos!$B$5:$B$104,MATCH(C488,Alimentos!$A$5:$A$104,0)),""))</f>
      </c>
      <c r="E488" s="21"/>
      <c r="F488" s="21"/>
      <c r="G488" s="17">
        <f>IF(OR(E488="",F488=""),"",E488-F488)</f>
      </c>
      <c r="H488" s="18">
        <f>IF(OR(G488="",E488="",E488=0),"",G488/E488)</f>
      </c>
      <c r="I488" s="19">
        <f>IF(OR(E488="",C488=""),"",IFERROR(E488*INDEX(Alimentos!$C$5:$C$104,MATCH(C488,Alimentos!$A$5:$A$104,0)),""))</f>
      </c>
      <c r="J488" s="10"/>
      <c r="K488" s="10"/>
      <c r="L488" s="10"/>
    </row>
    <row r="489" spans="1:12" x14ac:dyDescent="0.25">
      <c r="A489" s="20"/>
      <c r="B489" s="10"/>
      <c r="C489" s="10"/>
      <c r="D489" s="15">
        <f>IF(C489="","",IFERROR(INDEX(Alimentos!$B$5:$B$104,MATCH(C489,Alimentos!$A$5:$A$104,0)),""))</f>
      </c>
      <c r="E489" s="21"/>
      <c r="F489" s="21"/>
      <c r="G489" s="17">
        <f>IF(OR(E489="",F489=""),"",E489-F489)</f>
      </c>
      <c r="H489" s="18">
        <f>IF(OR(G489="",E489="",E489=0),"",G489/E489)</f>
      </c>
      <c r="I489" s="19">
        <f>IF(OR(E489="",C489=""),"",IFERROR(E489*INDEX(Alimentos!$C$5:$C$104,MATCH(C489,Alimentos!$A$5:$A$104,0)),""))</f>
      </c>
      <c r="J489" s="10"/>
      <c r="K489" s="10"/>
      <c r="L489" s="10"/>
    </row>
    <row r="490" spans="1:12" x14ac:dyDescent="0.25">
      <c r="A490" s="20"/>
      <c r="B490" s="10"/>
      <c r="C490" s="10"/>
      <c r="D490" s="15">
        <f>IF(C490="","",IFERROR(INDEX(Alimentos!$B$5:$B$104,MATCH(C490,Alimentos!$A$5:$A$104,0)),""))</f>
      </c>
      <c r="E490" s="21"/>
      <c r="F490" s="21"/>
      <c r="G490" s="17">
        <f>IF(OR(E490="",F490=""),"",E490-F490)</f>
      </c>
      <c r="H490" s="18">
        <f>IF(OR(G490="",E490="",E490=0),"",G490/E490)</f>
      </c>
      <c r="I490" s="19">
        <f>IF(OR(E490="",C490=""),"",IFERROR(E490*INDEX(Alimentos!$C$5:$C$104,MATCH(C490,Alimentos!$A$5:$A$104,0)),""))</f>
      </c>
      <c r="J490" s="10"/>
      <c r="K490" s="10"/>
      <c r="L490" s="10"/>
    </row>
    <row r="491" spans="1:12" x14ac:dyDescent="0.25">
      <c r="A491" s="20"/>
      <c r="B491" s="10"/>
      <c r="C491" s="10"/>
      <c r="D491" s="15">
        <f>IF(C491="","",IFERROR(INDEX(Alimentos!$B$5:$B$104,MATCH(C491,Alimentos!$A$5:$A$104,0)),""))</f>
      </c>
      <c r="E491" s="21"/>
      <c r="F491" s="21"/>
      <c r="G491" s="17">
        <f>IF(OR(E491="",F491=""),"",E491-F491)</f>
      </c>
      <c r="H491" s="18">
        <f>IF(OR(G491="",E491="",E491=0),"",G491/E491)</f>
      </c>
      <c r="I491" s="19">
        <f>IF(OR(E491="",C491=""),"",IFERROR(E491*INDEX(Alimentos!$C$5:$C$104,MATCH(C491,Alimentos!$A$5:$A$104,0)),""))</f>
      </c>
      <c r="J491" s="10"/>
      <c r="K491" s="10"/>
      <c r="L491" s="10"/>
    </row>
    <row r="492" spans="1:12" x14ac:dyDescent="0.25">
      <c r="A492" s="20"/>
      <c r="B492" s="10"/>
      <c r="C492" s="10"/>
      <c r="D492" s="15">
        <f>IF(C492="","",IFERROR(INDEX(Alimentos!$B$5:$B$104,MATCH(C492,Alimentos!$A$5:$A$104,0)),""))</f>
      </c>
      <c r="E492" s="21"/>
      <c r="F492" s="21"/>
      <c r="G492" s="17">
        <f>IF(OR(E492="",F492=""),"",E492-F492)</f>
      </c>
      <c r="H492" s="18">
        <f>IF(OR(G492="",E492="",E492=0),"",G492/E492)</f>
      </c>
      <c r="I492" s="19">
        <f>IF(OR(E492="",C492=""),"",IFERROR(E492*INDEX(Alimentos!$C$5:$C$104,MATCH(C492,Alimentos!$A$5:$A$104,0)),""))</f>
      </c>
      <c r="J492" s="10"/>
      <c r="K492" s="10"/>
      <c r="L492" s="10"/>
    </row>
    <row r="493" spans="1:12" x14ac:dyDescent="0.25">
      <c r="A493" s="20"/>
      <c r="B493" s="10"/>
      <c r="C493" s="10"/>
      <c r="D493" s="15">
        <f>IF(C493="","",IFERROR(INDEX(Alimentos!$B$5:$B$104,MATCH(C493,Alimentos!$A$5:$A$104,0)),""))</f>
      </c>
      <c r="E493" s="21"/>
      <c r="F493" s="21"/>
      <c r="G493" s="17">
        <f>IF(OR(E493="",F493=""),"",E493-F493)</f>
      </c>
      <c r="H493" s="18">
        <f>IF(OR(G493="",E493="",E493=0),"",G493/E493)</f>
      </c>
      <c r="I493" s="19">
        <f>IF(OR(E493="",C493=""),"",IFERROR(E493*INDEX(Alimentos!$C$5:$C$104,MATCH(C493,Alimentos!$A$5:$A$104,0)),""))</f>
      </c>
      <c r="J493" s="10"/>
      <c r="K493" s="10"/>
      <c r="L493" s="10"/>
    </row>
    <row r="494" spans="1:12" x14ac:dyDescent="0.25">
      <c r="A494" s="20"/>
      <c r="B494" s="10"/>
      <c r="C494" s="10"/>
      <c r="D494" s="15">
        <f>IF(C494="","",IFERROR(INDEX(Alimentos!$B$5:$B$104,MATCH(C494,Alimentos!$A$5:$A$104,0)),""))</f>
      </c>
      <c r="E494" s="21"/>
      <c r="F494" s="21"/>
      <c r="G494" s="17">
        <f>IF(OR(E494="",F494=""),"",E494-F494)</f>
      </c>
      <c r="H494" s="18">
        <f>IF(OR(G494="",E494="",E494=0),"",G494/E494)</f>
      </c>
      <c r="I494" s="19">
        <f>IF(OR(E494="",C494=""),"",IFERROR(E494*INDEX(Alimentos!$C$5:$C$104,MATCH(C494,Alimentos!$A$5:$A$104,0)),""))</f>
      </c>
      <c r="J494" s="10"/>
      <c r="K494" s="10"/>
      <c r="L494" s="10"/>
    </row>
    <row r="495" spans="1:12" x14ac:dyDescent="0.25">
      <c r="A495" s="20"/>
      <c r="B495" s="10"/>
      <c r="C495" s="10"/>
      <c r="D495" s="15">
        <f>IF(C495="","",IFERROR(INDEX(Alimentos!$B$5:$B$104,MATCH(C495,Alimentos!$A$5:$A$104,0)),""))</f>
      </c>
      <c r="E495" s="21"/>
      <c r="F495" s="21"/>
      <c r="G495" s="17">
        <f>IF(OR(E495="",F495=""),"",E495-F495)</f>
      </c>
      <c r="H495" s="18">
        <f>IF(OR(G495="",E495="",E495=0),"",G495/E495)</f>
      </c>
      <c r="I495" s="19">
        <f>IF(OR(E495="",C495=""),"",IFERROR(E495*INDEX(Alimentos!$C$5:$C$104,MATCH(C495,Alimentos!$A$5:$A$104,0)),""))</f>
      </c>
      <c r="J495" s="10"/>
      <c r="K495" s="10"/>
      <c r="L495" s="10"/>
    </row>
    <row r="496" spans="1:12" x14ac:dyDescent="0.25">
      <c r="A496" s="20"/>
      <c r="B496" s="10"/>
      <c r="C496" s="10"/>
      <c r="D496" s="15">
        <f>IF(C496="","",IFERROR(INDEX(Alimentos!$B$5:$B$104,MATCH(C496,Alimentos!$A$5:$A$104,0)),""))</f>
      </c>
      <c r="E496" s="21"/>
      <c r="F496" s="21"/>
      <c r="G496" s="17">
        <f>IF(OR(E496="",F496=""),"",E496-F496)</f>
      </c>
      <c r="H496" s="18">
        <f>IF(OR(G496="",E496="",E496=0),"",G496/E496)</f>
      </c>
      <c r="I496" s="19">
        <f>IF(OR(E496="",C496=""),"",IFERROR(E496*INDEX(Alimentos!$C$5:$C$104,MATCH(C496,Alimentos!$A$5:$A$104,0)),""))</f>
      </c>
      <c r="J496" s="10"/>
      <c r="K496" s="10"/>
      <c r="L496" s="10"/>
    </row>
    <row r="497" spans="1:12" x14ac:dyDescent="0.25">
      <c r="A497" s="20"/>
      <c r="B497" s="10"/>
      <c r="C497" s="10"/>
      <c r="D497" s="15">
        <f>IF(C497="","",IFERROR(INDEX(Alimentos!$B$5:$B$104,MATCH(C497,Alimentos!$A$5:$A$104,0)),""))</f>
      </c>
      <c r="E497" s="21"/>
      <c r="F497" s="21"/>
      <c r="G497" s="17">
        <f>IF(OR(E497="",F497=""),"",E497-F497)</f>
      </c>
      <c r="H497" s="18">
        <f>IF(OR(G497="",E497="",E497=0),"",G497/E497)</f>
      </c>
      <c r="I497" s="19">
        <f>IF(OR(E497="",C497=""),"",IFERROR(E497*INDEX(Alimentos!$C$5:$C$104,MATCH(C497,Alimentos!$A$5:$A$104,0)),""))</f>
      </c>
      <c r="J497" s="10"/>
      <c r="K497" s="10"/>
      <c r="L497" s="10"/>
    </row>
    <row r="498" spans="1:12" x14ac:dyDescent="0.25">
      <c r="A498" s="20"/>
      <c r="B498" s="10"/>
      <c r="C498" s="10"/>
      <c r="D498" s="15">
        <f>IF(C498="","",IFERROR(INDEX(Alimentos!$B$5:$B$104,MATCH(C498,Alimentos!$A$5:$A$104,0)),""))</f>
      </c>
      <c r="E498" s="21"/>
      <c r="F498" s="21"/>
      <c r="G498" s="17">
        <f>IF(OR(E498="",F498=""),"",E498-F498)</f>
      </c>
      <c r="H498" s="18">
        <f>IF(OR(G498="",E498="",E498=0),"",G498/E498)</f>
      </c>
      <c r="I498" s="19">
        <f>IF(OR(E498="",C498=""),"",IFERROR(E498*INDEX(Alimentos!$C$5:$C$104,MATCH(C498,Alimentos!$A$5:$A$104,0)),""))</f>
      </c>
      <c r="J498" s="10"/>
      <c r="K498" s="10"/>
      <c r="L498" s="10"/>
    </row>
    <row r="499" spans="1:12" x14ac:dyDescent="0.25">
      <c r="A499" s="20"/>
      <c r="B499" s="10"/>
      <c r="C499" s="10"/>
      <c r="D499" s="15">
        <f>IF(C499="","",IFERROR(INDEX(Alimentos!$B$5:$B$104,MATCH(C499,Alimentos!$A$5:$A$104,0)),""))</f>
      </c>
      <c r="E499" s="21"/>
      <c r="F499" s="21"/>
      <c r="G499" s="17">
        <f>IF(OR(E499="",F499=""),"",E499-F499)</f>
      </c>
      <c r="H499" s="18">
        <f>IF(OR(G499="",E499="",E499=0),"",G499/E499)</f>
      </c>
      <c r="I499" s="19">
        <f>IF(OR(E499="",C499=""),"",IFERROR(E499*INDEX(Alimentos!$C$5:$C$104,MATCH(C499,Alimentos!$A$5:$A$104,0)),""))</f>
      </c>
      <c r="J499" s="10"/>
      <c r="K499" s="10"/>
      <c r="L499" s="10"/>
    </row>
    <row r="500" spans="1:12" x14ac:dyDescent="0.25">
      <c r="A500" s="20"/>
      <c r="B500" s="10"/>
      <c r="C500" s="10"/>
      <c r="D500" s="15">
        <f>IF(C500="","",IFERROR(INDEX(Alimentos!$B$5:$B$104,MATCH(C500,Alimentos!$A$5:$A$104,0)),""))</f>
      </c>
      <c r="E500" s="21"/>
      <c r="F500" s="21"/>
      <c r="G500" s="17">
        <f>IF(OR(E500="",F500=""),"",E500-F500)</f>
      </c>
      <c r="H500" s="18">
        <f>IF(OR(G500="",E500="",E500=0),"",G500/E500)</f>
      </c>
      <c r="I500" s="19">
        <f>IF(OR(E500="",C500=""),"",IFERROR(E500*INDEX(Alimentos!$C$5:$C$104,MATCH(C500,Alimentos!$A$5:$A$104,0)),""))</f>
      </c>
      <c r="J500" s="10"/>
      <c r="K500" s="10"/>
      <c r="L500" s="10"/>
    </row>
    <row r="501" spans="1:12" x14ac:dyDescent="0.25">
      <c r="A501" s="20"/>
      <c r="B501" s="10"/>
      <c r="C501" s="10"/>
      <c r="D501" s="15">
        <f>IF(C501="","",IFERROR(INDEX(Alimentos!$B$5:$B$104,MATCH(C501,Alimentos!$A$5:$A$104,0)),""))</f>
      </c>
      <c r="E501" s="21"/>
      <c r="F501" s="21"/>
      <c r="G501" s="17">
        <f>IF(OR(E501="",F501=""),"",E501-F501)</f>
      </c>
      <c r="H501" s="18">
        <f>IF(OR(G501="",E501="",E501=0),"",G501/E501)</f>
      </c>
      <c r="I501" s="19">
        <f>IF(OR(E501="",C501=""),"",IFERROR(E501*INDEX(Alimentos!$C$5:$C$104,MATCH(C501,Alimentos!$A$5:$A$104,0)),""))</f>
      </c>
      <c r="J501" s="10"/>
      <c r="K501" s="10"/>
      <c r="L501" s="10"/>
    </row>
    <row r="502" spans="1:12" x14ac:dyDescent="0.25">
      <c r="A502" s="20"/>
      <c r="B502" s="10"/>
      <c r="C502" s="10"/>
      <c r="D502" s="15">
        <f>IF(C502="","",IFERROR(INDEX(Alimentos!$B$5:$B$104,MATCH(C502,Alimentos!$A$5:$A$104,0)),""))</f>
      </c>
      <c r="E502" s="21"/>
      <c r="F502" s="21"/>
      <c r="G502" s="17">
        <f>IF(OR(E502="",F502=""),"",E502-F502)</f>
      </c>
      <c r="H502" s="18">
        <f>IF(OR(G502="",E502="",E502=0),"",G502/E502)</f>
      </c>
      <c r="I502" s="19">
        <f>IF(OR(E502="",C502=""),"",IFERROR(E502*INDEX(Alimentos!$C$5:$C$104,MATCH(C502,Alimentos!$A$5:$A$104,0)),""))</f>
      </c>
      <c r="J502" s="10"/>
      <c r="K502" s="10"/>
      <c r="L502" s="10"/>
    </row>
    <row r="503" spans="1:12" x14ac:dyDescent="0.25">
      <c r="A503" s="20"/>
      <c r="B503" s="10"/>
      <c r="C503" s="10"/>
      <c r="D503" s="15">
        <f>IF(C503="","",IFERROR(INDEX(Alimentos!$B$5:$B$104,MATCH(C503,Alimentos!$A$5:$A$104,0)),""))</f>
      </c>
      <c r="E503" s="21"/>
      <c r="F503" s="21"/>
      <c r="G503" s="17">
        <f>IF(OR(E503="",F503=""),"",E503-F503)</f>
      </c>
      <c r="H503" s="18">
        <f>IF(OR(G503="",E503="",E503=0),"",G503/E503)</f>
      </c>
      <c r="I503" s="19">
        <f>IF(OR(E503="",C503=""),"",IFERROR(E503*INDEX(Alimentos!$C$5:$C$104,MATCH(C503,Alimentos!$A$5:$A$104,0)),""))</f>
      </c>
      <c r="J503" s="10"/>
      <c r="K503" s="10"/>
      <c r="L503" s="10"/>
    </row>
    <row r="504" spans="1:12" x14ac:dyDescent="0.25">
      <c r="A504" s="20"/>
      <c r="B504" s="10"/>
      <c r="C504" s="10"/>
      <c r="D504" s="15">
        <f>IF(C504="","",IFERROR(INDEX(Alimentos!$B$5:$B$104,MATCH(C504,Alimentos!$A$5:$A$104,0)),""))</f>
      </c>
      <c r="E504" s="21"/>
      <c r="F504" s="21"/>
      <c r="G504" s="17">
        <f>IF(OR(E504="",F504=""),"",E504-F504)</f>
      </c>
      <c r="H504" s="18">
        <f>IF(OR(G504="",E504="",E504=0),"",G504/E504)</f>
      </c>
      <c r="I504" s="19">
        <f>IF(OR(E504="",C504=""),"",IFERROR(E504*INDEX(Alimentos!$C$5:$C$104,MATCH(C504,Alimentos!$A$5:$A$104,0)),""))</f>
      </c>
      <c r="J504" s="10"/>
      <c r="K504" s="10"/>
      <c r="L504" s="10"/>
    </row>
    <row r="505" spans="1:12" x14ac:dyDescent="0.25">
      <c r="A505" s="20"/>
      <c r="B505" s="10"/>
      <c r="C505" s="10"/>
      <c r="D505" s="15">
        <f>IF(C505="","",IFERROR(INDEX(Alimentos!$B$5:$B$104,MATCH(C505,Alimentos!$A$5:$A$104,0)),""))</f>
      </c>
      <c r="E505" s="21"/>
      <c r="F505" s="21"/>
      <c r="G505" s="17">
        <f>IF(OR(E505="",F505=""),"",E505-F505)</f>
      </c>
      <c r="H505" s="18">
        <f>IF(OR(G505="",E505="",E505=0),"",G505/E505)</f>
      </c>
      <c r="I505" s="19">
        <f>IF(OR(E505="",C505=""),"",IFERROR(E505*INDEX(Alimentos!$C$5:$C$104,MATCH(C505,Alimentos!$A$5:$A$104,0)),""))</f>
      </c>
      <c r="J505" s="10"/>
      <c r="K505" s="10"/>
      <c r="L505" s="10"/>
    </row>
    <row r="506" spans="1:12" x14ac:dyDescent="0.25">
      <c r="A506" s="20"/>
      <c r="B506" s="10"/>
      <c r="C506" s="10"/>
      <c r="D506" s="15">
        <f>IF(C506="","",IFERROR(INDEX(Alimentos!$B$5:$B$104,MATCH(C506,Alimentos!$A$5:$A$104,0)),""))</f>
      </c>
      <c r="E506" s="21"/>
      <c r="F506" s="21"/>
      <c r="G506" s="17">
        <f>IF(OR(E506="",F506=""),"",E506-F506)</f>
      </c>
      <c r="H506" s="18">
        <f>IF(OR(G506="",E506="",E506=0),"",G506/E506)</f>
      </c>
      <c r="I506" s="19">
        <f>IF(OR(E506="",C506=""),"",IFERROR(E506*INDEX(Alimentos!$C$5:$C$104,MATCH(C506,Alimentos!$A$5:$A$104,0)),""))</f>
      </c>
      <c r="J506" s="10"/>
      <c r="K506" s="10"/>
      <c r="L506" s="10"/>
    </row>
    <row r="507" spans="1:12" x14ac:dyDescent="0.25">
      <c r="A507" s="20"/>
      <c r="B507" s="10"/>
      <c r="C507" s="10"/>
      <c r="D507" s="15">
        <f>IF(C507="","",IFERROR(INDEX(Alimentos!$B$5:$B$104,MATCH(C507,Alimentos!$A$5:$A$104,0)),""))</f>
      </c>
      <c r="E507" s="21"/>
      <c r="F507" s="21"/>
      <c r="G507" s="17">
        <f>IF(OR(E507="",F507=""),"",E507-F507)</f>
      </c>
      <c r="H507" s="18">
        <f>IF(OR(G507="",E507="",E507=0),"",G507/E507)</f>
      </c>
      <c r="I507" s="19">
        <f>IF(OR(E507="",C507=""),"",IFERROR(E507*INDEX(Alimentos!$C$5:$C$104,MATCH(C507,Alimentos!$A$5:$A$104,0)),""))</f>
      </c>
      <c r="J507" s="10"/>
      <c r="K507" s="10"/>
      <c r="L507" s="10"/>
    </row>
    <row r="508" spans="1:12" x14ac:dyDescent="0.25">
      <c r="A508" s="20"/>
      <c r="B508" s="10"/>
      <c r="C508" s="10"/>
      <c r="D508" s="15">
        <f>IF(C508="","",IFERROR(INDEX(Alimentos!$B$5:$B$104,MATCH(C508,Alimentos!$A$5:$A$104,0)),""))</f>
      </c>
      <c r="E508" s="21"/>
      <c r="F508" s="21"/>
      <c r="G508" s="17">
        <f>IF(OR(E508="",F508=""),"",E508-F508)</f>
      </c>
      <c r="H508" s="18">
        <f>IF(OR(G508="",E508="",E508=0),"",G508/E508)</f>
      </c>
      <c r="I508" s="19">
        <f>IF(OR(E508="",C508=""),"",IFERROR(E508*INDEX(Alimentos!$C$5:$C$104,MATCH(C508,Alimentos!$A$5:$A$104,0)),""))</f>
      </c>
      <c r="J508" s="10"/>
      <c r="K508" s="10"/>
      <c r="L508" s="10"/>
    </row>
    <row r="509" spans="1:12" x14ac:dyDescent="0.25">
      <c r="A509" s="20"/>
      <c r="B509" s="10"/>
      <c r="C509" s="10"/>
      <c r="D509" s="15">
        <f>IF(C509="","",IFERROR(INDEX(Alimentos!$B$5:$B$104,MATCH(C509,Alimentos!$A$5:$A$104,0)),""))</f>
      </c>
      <c r="E509" s="21"/>
      <c r="F509" s="21"/>
      <c r="G509" s="17">
        <f>IF(OR(E509="",F509=""),"",E509-F509)</f>
      </c>
      <c r="H509" s="18">
        <f>IF(OR(G509="",E509="",E509=0),"",G509/E509)</f>
      </c>
      <c r="I509" s="19">
        <f>IF(OR(E509="",C509=""),"",IFERROR(E509*INDEX(Alimentos!$C$5:$C$104,MATCH(C509,Alimentos!$A$5:$A$104,0)),""))</f>
      </c>
      <c r="J509" s="10"/>
      <c r="K509" s="10"/>
      <c r="L509" s="10"/>
    </row>
    <row r="510" spans="1:12" x14ac:dyDescent="0.25">
      <c r="A510" s="20"/>
      <c r="B510" s="10"/>
      <c r="C510" s="10"/>
      <c r="D510" s="15">
        <f>IF(C510="","",IFERROR(INDEX(Alimentos!$B$5:$B$104,MATCH(C510,Alimentos!$A$5:$A$104,0)),""))</f>
      </c>
      <c r="E510" s="21"/>
      <c r="F510" s="21"/>
      <c r="G510" s="17">
        <f>IF(OR(E510="",F510=""),"",E510-F510)</f>
      </c>
      <c r="H510" s="18">
        <f>IF(OR(G510="",E510="",E510=0),"",G510/E510)</f>
      </c>
      <c r="I510" s="19">
        <f>IF(OR(E510="",C510=""),"",IFERROR(E510*INDEX(Alimentos!$C$5:$C$104,MATCH(C510,Alimentos!$A$5:$A$104,0)),""))</f>
      </c>
      <c r="J510" s="10"/>
      <c r="K510" s="10"/>
      <c r="L510" s="10"/>
    </row>
    <row r="511" spans="1:12" x14ac:dyDescent="0.25">
      <c r="A511" s="20"/>
      <c r="B511" s="10"/>
      <c r="C511" s="10"/>
      <c r="D511" s="15">
        <f>IF(C511="","",IFERROR(INDEX(Alimentos!$B$5:$B$104,MATCH(C511,Alimentos!$A$5:$A$104,0)),""))</f>
      </c>
      <c r="E511" s="21"/>
      <c r="F511" s="21"/>
      <c r="G511" s="17">
        <f>IF(OR(E511="",F511=""),"",E511-F511)</f>
      </c>
      <c r="H511" s="18">
        <f>IF(OR(G511="",E511="",E511=0),"",G511/E511)</f>
      </c>
      <c r="I511" s="19">
        <f>IF(OR(E511="",C511=""),"",IFERROR(E511*INDEX(Alimentos!$C$5:$C$104,MATCH(C511,Alimentos!$A$5:$A$104,0)),""))</f>
      </c>
      <c r="J511" s="10"/>
      <c r="K511" s="10"/>
      <c r="L511" s="10"/>
    </row>
    <row r="512" spans="1:12" x14ac:dyDescent="0.25">
      <c r="A512" s="20"/>
      <c r="B512" s="10"/>
      <c r="C512" s="10"/>
      <c r="D512" s="15">
        <f>IF(C512="","",IFERROR(INDEX(Alimentos!$B$5:$B$104,MATCH(C512,Alimentos!$A$5:$A$104,0)),""))</f>
      </c>
      <c r="E512" s="21"/>
      <c r="F512" s="21"/>
      <c r="G512" s="17">
        <f>IF(OR(E512="",F512=""),"",E512-F512)</f>
      </c>
      <c r="H512" s="18">
        <f>IF(OR(G512="",E512="",E512=0),"",G512/E512)</f>
      </c>
      <c r="I512" s="19">
        <f>IF(OR(E512="",C512=""),"",IFERROR(E512*INDEX(Alimentos!$C$5:$C$104,MATCH(C512,Alimentos!$A$5:$A$104,0)),""))</f>
      </c>
      <c r="J512" s="10"/>
      <c r="K512" s="10"/>
      <c r="L512" s="10"/>
    </row>
    <row r="513" spans="1:12" x14ac:dyDescent="0.25">
      <c r="A513" s="20"/>
      <c r="B513" s="10"/>
      <c r="C513" s="10"/>
      <c r="D513" s="15">
        <f>IF(C513="","",IFERROR(INDEX(Alimentos!$B$5:$B$104,MATCH(C513,Alimentos!$A$5:$A$104,0)),""))</f>
      </c>
      <c r="E513" s="21"/>
      <c r="F513" s="21"/>
      <c r="G513" s="17">
        <f>IF(OR(E513="",F513=""),"",E513-F513)</f>
      </c>
      <c r="H513" s="18">
        <f>IF(OR(G513="",E513="",E513=0),"",G513/E513)</f>
      </c>
      <c r="I513" s="19">
        <f>IF(OR(E513="",C513=""),"",IFERROR(E513*INDEX(Alimentos!$C$5:$C$104,MATCH(C513,Alimentos!$A$5:$A$104,0)),""))</f>
      </c>
      <c r="J513" s="10"/>
      <c r="K513" s="10"/>
      <c r="L513" s="10"/>
    </row>
    <row r="514" spans="1:12" x14ac:dyDescent="0.25">
      <c r="A514" s="20"/>
      <c r="B514" s="10"/>
      <c r="C514" s="10"/>
      <c r="D514" s="15">
        <f>IF(C514="","",IFERROR(INDEX(Alimentos!$B$5:$B$104,MATCH(C514,Alimentos!$A$5:$A$104,0)),""))</f>
      </c>
      <c r="E514" s="21"/>
      <c r="F514" s="21"/>
      <c r="G514" s="17">
        <f>IF(OR(E514="",F514=""),"",E514-F514)</f>
      </c>
      <c r="H514" s="18">
        <f>IF(OR(G514="",E514="",E514=0),"",G514/E514)</f>
      </c>
      <c r="I514" s="19">
        <f>IF(OR(E514="",C514=""),"",IFERROR(E514*INDEX(Alimentos!$C$5:$C$104,MATCH(C514,Alimentos!$A$5:$A$104,0)),""))</f>
      </c>
      <c r="J514" s="10"/>
      <c r="K514" s="10"/>
      <c r="L514" s="10"/>
    </row>
    <row r="515" spans="1:12" x14ac:dyDescent="0.25">
      <c r="A515" s="20"/>
      <c r="B515" s="10"/>
      <c r="C515" s="10"/>
      <c r="D515" s="15">
        <f>IF(C515="","",IFERROR(INDEX(Alimentos!$B$5:$B$104,MATCH(C515,Alimentos!$A$5:$A$104,0)),""))</f>
      </c>
      <c r="E515" s="21"/>
      <c r="F515" s="21"/>
      <c r="G515" s="17">
        <f>IF(OR(E515="",F515=""),"",E515-F515)</f>
      </c>
      <c r="H515" s="18">
        <f>IF(OR(G515="",E515="",E515=0),"",G515/E515)</f>
      </c>
      <c r="I515" s="19">
        <f>IF(OR(E515="",C515=""),"",IFERROR(E515*INDEX(Alimentos!$C$5:$C$104,MATCH(C515,Alimentos!$A$5:$A$104,0)),""))</f>
      </c>
      <c r="J515" s="10"/>
      <c r="K515" s="10"/>
      <c r="L515" s="10"/>
    </row>
    <row r="516" spans="1:12" x14ac:dyDescent="0.25">
      <c r="A516" s="20"/>
      <c r="B516" s="10"/>
      <c r="C516" s="10"/>
      <c r="D516" s="15">
        <f>IF(C516="","",IFERROR(INDEX(Alimentos!$B$5:$B$104,MATCH(C516,Alimentos!$A$5:$A$104,0)),""))</f>
      </c>
      <c r="E516" s="21"/>
      <c r="F516" s="21"/>
      <c r="G516" s="17">
        <f>IF(OR(E516="",F516=""),"",E516-F516)</f>
      </c>
      <c r="H516" s="18">
        <f>IF(OR(G516="",E516="",E516=0),"",G516/E516)</f>
      </c>
      <c r="I516" s="19">
        <f>IF(OR(E516="",C516=""),"",IFERROR(E516*INDEX(Alimentos!$C$5:$C$104,MATCH(C516,Alimentos!$A$5:$A$104,0)),""))</f>
      </c>
      <c r="J516" s="10"/>
      <c r="K516" s="10"/>
      <c r="L516" s="10"/>
    </row>
    <row r="517" spans="1:12" x14ac:dyDescent="0.25">
      <c r="A517" s="20"/>
      <c r="B517" s="10"/>
      <c r="C517" s="10"/>
      <c r="D517" s="15">
        <f>IF(C517="","",IFERROR(INDEX(Alimentos!$B$5:$B$104,MATCH(C517,Alimentos!$A$5:$A$104,0)),""))</f>
      </c>
      <c r="E517" s="21"/>
      <c r="F517" s="21"/>
      <c r="G517" s="17">
        <f>IF(OR(E517="",F517=""),"",E517-F517)</f>
      </c>
      <c r="H517" s="18">
        <f>IF(OR(G517="",E517="",E517=0),"",G517/E517)</f>
      </c>
      <c r="I517" s="19">
        <f>IF(OR(E517="",C517=""),"",IFERROR(E517*INDEX(Alimentos!$C$5:$C$104,MATCH(C517,Alimentos!$A$5:$A$104,0)),""))</f>
      </c>
      <c r="J517" s="10"/>
      <c r="K517" s="10"/>
      <c r="L517" s="10"/>
    </row>
    <row r="518" spans="1:12" x14ac:dyDescent="0.25">
      <c r="A518" s="20"/>
      <c r="B518" s="10"/>
      <c r="C518" s="10"/>
      <c r="D518" s="15">
        <f>IF(C518="","",IFERROR(INDEX(Alimentos!$B$5:$B$104,MATCH(C518,Alimentos!$A$5:$A$104,0)),""))</f>
      </c>
      <c r="E518" s="21"/>
      <c r="F518" s="21"/>
      <c r="G518" s="17">
        <f>IF(OR(E518="",F518=""),"",E518-F518)</f>
      </c>
      <c r="H518" s="18">
        <f>IF(OR(G518="",E518="",E518=0),"",G518/E518)</f>
      </c>
      <c r="I518" s="19">
        <f>IF(OR(E518="",C518=""),"",IFERROR(E518*INDEX(Alimentos!$C$5:$C$104,MATCH(C518,Alimentos!$A$5:$A$104,0)),""))</f>
      </c>
      <c r="J518" s="10"/>
      <c r="K518" s="10"/>
      <c r="L518" s="10"/>
    </row>
    <row r="519" spans="1:12" x14ac:dyDescent="0.25">
      <c r="A519" s="20"/>
      <c r="B519" s="10"/>
      <c r="C519" s="10"/>
      <c r="D519" s="15">
        <f>IF(C519="","",IFERROR(INDEX(Alimentos!$B$5:$B$104,MATCH(C519,Alimentos!$A$5:$A$104,0)),""))</f>
      </c>
      <c r="E519" s="21"/>
      <c r="F519" s="21"/>
      <c r="G519" s="17">
        <f>IF(OR(E519="",F519=""),"",E519-F519)</f>
      </c>
      <c r="H519" s="18">
        <f>IF(OR(G519="",E519="",E519=0),"",G519/E519)</f>
      </c>
      <c r="I519" s="19">
        <f>IF(OR(E519="",C519=""),"",IFERROR(E519*INDEX(Alimentos!$C$5:$C$104,MATCH(C519,Alimentos!$A$5:$A$104,0)),""))</f>
      </c>
      <c r="J519" s="10"/>
      <c r="K519" s="10"/>
      <c r="L519" s="10"/>
    </row>
    <row r="520" spans="1:12" x14ac:dyDescent="0.25">
      <c r="A520" s="20"/>
      <c r="B520" s="10"/>
      <c r="C520" s="10"/>
      <c r="D520" s="15">
        <f>IF(C520="","",IFERROR(INDEX(Alimentos!$B$5:$B$104,MATCH(C520,Alimentos!$A$5:$A$104,0)),""))</f>
      </c>
      <c r="E520" s="21"/>
      <c r="F520" s="21"/>
      <c r="G520" s="17">
        <f>IF(OR(E520="",F520=""),"",E520-F520)</f>
      </c>
      <c r="H520" s="18">
        <f>IF(OR(G520="",E520="",E520=0),"",G520/E520)</f>
      </c>
      <c r="I520" s="19">
        <f>IF(OR(E520="",C520=""),"",IFERROR(E520*INDEX(Alimentos!$C$5:$C$104,MATCH(C520,Alimentos!$A$5:$A$104,0)),""))</f>
      </c>
      <c r="J520" s="10"/>
      <c r="K520" s="10"/>
      <c r="L520" s="10"/>
    </row>
    <row r="521" spans="1:12" x14ac:dyDescent="0.25">
      <c r="A521" s="20"/>
      <c r="B521" s="10"/>
      <c r="C521" s="10"/>
      <c r="D521" s="15">
        <f>IF(C521="","",IFERROR(INDEX(Alimentos!$B$5:$B$104,MATCH(C521,Alimentos!$A$5:$A$104,0)),""))</f>
      </c>
      <c r="E521" s="21"/>
      <c r="F521" s="21"/>
      <c r="G521" s="17">
        <f>IF(OR(E521="",F521=""),"",E521-F521)</f>
      </c>
      <c r="H521" s="18">
        <f>IF(OR(G521="",E521="",E521=0),"",G521/E521)</f>
      </c>
      <c r="I521" s="19">
        <f>IF(OR(E521="",C521=""),"",IFERROR(E521*INDEX(Alimentos!$C$5:$C$104,MATCH(C521,Alimentos!$A$5:$A$104,0)),""))</f>
      </c>
      <c r="J521" s="10"/>
      <c r="K521" s="10"/>
      <c r="L521" s="10"/>
    </row>
    <row r="522" spans="1:12" x14ac:dyDescent="0.25">
      <c r="A522" s="20"/>
      <c r="B522" s="10"/>
      <c r="C522" s="10"/>
      <c r="D522" s="15">
        <f>IF(C522="","",IFERROR(INDEX(Alimentos!$B$5:$B$104,MATCH(C522,Alimentos!$A$5:$A$104,0)),""))</f>
      </c>
      <c r="E522" s="21"/>
      <c r="F522" s="21"/>
      <c r="G522" s="17">
        <f>IF(OR(E522="",F522=""),"",E522-F522)</f>
      </c>
      <c r="H522" s="18">
        <f>IF(OR(G522="",E522="",E522=0),"",G522/E522)</f>
      </c>
      <c r="I522" s="19">
        <f>IF(OR(E522="",C522=""),"",IFERROR(E522*INDEX(Alimentos!$C$5:$C$104,MATCH(C522,Alimentos!$A$5:$A$104,0)),""))</f>
      </c>
      <c r="J522" s="10"/>
      <c r="K522" s="10"/>
      <c r="L522" s="10"/>
    </row>
    <row r="523" spans="1:12" x14ac:dyDescent="0.25">
      <c r="A523" s="20"/>
      <c r="B523" s="10"/>
      <c r="C523" s="10"/>
      <c r="D523" s="15">
        <f>IF(C523="","",IFERROR(INDEX(Alimentos!$B$5:$B$104,MATCH(C523,Alimentos!$A$5:$A$104,0)),""))</f>
      </c>
      <c r="E523" s="21"/>
      <c r="F523" s="21"/>
      <c r="G523" s="17">
        <f>IF(OR(E523="",F523=""),"",E523-F523)</f>
      </c>
      <c r="H523" s="18">
        <f>IF(OR(G523="",E523="",E523=0),"",G523/E523)</f>
      </c>
      <c r="I523" s="19">
        <f>IF(OR(E523="",C523=""),"",IFERROR(E523*INDEX(Alimentos!$C$5:$C$104,MATCH(C523,Alimentos!$A$5:$A$104,0)),""))</f>
      </c>
      <c r="J523" s="10"/>
      <c r="K523" s="10"/>
      <c r="L523" s="10"/>
    </row>
    <row r="524" spans="1:12" x14ac:dyDescent="0.25">
      <c r="A524" s="20"/>
      <c r="B524" s="10"/>
      <c r="C524" s="10"/>
      <c r="D524" s="15">
        <f>IF(C524="","",IFERROR(INDEX(Alimentos!$B$5:$B$104,MATCH(C524,Alimentos!$A$5:$A$104,0)),""))</f>
      </c>
      <c r="E524" s="21"/>
      <c r="F524" s="21"/>
      <c r="G524" s="17">
        <f>IF(OR(E524="",F524=""),"",E524-F524)</f>
      </c>
      <c r="H524" s="18">
        <f>IF(OR(G524="",E524="",E524=0),"",G524/E524)</f>
      </c>
      <c r="I524" s="19">
        <f>IF(OR(E524="",C524=""),"",IFERROR(E524*INDEX(Alimentos!$C$5:$C$104,MATCH(C524,Alimentos!$A$5:$A$104,0)),""))</f>
      </c>
      <c r="J524" s="10"/>
      <c r="K524" s="10"/>
      <c r="L524" s="10"/>
    </row>
    <row r="525" spans="1:12" x14ac:dyDescent="0.25">
      <c r="A525" s="20"/>
      <c r="B525" s="10"/>
      <c r="C525" s="10"/>
      <c r="D525" s="15">
        <f>IF(C525="","",IFERROR(INDEX(Alimentos!$B$5:$B$104,MATCH(C525,Alimentos!$A$5:$A$104,0)),""))</f>
      </c>
      <c r="E525" s="21"/>
      <c r="F525" s="21"/>
      <c r="G525" s="17">
        <f>IF(OR(E525="",F525=""),"",E525-F525)</f>
      </c>
      <c r="H525" s="18">
        <f>IF(OR(G525="",E525="",E525=0),"",G525/E525)</f>
      </c>
      <c r="I525" s="19">
        <f>IF(OR(E525="",C525=""),"",IFERROR(E525*INDEX(Alimentos!$C$5:$C$104,MATCH(C525,Alimentos!$A$5:$A$104,0)),""))</f>
      </c>
      <c r="J525" s="10"/>
      <c r="K525" s="10"/>
      <c r="L525" s="10"/>
    </row>
    <row r="526" spans="1:12" x14ac:dyDescent="0.25">
      <c r="A526" s="20"/>
      <c r="B526" s="10"/>
      <c r="C526" s="10"/>
      <c r="D526" s="15">
        <f>IF(C526="","",IFERROR(INDEX(Alimentos!$B$5:$B$104,MATCH(C526,Alimentos!$A$5:$A$104,0)),""))</f>
      </c>
      <c r="E526" s="21"/>
      <c r="F526" s="21"/>
      <c r="G526" s="17">
        <f>IF(OR(E526="",F526=""),"",E526-F526)</f>
      </c>
      <c r="H526" s="18">
        <f>IF(OR(G526="",E526="",E526=0),"",G526/E526)</f>
      </c>
      <c r="I526" s="19">
        <f>IF(OR(E526="",C526=""),"",IFERROR(E526*INDEX(Alimentos!$C$5:$C$104,MATCH(C526,Alimentos!$A$5:$A$104,0)),""))</f>
      </c>
      <c r="J526" s="10"/>
      <c r="K526" s="10"/>
      <c r="L526" s="10"/>
    </row>
    <row r="527" spans="1:12" x14ac:dyDescent="0.25">
      <c r="A527" s="20"/>
      <c r="B527" s="10"/>
      <c r="C527" s="10"/>
      <c r="D527" s="15">
        <f>IF(C527="","",IFERROR(INDEX(Alimentos!$B$5:$B$104,MATCH(C527,Alimentos!$A$5:$A$104,0)),""))</f>
      </c>
      <c r="E527" s="21"/>
      <c r="F527" s="21"/>
      <c r="G527" s="17">
        <f>IF(OR(E527="",F527=""),"",E527-F527)</f>
      </c>
      <c r="H527" s="18">
        <f>IF(OR(G527="",E527="",E527=0),"",G527/E527)</f>
      </c>
      <c r="I527" s="19">
        <f>IF(OR(E527="",C527=""),"",IFERROR(E527*INDEX(Alimentos!$C$5:$C$104,MATCH(C527,Alimentos!$A$5:$A$104,0)),""))</f>
      </c>
      <c r="J527" s="10"/>
      <c r="K527" s="10"/>
      <c r="L527" s="10"/>
    </row>
    <row r="528" spans="1:12" x14ac:dyDescent="0.25">
      <c r="A528" s="20"/>
      <c r="B528" s="10"/>
      <c r="C528" s="10"/>
      <c r="D528" s="15">
        <f>IF(C528="","",IFERROR(INDEX(Alimentos!$B$5:$B$104,MATCH(C528,Alimentos!$A$5:$A$104,0)),""))</f>
      </c>
      <c r="E528" s="21"/>
      <c r="F528" s="21"/>
      <c r="G528" s="17">
        <f>IF(OR(E528="",F528=""),"",E528-F528)</f>
      </c>
      <c r="H528" s="18">
        <f>IF(OR(G528="",E528="",E528=0),"",G528/E528)</f>
      </c>
      <c r="I528" s="19">
        <f>IF(OR(E528="",C528=""),"",IFERROR(E528*INDEX(Alimentos!$C$5:$C$104,MATCH(C528,Alimentos!$A$5:$A$104,0)),""))</f>
      </c>
      <c r="J528" s="10"/>
      <c r="K528" s="10"/>
      <c r="L528" s="10"/>
    </row>
    <row r="529" spans="1:12" x14ac:dyDescent="0.25">
      <c r="A529" s="20"/>
      <c r="B529" s="10"/>
      <c r="C529" s="10"/>
      <c r="D529" s="15">
        <f>IF(C529="","",IFERROR(INDEX(Alimentos!$B$5:$B$104,MATCH(C529,Alimentos!$A$5:$A$104,0)),""))</f>
      </c>
      <c r="E529" s="21"/>
      <c r="F529" s="21"/>
      <c r="G529" s="17">
        <f>IF(OR(E529="",F529=""),"",E529-F529)</f>
      </c>
      <c r="H529" s="18">
        <f>IF(OR(G529="",E529="",E529=0),"",G529/E529)</f>
      </c>
      <c r="I529" s="19">
        <f>IF(OR(E529="",C529=""),"",IFERROR(E529*INDEX(Alimentos!$C$5:$C$104,MATCH(C529,Alimentos!$A$5:$A$104,0)),""))</f>
      </c>
      <c r="J529" s="10"/>
      <c r="K529" s="10"/>
      <c r="L529" s="10"/>
    </row>
    <row r="530" spans="1:12" x14ac:dyDescent="0.25">
      <c r="A530" s="20"/>
      <c r="B530" s="10"/>
      <c r="C530" s="10"/>
      <c r="D530" s="15">
        <f>IF(C530="","",IFERROR(INDEX(Alimentos!$B$5:$B$104,MATCH(C530,Alimentos!$A$5:$A$104,0)),""))</f>
      </c>
      <c r="E530" s="21"/>
      <c r="F530" s="21"/>
      <c r="G530" s="17">
        <f>IF(OR(E530="",F530=""),"",E530-F530)</f>
      </c>
      <c r="H530" s="18">
        <f>IF(OR(G530="",E530="",E530=0),"",G530/E530)</f>
      </c>
      <c r="I530" s="19">
        <f>IF(OR(E530="",C530=""),"",IFERROR(E530*INDEX(Alimentos!$C$5:$C$104,MATCH(C530,Alimentos!$A$5:$A$104,0)),""))</f>
      </c>
      <c r="J530" s="10"/>
      <c r="K530" s="10"/>
      <c r="L530" s="10"/>
    </row>
    <row r="531" spans="1:12" x14ac:dyDescent="0.25">
      <c r="A531" s="20"/>
      <c r="B531" s="10"/>
      <c r="C531" s="10"/>
      <c r="D531" s="15">
        <f>IF(C531="","",IFERROR(INDEX(Alimentos!$B$5:$B$104,MATCH(C531,Alimentos!$A$5:$A$104,0)),""))</f>
      </c>
      <c r="E531" s="21"/>
      <c r="F531" s="21"/>
      <c r="G531" s="17">
        <f>IF(OR(E531="",F531=""),"",E531-F531)</f>
      </c>
      <c r="H531" s="18">
        <f>IF(OR(G531="",E531="",E531=0),"",G531/E531)</f>
      </c>
      <c r="I531" s="19">
        <f>IF(OR(E531="",C531=""),"",IFERROR(E531*INDEX(Alimentos!$C$5:$C$104,MATCH(C531,Alimentos!$A$5:$A$104,0)),""))</f>
      </c>
      <c r="J531" s="10"/>
      <c r="K531" s="10"/>
      <c r="L531" s="10"/>
    </row>
    <row r="532" spans="1:12" x14ac:dyDescent="0.25">
      <c r="A532" s="20"/>
      <c r="B532" s="10"/>
      <c r="C532" s="10"/>
      <c r="D532" s="15">
        <f>IF(C532="","",IFERROR(INDEX(Alimentos!$B$5:$B$104,MATCH(C532,Alimentos!$A$5:$A$104,0)),""))</f>
      </c>
      <c r="E532" s="21"/>
      <c r="F532" s="21"/>
      <c r="G532" s="17">
        <f>IF(OR(E532="",F532=""),"",E532-F532)</f>
      </c>
      <c r="H532" s="18">
        <f>IF(OR(G532="",E532="",E532=0),"",G532/E532)</f>
      </c>
      <c r="I532" s="19">
        <f>IF(OR(E532="",C532=""),"",IFERROR(E532*INDEX(Alimentos!$C$5:$C$104,MATCH(C532,Alimentos!$A$5:$A$104,0)),""))</f>
      </c>
      <c r="J532" s="10"/>
      <c r="K532" s="10"/>
      <c r="L532" s="10"/>
    </row>
    <row r="533" spans="1:12" x14ac:dyDescent="0.25">
      <c r="A533" s="20"/>
      <c r="B533" s="10"/>
      <c r="C533" s="10"/>
      <c r="D533" s="15">
        <f>IF(C533="","",IFERROR(INDEX(Alimentos!$B$5:$B$104,MATCH(C533,Alimentos!$A$5:$A$104,0)),""))</f>
      </c>
      <c r="E533" s="21"/>
      <c r="F533" s="21"/>
      <c r="G533" s="17">
        <f>IF(OR(E533="",F533=""),"",E533-F533)</f>
      </c>
      <c r="H533" s="18">
        <f>IF(OR(G533="",E533="",E533=0),"",G533/E533)</f>
      </c>
      <c r="I533" s="19">
        <f>IF(OR(E533="",C533=""),"",IFERROR(E533*INDEX(Alimentos!$C$5:$C$104,MATCH(C533,Alimentos!$A$5:$A$104,0)),""))</f>
      </c>
      <c r="J533" s="10"/>
      <c r="K533" s="10"/>
      <c r="L533" s="10"/>
    </row>
    <row r="534" spans="1:12" x14ac:dyDescent="0.25">
      <c r="A534" s="20"/>
      <c r="B534" s="10"/>
      <c r="C534" s="10"/>
      <c r="D534" s="15">
        <f>IF(C534="","",IFERROR(INDEX(Alimentos!$B$5:$B$104,MATCH(C534,Alimentos!$A$5:$A$104,0)),""))</f>
      </c>
      <c r="E534" s="21"/>
      <c r="F534" s="21"/>
      <c r="G534" s="17">
        <f>IF(OR(E534="",F534=""),"",E534-F534)</f>
      </c>
      <c r="H534" s="18">
        <f>IF(OR(G534="",E534="",E534=0),"",G534/E534)</f>
      </c>
      <c r="I534" s="19">
        <f>IF(OR(E534="",C534=""),"",IFERROR(E534*INDEX(Alimentos!$C$5:$C$104,MATCH(C534,Alimentos!$A$5:$A$104,0)),""))</f>
      </c>
      <c r="J534" s="10"/>
      <c r="K534" s="10"/>
      <c r="L534" s="10"/>
    </row>
    <row r="535" spans="1:12" x14ac:dyDescent="0.25">
      <c r="A535" s="20"/>
      <c r="B535" s="10"/>
      <c r="C535" s="10"/>
      <c r="D535" s="15">
        <f>IF(C535="","",IFERROR(INDEX(Alimentos!$B$5:$B$104,MATCH(C535,Alimentos!$A$5:$A$104,0)),""))</f>
      </c>
      <c r="E535" s="21"/>
      <c r="F535" s="21"/>
      <c r="G535" s="17">
        <f>IF(OR(E535="",F535=""),"",E535-F535)</f>
      </c>
      <c r="H535" s="18">
        <f>IF(OR(G535="",E535="",E535=0),"",G535/E535)</f>
      </c>
      <c r="I535" s="19">
        <f>IF(OR(E535="",C535=""),"",IFERROR(E535*INDEX(Alimentos!$C$5:$C$104,MATCH(C535,Alimentos!$A$5:$A$104,0)),""))</f>
      </c>
      <c r="J535" s="10"/>
      <c r="K535" s="10"/>
      <c r="L535" s="10"/>
    </row>
    <row r="536" spans="1:12" x14ac:dyDescent="0.25">
      <c r="A536" s="20"/>
      <c r="B536" s="10"/>
      <c r="C536" s="10"/>
      <c r="D536" s="15">
        <f>IF(C536="","",IFERROR(INDEX(Alimentos!$B$5:$B$104,MATCH(C536,Alimentos!$A$5:$A$104,0)),""))</f>
      </c>
      <c r="E536" s="21"/>
      <c r="F536" s="21"/>
      <c r="G536" s="17">
        <f>IF(OR(E536="",F536=""),"",E536-F536)</f>
      </c>
      <c r="H536" s="18">
        <f>IF(OR(G536="",E536="",E536=0),"",G536/E536)</f>
      </c>
      <c r="I536" s="19">
        <f>IF(OR(E536="",C536=""),"",IFERROR(E536*INDEX(Alimentos!$C$5:$C$104,MATCH(C536,Alimentos!$A$5:$A$104,0)),""))</f>
      </c>
      <c r="J536" s="10"/>
      <c r="K536" s="10"/>
      <c r="L536" s="10"/>
    </row>
    <row r="537" spans="1:12" x14ac:dyDescent="0.25">
      <c r="A537" s="20"/>
      <c r="B537" s="10"/>
      <c r="C537" s="10"/>
      <c r="D537" s="15">
        <f>IF(C537="","",IFERROR(INDEX(Alimentos!$B$5:$B$104,MATCH(C537,Alimentos!$A$5:$A$104,0)),""))</f>
      </c>
      <c r="E537" s="21"/>
      <c r="F537" s="21"/>
      <c r="G537" s="17">
        <f>IF(OR(E537="",F537=""),"",E537-F537)</f>
      </c>
      <c r="H537" s="18">
        <f>IF(OR(G537="",E537="",E537=0),"",G537/E537)</f>
      </c>
      <c r="I537" s="19">
        <f>IF(OR(E537="",C537=""),"",IFERROR(E537*INDEX(Alimentos!$C$5:$C$104,MATCH(C537,Alimentos!$A$5:$A$104,0)),""))</f>
      </c>
      <c r="J537" s="10"/>
      <c r="K537" s="10"/>
      <c r="L537" s="10"/>
    </row>
    <row r="538" spans="1:12" x14ac:dyDescent="0.25">
      <c r="A538" s="20"/>
      <c r="B538" s="10"/>
      <c r="C538" s="10"/>
      <c r="D538" s="15">
        <f>IF(C538="","",IFERROR(INDEX(Alimentos!$B$5:$B$104,MATCH(C538,Alimentos!$A$5:$A$104,0)),""))</f>
      </c>
      <c r="E538" s="21"/>
      <c r="F538" s="21"/>
      <c r="G538" s="17">
        <f>IF(OR(E538="",F538=""),"",E538-F538)</f>
      </c>
      <c r="H538" s="18">
        <f>IF(OR(G538="",E538="",E538=0),"",G538/E538)</f>
      </c>
      <c r="I538" s="19">
        <f>IF(OR(E538="",C538=""),"",IFERROR(E538*INDEX(Alimentos!$C$5:$C$104,MATCH(C538,Alimentos!$A$5:$A$104,0)),""))</f>
      </c>
      <c r="J538" s="10"/>
      <c r="K538" s="10"/>
      <c r="L538" s="10"/>
    </row>
    <row r="539" spans="1:12" x14ac:dyDescent="0.25">
      <c r="A539" s="20"/>
      <c r="B539" s="10"/>
      <c r="C539" s="10"/>
      <c r="D539" s="15">
        <f>IF(C539="","",IFERROR(INDEX(Alimentos!$B$5:$B$104,MATCH(C539,Alimentos!$A$5:$A$104,0)),""))</f>
      </c>
      <c r="E539" s="21"/>
      <c r="F539" s="21"/>
      <c r="G539" s="17">
        <f>IF(OR(E539="",F539=""),"",E539-F539)</f>
      </c>
      <c r="H539" s="18">
        <f>IF(OR(G539="",E539="",E539=0),"",G539/E539)</f>
      </c>
      <c r="I539" s="19">
        <f>IF(OR(E539="",C539=""),"",IFERROR(E539*INDEX(Alimentos!$C$5:$C$104,MATCH(C539,Alimentos!$A$5:$A$104,0)),""))</f>
      </c>
      <c r="J539" s="10"/>
      <c r="K539" s="10"/>
      <c r="L539" s="10"/>
    </row>
    <row r="540" spans="1:12" x14ac:dyDescent="0.25">
      <c r="A540" s="20"/>
      <c r="B540" s="10"/>
      <c r="C540" s="10"/>
      <c r="D540" s="15">
        <f>IF(C540="","",IFERROR(INDEX(Alimentos!$B$5:$B$104,MATCH(C540,Alimentos!$A$5:$A$104,0)),""))</f>
      </c>
      <c r="E540" s="21"/>
      <c r="F540" s="21"/>
      <c r="G540" s="17">
        <f>IF(OR(E540="",F540=""),"",E540-F540)</f>
      </c>
      <c r="H540" s="18">
        <f>IF(OR(G540="",E540="",E540=0),"",G540/E540)</f>
      </c>
      <c r="I540" s="19">
        <f>IF(OR(E540="",C540=""),"",IFERROR(E540*INDEX(Alimentos!$C$5:$C$104,MATCH(C540,Alimentos!$A$5:$A$104,0)),""))</f>
      </c>
      <c r="J540" s="10"/>
      <c r="K540" s="10"/>
      <c r="L540" s="10"/>
    </row>
    <row r="541" spans="1:12" x14ac:dyDescent="0.25">
      <c r="A541" s="20"/>
      <c r="B541" s="10"/>
      <c r="C541" s="10"/>
      <c r="D541" s="15">
        <f>IF(C541="","",IFERROR(INDEX(Alimentos!$B$5:$B$104,MATCH(C541,Alimentos!$A$5:$A$104,0)),""))</f>
      </c>
      <c r="E541" s="21"/>
      <c r="F541" s="21"/>
      <c r="G541" s="17">
        <f>IF(OR(E541="",F541=""),"",E541-F541)</f>
      </c>
      <c r="H541" s="18">
        <f>IF(OR(G541="",E541="",E541=0),"",G541/E541)</f>
      </c>
      <c r="I541" s="19">
        <f>IF(OR(E541="",C541=""),"",IFERROR(E541*INDEX(Alimentos!$C$5:$C$104,MATCH(C541,Alimentos!$A$5:$A$104,0)),""))</f>
      </c>
      <c r="J541" s="10"/>
      <c r="K541" s="10"/>
      <c r="L541" s="10"/>
    </row>
    <row r="542" spans="1:12" x14ac:dyDescent="0.25">
      <c r="A542" s="20"/>
      <c r="B542" s="10"/>
      <c r="C542" s="10"/>
      <c r="D542" s="15">
        <f>IF(C542="","",IFERROR(INDEX(Alimentos!$B$5:$B$104,MATCH(C542,Alimentos!$A$5:$A$104,0)),""))</f>
      </c>
      <c r="E542" s="21"/>
      <c r="F542" s="21"/>
      <c r="G542" s="17">
        <f>IF(OR(E542="",F542=""),"",E542-F542)</f>
      </c>
      <c r="H542" s="18">
        <f>IF(OR(G542="",E542="",E542=0),"",G542/E542)</f>
      </c>
      <c r="I542" s="19">
        <f>IF(OR(E542="",C542=""),"",IFERROR(E542*INDEX(Alimentos!$C$5:$C$104,MATCH(C542,Alimentos!$A$5:$A$104,0)),""))</f>
      </c>
      <c r="J542" s="10"/>
      <c r="K542" s="10"/>
      <c r="L542" s="10"/>
    </row>
    <row r="543" spans="1:12" x14ac:dyDescent="0.25">
      <c r="A543" s="20"/>
      <c r="B543" s="10"/>
      <c r="C543" s="10"/>
      <c r="D543" s="15">
        <f>IF(C543="","",IFERROR(INDEX(Alimentos!$B$5:$B$104,MATCH(C543,Alimentos!$A$5:$A$104,0)),""))</f>
      </c>
      <c r="E543" s="21"/>
      <c r="F543" s="21"/>
      <c r="G543" s="17">
        <f>IF(OR(E543="",F543=""),"",E543-F543)</f>
      </c>
      <c r="H543" s="18">
        <f>IF(OR(G543="",E543="",E543=0),"",G543/E543)</f>
      </c>
      <c r="I543" s="19">
        <f>IF(OR(E543="",C543=""),"",IFERROR(E543*INDEX(Alimentos!$C$5:$C$104,MATCH(C543,Alimentos!$A$5:$A$104,0)),""))</f>
      </c>
      <c r="J543" s="10"/>
      <c r="K543" s="10"/>
      <c r="L543" s="10"/>
    </row>
    <row r="544" spans="1:12" x14ac:dyDescent="0.25">
      <c r="A544" s="20"/>
      <c r="B544" s="10"/>
      <c r="C544" s="10"/>
      <c r="D544" s="15">
        <f>IF(C544="","",IFERROR(INDEX(Alimentos!$B$5:$B$104,MATCH(C544,Alimentos!$A$5:$A$104,0)),""))</f>
      </c>
      <c r="E544" s="21"/>
      <c r="F544" s="21"/>
      <c r="G544" s="17">
        <f>IF(OR(E544="",F544=""),"",E544-F544)</f>
      </c>
      <c r="H544" s="18">
        <f>IF(OR(G544="",E544="",E544=0),"",G544/E544)</f>
      </c>
      <c r="I544" s="19">
        <f>IF(OR(E544="",C544=""),"",IFERROR(E544*INDEX(Alimentos!$C$5:$C$104,MATCH(C544,Alimentos!$A$5:$A$104,0)),""))</f>
      </c>
      <c r="J544" s="10"/>
      <c r="K544" s="10"/>
      <c r="L544" s="10"/>
    </row>
    <row r="545" spans="1:12" x14ac:dyDescent="0.25">
      <c r="A545" s="20"/>
      <c r="B545" s="10"/>
      <c r="C545" s="10"/>
      <c r="D545" s="15">
        <f>IF(C545="","",IFERROR(INDEX(Alimentos!$B$5:$B$104,MATCH(C545,Alimentos!$A$5:$A$104,0)),""))</f>
      </c>
      <c r="E545" s="21"/>
      <c r="F545" s="21"/>
      <c r="G545" s="17">
        <f>IF(OR(E545="",F545=""),"",E545-F545)</f>
      </c>
      <c r="H545" s="18">
        <f>IF(OR(G545="",E545="",E545=0),"",G545/E545)</f>
      </c>
      <c r="I545" s="19">
        <f>IF(OR(E545="",C545=""),"",IFERROR(E545*INDEX(Alimentos!$C$5:$C$104,MATCH(C545,Alimentos!$A$5:$A$104,0)),""))</f>
      </c>
      <c r="J545" s="10"/>
      <c r="K545" s="10"/>
      <c r="L545" s="10"/>
    </row>
    <row r="546" spans="1:12" x14ac:dyDescent="0.25">
      <c r="A546" s="20"/>
      <c r="B546" s="10"/>
      <c r="C546" s="10"/>
      <c r="D546" s="15">
        <f>IF(C546="","",IFERROR(INDEX(Alimentos!$B$5:$B$104,MATCH(C546,Alimentos!$A$5:$A$104,0)),""))</f>
      </c>
      <c r="E546" s="21"/>
      <c r="F546" s="21"/>
      <c r="G546" s="17">
        <f>IF(OR(E546="",F546=""),"",E546-F546)</f>
      </c>
      <c r="H546" s="18">
        <f>IF(OR(G546="",E546="",E546=0),"",G546/E546)</f>
      </c>
      <c r="I546" s="19">
        <f>IF(OR(E546="",C546=""),"",IFERROR(E546*INDEX(Alimentos!$C$5:$C$104,MATCH(C546,Alimentos!$A$5:$A$104,0)),""))</f>
      </c>
      <c r="J546" s="10"/>
      <c r="K546" s="10"/>
      <c r="L546" s="10"/>
    </row>
    <row r="547" spans="1:12" x14ac:dyDescent="0.25">
      <c r="A547" s="20"/>
      <c r="B547" s="10"/>
      <c r="C547" s="10"/>
      <c r="D547" s="15">
        <f>IF(C547="","",IFERROR(INDEX(Alimentos!$B$5:$B$104,MATCH(C547,Alimentos!$A$5:$A$104,0)),""))</f>
      </c>
      <c r="E547" s="21"/>
      <c r="F547" s="21"/>
      <c r="G547" s="17">
        <f>IF(OR(E547="",F547=""),"",E547-F547)</f>
      </c>
      <c r="H547" s="18">
        <f>IF(OR(G547="",E547="",E547=0),"",G547/E547)</f>
      </c>
      <c r="I547" s="19">
        <f>IF(OR(E547="",C547=""),"",IFERROR(E547*INDEX(Alimentos!$C$5:$C$104,MATCH(C547,Alimentos!$A$5:$A$104,0)),""))</f>
      </c>
      <c r="J547" s="10"/>
      <c r="K547" s="10"/>
      <c r="L547" s="10"/>
    </row>
    <row r="548" spans="1:12" x14ac:dyDescent="0.25">
      <c r="A548" s="20"/>
      <c r="B548" s="10"/>
      <c r="C548" s="10"/>
      <c r="D548" s="15">
        <f>IF(C548="","",IFERROR(INDEX(Alimentos!$B$5:$B$104,MATCH(C548,Alimentos!$A$5:$A$104,0)),""))</f>
      </c>
      <c r="E548" s="21"/>
      <c r="F548" s="21"/>
      <c r="G548" s="17">
        <f>IF(OR(E548="",F548=""),"",E548-F548)</f>
      </c>
      <c r="H548" s="18">
        <f>IF(OR(G548="",E548="",E548=0),"",G548/E548)</f>
      </c>
      <c r="I548" s="19">
        <f>IF(OR(E548="",C548=""),"",IFERROR(E548*INDEX(Alimentos!$C$5:$C$104,MATCH(C548,Alimentos!$A$5:$A$104,0)),""))</f>
      </c>
      <c r="J548" s="10"/>
      <c r="K548" s="10"/>
      <c r="L548" s="10"/>
    </row>
    <row r="549" spans="1:12" x14ac:dyDescent="0.25">
      <c r="A549" s="20"/>
      <c r="B549" s="10"/>
      <c r="C549" s="10"/>
      <c r="D549" s="15">
        <f>IF(C549="","",IFERROR(INDEX(Alimentos!$B$5:$B$104,MATCH(C549,Alimentos!$A$5:$A$104,0)),""))</f>
      </c>
      <c r="E549" s="21"/>
      <c r="F549" s="21"/>
      <c r="G549" s="17">
        <f>IF(OR(E549="",F549=""),"",E549-F549)</f>
      </c>
      <c r="H549" s="18">
        <f>IF(OR(G549="",E549="",E549=0),"",G549/E549)</f>
      </c>
      <c r="I549" s="19">
        <f>IF(OR(E549="",C549=""),"",IFERROR(E549*INDEX(Alimentos!$C$5:$C$104,MATCH(C549,Alimentos!$A$5:$A$104,0)),""))</f>
      </c>
      <c r="J549" s="10"/>
      <c r="K549" s="10"/>
      <c r="L549" s="10"/>
    </row>
    <row r="550" spans="1:12" x14ac:dyDescent="0.25">
      <c r="A550" s="20"/>
      <c r="B550" s="10"/>
      <c r="C550" s="10"/>
      <c r="D550" s="15">
        <f>IF(C550="","",IFERROR(INDEX(Alimentos!$B$5:$B$104,MATCH(C550,Alimentos!$A$5:$A$104,0)),""))</f>
      </c>
      <c r="E550" s="21"/>
      <c r="F550" s="21"/>
      <c r="G550" s="17">
        <f>IF(OR(E550="",F550=""),"",E550-F550)</f>
      </c>
      <c r="H550" s="18">
        <f>IF(OR(G550="",E550="",E550=0),"",G550/E550)</f>
      </c>
      <c r="I550" s="19">
        <f>IF(OR(E550="",C550=""),"",IFERROR(E550*INDEX(Alimentos!$C$5:$C$104,MATCH(C550,Alimentos!$A$5:$A$104,0)),""))</f>
      </c>
      <c r="J550" s="10"/>
      <c r="K550" s="10"/>
      <c r="L550" s="10"/>
    </row>
    <row r="551" spans="1:12" x14ac:dyDescent="0.25">
      <c r="A551" s="20"/>
      <c r="B551" s="10"/>
      <c r="C551" s="10"/>
      <c r="D551" s="15">
        <f>IF(C551="","",IFERROR(INDEX(Alimentos!$B$5:$B$104,MATCH(C551,Alimentos!$A$5:$A$104,0)),""))</f>
      </c>
      <c r="E551" s="21"/>
      <c r="F551" s="21"/>
      <c r="G551" s="17">
        <f>IF(OR(E551="",F551=""),"",E551-F551)</f>
      </c>
      <c r="H551" s="18">
        <f>IF(OR(G551="",E551="",E551=0),"",G551/E551)</f>
      </c>
      <c r="I551" s="19">
        <f>IF(OR(E551="",C551=""),"",IFERROR(E551*INDEX(Alimentos!$C$5:$C$104,MATCH(C551,Alimentos!$A$5:$A$104,0)),""))</f>
      </c>
      <c r="J551" s="10"/>
      <c r="K551" s="10"/>
      <c r="L551" s="10"/>
    </row>
    <row r="552" spans="1:12" x14ac:dyDescent="0.25">
      <c r="A552" s="20"/>
      <c r="B552" s="10"/>
      <c r="C552" s="10"/>
      <c r="D552" s="15">
        <f>IF(C552="","",IFERROR(INDEX(Alimentos!$B$5:$B$104,MATCH(C552,Alimentos!$A$5:$A$104,0)),""))</f>
      </c>
      <c r="E552" s="21"/>
      <c r="F552" s="21"/>
      <c r="G552" s="17">
        <f>IF(OR(E552="",F552=""),"",E552-F552)</f>
      </c>
      <c r="H552" s="18">
        <f>IF(OR(G552="",E552="",E552=0),"",G552/E552)</f>
      </c>
      <c r="I552" s="19">
        <f>IF(OR(E552="",C552=""),"",IFERROR(E552*INDEX(Alimentos!$C$5:$C$104,MATCH(C552,Alimentos!$A$5:$A$104,0)),""))</f>
      </c>
      <c r="J552" s="10"/>
      <c r="K552" s="10"/>
      <c r="L552" s="10"/>
    </row>
    <row r="553" spans="1:12" x14ac:dyDescent="0.25">
      <c r="A553" s="20"/>
      <c r="B553" s="10"/>
      <c r="C553" s="10"/>
      <c r="D553" s="15">
        <f>IF(C553="","",IFERROR(INDEX(Alimentos!$B$5:$B$104,MATCH(C553,Alimentos!$A$5:$A$104,0)),""))</f>
      </c>
      <c r="E553" s="21"/>
      <c r="F553" s="21"/>
      <c r="G553" s="17">
        <f>IF(OR(E553="",F553=""),"",E553-F553)</f>
      </c>
      <c r="H553" s="18">
        <f>IF(OR(G553="",E553="",E553=0),"",G553/E553)</f>
      </c>
      <c r="I553" s="19">
        <f>IF(OR(E553="",C553=""),"",IFERROR(E553*INDEX(Alimentos!$C$5:$C$104,MATCH(C553,Alimentos!$A$5:$A$104,0)),""))</f>
      </c>
      <c r="J553" s="10"/>
      <c r="K553" s="10"/>
      <c r="L553" s="10"/>
    </row>
    <row r="554" spans="1:12" x14ac:dyDescent="0.25">
      <c r="A554" s="20"/>
      <c r="B554" s="10"/>
      <c r="C554" s="10"/>
      <c r="D554" s="15">
        <f>IF(C554="","",IFERROR(INDEX(Alimentos!$B$5:$B$104,MATCH(C554,Alimentos!$A$5:$A$104,0)),""))</f>
      </c>
      <c r="E554" s="21"/>
      <c r="F554" s="21"/>
      <c r="G554" s="17">
        <f>IF(OR(E554="",F554=""),"",E554-F554)</f>
      </c>
      <c r="H554" s="18">
        <f>IF(OR(G554="",E554="",E554=0),"",G554/E554)</f>
      </c>
      <c r="I554" s="19">
        <f>IF(OR(E554="",C554=""),"",IFERROR(E554*INDEX(Alimentos!$C$5:$C$104,MATCH(C554,Alimentos!$A$5:$A$104,0)),""))</f>
      </c>
      <c r="J554" s="10"/>
      <c r="K554" s="10"/>
      <c r="L554" s="10"/>
    </row>
    <row r="555" spans="1:12" x14ac:dyDescent="0.25">
      <c r="A555" s="20"/>
      <c r="B555" s="10"/>
      <c r="C555" s="10"/>
      <c r="D555" s="15">
        <f>IF(C555="","",IFERROR(INDEX(Alimentos!$B$5:$B$104,MATCH(C555,Alimentos!$A$5:$A$104,0)),""))</f>
      </c>
      <c r="E555" s="21"/>
      <c r="F555" s="21"/>
      <c r="G555" s="17">
        <f>IF(OR(E555="",F555=""),"",E555-F555)</f>
      </c>
      <c r="H555" s="18">
        <f>IF(OR(G555="",E555="",E555=0),"",G555/E555)</f>
      </c>
      <c r="I555" s="19">
        <f>IF(OR(E555="",C555=""),"",IFERROR(E555*INDEX(Alimentos!$C$5:$C$104,MATCH(C555,Alimentos!$A$5:$A$104,0)),""))</f>
      </c>
      <c r="J555" s="10"/>
      <c r="K555" s="10"/>
      <c r="L555" s="10"/>
    </row>
    <row r="556" spans="1:12" x14ac:dyDescent="0.25">
      <c r="A556" s="20"/>
      <c r="B556" s="10"/>
      <c r="C556" s="10"/>
      <c r="D556" s="15">
        <f>IF(C556="","",IFERROR(INDEX(Alimentos!$B$5:$B$104,MATCH(C556,Alimentos!$A$5:$A$104,0)),""))</f>
      </c>
      <c r="E556" s="21"/>
      <c r="F556" s="21"/>
      <c r="G556" s="17">
        <f>IF(OR(E556="",F556=""),"",E556-F556)</f>
      </c>
      <c r="H556" s="18">
        <f>IF(OR(G556="",E556="",E556=0),"",G556/E556)</f>
      </c>
      <c r="I556" s="19">
        <f>IF(OR(E556="",C556=""),"",IFERROR(E556*INDEX(Alimentos!$C$5:$C$104,MATCH(C556,Alimentos!$A$5:$A$104,0)),""))</f>
      </c>
      <c r="J556" s="10"/>
      <c r="K556" s="10"/>
      <c r="L556" s="10"/>
    </row>
    <row r="557" spans="1:12" x14ac:dyDescent="0.25">
      <c r="A557" s="20"/>
      <c r="B557" s="10"/>
      <c r="C557" s="10"/>
      <c r="D557" s="15">
        <f>IF(C557="","",IFERROR(INDEX(Alimentos!$B$5:$B$104,MATCH(C557,Alimentos!$A$5:$A$104,0)),""))</f>
      </c>
      <c r="E557" s="21"/>
      <c r="F557" s="21"/>
      <c r="G557" s="17">
        <f>IF(OR(E557="",F557=""),"",E557-F557)</f>
      </c>
      <c r="H557" s="18">
        <f>IF(OR(G557="",E557="",E557=0),"",G557/E557)</f>
      </c>
      <c r="I557" s="19">
        <f>IF(OR(E557="",C557=""),"",IFERROR(E557*INDEX(Alimentos!$C$5:$C$104,MATCH(C557,Alimentos!$A$5:$A$104,0)),""))</f>
      </c>
      <c r="J557" s="10"/>
      <c r="K557" s="10"/>
      <c r="L557" s="10"/>
    </row>
    <row r="558" spans="1:12" x14ac:dyDescent="0.25">
      <c r="A558" s="20"/>
      <c r="B558" s="10"/>
      <c r="C558" s="10"/>
      <c r="D558" s="15">
        <f>IF(C558="","",IFERROR(INDEX(Alimentos!$B$5:$B$104,MATCH(C558,Alimentos!$A$5:$A$104,0)),""))</f>
      </c>
      <c r="E558" s="21"/>
      <c r="F558" s="21"/>
      <c r="G558" s="17">
        <f>IF(OR(E558="",F558=""),"",E558-F558)</f>
      </c>
      <c r="H558" s="18">
        <f>IF(OR(G558="",E558="",E558=0),"",G558/E558)</f>
      </c>
      <c r="I558" s="19">
        <f>IF(OR(E558="",C558=""),"",IFERROR(E558*INDEX(Alimentos!$C$5:$C$104,MATCH(C558,Alimentos!$A$5:$A$104,0)),""))</f>
      </c>
      <c r="J558" s="10"/>
      <c r="K558" s="10"/>
      <c r="L558" s="10"/>
    </row>
    <row r="559" spans="1:12" x14ac:dyDescent="0.25">
      <c r="A559" s="20"/>
      <c r="B559" s="10"/>
      <c r="C559" s="10"/>
      <c r="D559" s="15">
        <f>IF(C559="","",IFERROR(INDEX(Alimentos!$B$5:$B$104,MATCH(C559,Alimentos!$A$5:$A$104,0)),""))</f>
      </c>
      <c r="E559" s="21"/>
      <c r="F559" s="21"/>
      <c r="G559" s="17">
        <f>IF(OR(E559="",F559=""),"",E559-F559)</f>
      </c>
      <c r="H559" s="18">
        <f>IF(OR(G559="",E559="",E559=0),"",G559/E559)</f>
      </c>
      <c r="I559" s="19">
        <f>IF(OR(E559="",C559=""),"",IFERROR(E559*INDEX(Alimentos!$C$5:$C$104,MATCH(C559,Alimentos!$A$5:$A$104,0)),""))</f>
      </c>
      <c r="J559" s="10"/>
      <c r="K559" s="10"/>
      <c r="L559" s="10"/>
    </row>
    <row r="560" spans="1:12" x14ac:dyDescent="0.25">
      <c r="A560" s="20"/>
      <c r="B560" s="10"/>
      <c r="C560" s="10"/>
      <c r="D560" s="15">
        <f>IF(C560="","",IFERROR(INDEX(Alimentos!$B$5:$B$104,MATCH(C560,Alimentos!$A$5:$A$104,0)),""))</f>
      </c>
      <c r="E560" s="21"/>
      <c r="F560" s="21"/>
      <c r="G560" s="17">
        <f>IF(OR(E560="",F560=""),"",E560-F560)</f>
      </c>
      <c r="H560" s="18">
        <f>IF(OR(G560="",E560="",E560=0),"",G560/E560)</f>
      </c>
      <c r="I560" s="19">
        <f>IF(OR(E560="",C560=""),"",IFERROR(E560*INDEX(Alimentos!$C$5:$C$104,MATCH(C560,Alimentos!$A$5:$A$104,0)),""))</f>
      </c>
      <c r="J560" s="10"/>
      <c r="K560" s="10"/>
      <c r="L560" s="10"/>
    </row>
    <row r="561" spans="1:12" x14ac:dyDescent="0.25">
      <c r="A561" s="20"/>
      <c r="B561" s="10"/>
      <c r="C561" s="10"/>
      <c r="D561" s="15">
        <f>IF(C561="","",IFERROR(INDEX(Alimentos!$B$5:$B$104,MATCH(C561,Alimentos!$A$5:$A$104,0)),""))</f>
      </c>
      <c r="E561" s="21"/>
      <c r="F561" s="21"/>
      <c r="G561" s="17">
        <f>IF(OR(E561="",F561=""),"",E561-F561)</f>
      </c>
      <c r="H561" s="18">
        <f>IF(OR(G561="",E561="",E561=0),"",G561/E561)</f>
      </c>
      <c r="I561" s="19">
        <f>IF(OR(E561="",C561=""),"",IFERROR(E561*INDEX(Alimentos!$C$5:$C$104,MATCH(C561,Alimentos!$A$5:$A$104,0)),""))</f>
      </c>
      <c r="J561" s="10"/>
      <c r="K561" s="10"/>
      <c r="L561" s="10"/>
    </row>
    <row r="562" spans="1:12" x14ac:dyDescent="0.25">
      <c r="A562" s="20"/>
      <c r="B562" s="10"/>
      <c r="C562" s="10"/>
      <c r="D562" s="15">
        <f>IF(C562="","",IFERROR(INDEX(Alimentos!$B$5:$B$104,MATCH(C562,Alimentos!$A$5:$A$104,0)),""))</f>
      </c>
      <c r="E562" s="21"/>
      <c r="F562" s="21"/>
      <c r="G562" s="17">
        <f>IF(OR(E562="",F562=""),"",E562-F562)</f>
      </c>
      <c r="H562" s="18">
        <f>IF(OR(G562="",E562="",E562=0),"",G562/E562)</f>
      </c>
      <c r="I562" s="19">
        <f>IF(OR(E562="",C562=""),"",IFERROR(E562*INDEX(Alimentos!$C$5:$C$104,MATCH(C562,Alimentos!$A$5:$A$104,0)),""))</f>
      </c>
      <c r="J562" s="10"/>
      <c r="K562" s="10"/>
      <c r="L562" s="10"/>
    </row>
    <row r="563" spans="1:12" x14ac:dyDescent="0.25">
      <c r="A563" s="20"/>
      <c r="B563" s="10"/>
      <c r="C563" s="10"/>
      <c r="D563" s="15">
        <f>IF(C563="","",IFERROR(INDEX(Alimentos!$B$5:$B$104,MATCH(C563,Alimentos!$A$5:$A$104,0)),""))</f>
      </c>
      <c r="E563" s="21"/>
      <c r="F563" s="21"/>
      <c r="G563" s="17">
        <f>IF(OR(E563="",F563=""),"",E563-F563)</f>
      </c>
      <c r="H563" s="18">
        <f>IF(OR(G563="",E563="",E563=0),"",G563/E563)</f>
      </c>
      <c r="I563" s="19">
        <f>IF(OR(E563="",C563=""),"",IFERROR(E563*INDEX(Alimentos!$C$5:$C$104,MATCH(C563,Alimentos!$A$5:$A$104,0)),""))</f>
      </c>
      <c r="J563" s="10"/>
      <c r="K563" s="10"/>
      <c r="L563" s="10"/>
    </row>
    <row r="564" spans="1:12" x14ac:dyDescent="0.25">
      <c r="A564" s="20"/>
      <c r="B564" s="10"/>
      <c r="C564" s="10"/>
      <c r="D564" s="15">
        <f>IF(C564="","",IFERROR(INDEX(Alimentos!$B$5:$B$104,MATCH(C564,Alimentos!$A$5:$A$104,0)),""))</f>
      </c>
      <c r="E564" s="21"/>
      <c r="F564" s="21"/>
      <c r="G564" s="17">
        <f>IF(OR(E564="",F564=""),"",E564-F564)</f>
      </c>
      <c r="H564" s="18">
        <f>IF(OR(G564="",E564="",E564=0),"",G564/E564)</f>
      </c>
      <c r="I564" s="19">
        <f>IF(OR(E564="",C564=""),"",IFERROR(E564*INDEX(Alimentos!$C$5:$C$104,MATCH(C564,Alimentos!$A$5:$A$104,0)),""))</f>
      </c>
      <c r="J564" s="10"/>
      <c r="K564" s="10"/>
      <c r="L564" s="10"/>
    </row>
    <row r="565" spans="1:12" x14ac:dyDescent="0.25">
      <c r="A565" s="20"/>
      <c r="B565" s="10"/>
      <c r="C565" s="10"/>
      <c r="D565" s="15">
        <f>IF(C565="","",IFERROR(INDEX(Alimentos!$B$5:$B$104,MATCH(C565,Alimentos!$A$5:$A$104,0)),""))</f>
      </c>
      <c r="E565" s="21"/>
      <c r="F565" s="21"/>
      <c r="G565" s="17">
        <f>IF(OR(E565="",F565=""),"",E565-F565)</f>
      </c>
      <c r="H565" s="18">
        <f>IF(OR(G565="",E565="",E565=0),"",G565/E565)</f>
      </c>
      <c r="I565" s="19">
        <f>IF(OR(E565="",C565=""),"",IFERROR(E565*INDEX(Alimentos!$C$5:$C$104,MATCH(C565,Alimentos!$A$5:$A$104,0)),""))</f>
      </c>
      <c r="J565" s="10"/>
      <c r="K565" s="10"/>
      <c r="L565" s="10"/>
    </row>
    <row r="566" spans="1:12" x14ac:dyDescent="0.25">
      <c r="A566" s="20"/>
      <c r="B566" s="10"/>
      <c r="C566" s="10"/>
      <c r="D566" s="15">
        <f>IF(C566="","",IFERROR(INDEX(Alimentos!$B$5:$B$104,MATCH(C566,Alimentos!$A$5:$A$104,0)),""))</f>
      </c>
      <c r="E566" s="21"/>
      <c r="F566" s="21"/>
      <c r="G566" s="17">
        <f>IF(OR(E566="",F566=""),"",E566-F566)</f>
      </c>
      <c r="H566" s="18">
        <f>IF(OR(G566="",E566="",E566=0),"",G566/E566)</f>
      </c>
      <c r="I566" s="19">
        <f>IF(OR(E566="",C566=""),"",IFERROR(E566*INDEX(Alimentos!$C$5:$C$104,MATCH(C566,Alimentos!$A$5:$A$104,0)),""))</f>
      </c>
      <c r="J566" s="10"/>
      <c r="K566" s="10"/>
      <c r="L566" s="10"/>
    </row>
    <row r="567" spans="1:12" x14ac:dyDescent="0.25">
      <c r="A567" s="20"/>
      <c r="B567" s="10"/>
      <c r="C567" s="10"/>
      <c r="D567" s="15">
        <f>IF(C567="","",IFERROR(INDEX(Alimentos!$B$5:$B$104,MATCH(C567,Alimentos!$A$5:$A$104,0)),""))</f>
      </c>
      <c r="E567" s="21"/>
      <c r="F567" s="21"/>
      <c r="G567" s="17">
        <f>IF(OR(E567="",F567=""),"",E567-F567)</f>
      </c>
      <c r="H567" s="18">
        <f>IF(OR(G567="",E567="",E567=0),"",G567/E567)</f>
      </c>
      <c r="I567" s="19">
        <f>IF(OR(E567="",C567=""),"",IFERROR(E567*INDEX(Alimentos!$C$5:$C$104,MATCH(C567,Alimentos!$A$5:$A$104,0)),""))</f>
      </c>
      <c r="J567" s="10"/>
      <c r="K567" s="10"/>
      <c r="L567" s="10"/>
    </row>
    <row r="568" spans="1:12" x14ac:dyDescent="0.25">
      <c r="A568" s="20"/>
      <c r="B568" s="10"/>
      <c r="C568" s="10"/>
      <c r="D568" s="15">
        <f>IF(C568="","",IFERROR(INDEX(Alimentos!$B$5:$B$104,MATCH(C568,Alimentos!$A$5:$A$104,0)),""))</f>
      </c>
      <c r="E568" s="21"/>
      <c r="F568" s="21"/>
      <c r="G568" s="17">
        <f>IF(OR(E568="",F568=""),"",E568-F568)</f>
      </c>
      <c r="H568" s="18">
        <f>IF(OR(G568="",E568="",E568=0),"",G568/E568)</f>
      </c>
      <c r="I568" s="19">
        <f>IF(OR(E568="",C568=""),"",IFERROR(E568*INDEX(Alimentos!$C$5:$C$104,MATCH(C568,Alimentos!$A$5:$A$104,0)),""))</f>
      </c>
      <c r="J568" s="10"/>
      <c r="K568" s="10"/>
      <c r="L568" s="10"/>
    </row>
    <row r="569" spans="1:12" x14ac:dyDescent="0.25">
      <c r="A569" s="20"/>
      <c r="B569" s="10"/>
      <c r="C569" s="10"/>
      <c r="D569" s="15">
        <f>IF(C569="","",IFERROR(INDEX(Alimentos!$B$5:$B$104,MATCH(C569,Alimentos!$A$5:$A$104,0)),""))</f>
      </c>
      <c r="E569" s="21"/>
      <c r="F569" s="21"/>
      <c r="G569" s="17">
        <f>IF(OR(E569="",F569=""),"",E569-F569)</f>
      </c>
      <c r="H569" s="18">
        <f>IF(OR(G569="",E569="",E569=0),"",G569/E569)</f>
      </c>
      <c r="I569" s="19">
        <f>IF(OR(E569="",C569=""),"",IFERROR(E569*INDEX(Alimentos!$C$5:$C$104,MATCH(C569,Alimentos!$A$5:$A$104,0)),""))</f>
      </c>
      <c r="J569" s="10"/>
      <c r="K569" s="10"/>
      <c r="L569" s="10"/>
    </row>
    <row r="570" spans="1:12" x14ac:dyDescent="0.25">
      <c r="A570" s="20"/>
      <c r="B570" s="10"/>
      <c r="C570" s="10"/>
      <c r="D570" s="15">
        <f>IF(C570="","",IFERROR(INDEX(Alimentos!$B$5:$B$104,MATCH(C570,Alimentos!$A$5:$A$104,0)),""))</f>
      </c>
      <c r="E570" s="21"/>
      <c r="F570" s="21"/>
      <c r="G570" s="17">
        <f>IF(OR(E570="",F570=""),"",E570-F570)</f>
      </c>
      <c r="H570" s="18">
        <f>IF(OR(G570="",E570="",E570=0),"",G570/E570)</f>
      </c>
      <c r="I570" s="19">
        <f>IF(OR(E570="",C570=""),"",IFERROR(E570*INDEX(Alimentos!$C$5:$C$104,MATCH(C570,Alimentos!$A$5:$A$104,0)),""))</f>
      </c>
      <c r="J570" s="10"/>
      <c r="K570" s="10"/>
      <c r="L570" s="10"/>
    </row>
    <row r="571" spans="1:12" x14ac:dyDescent="0.25">
      <c r="A571" s="20"/>
      <c r="B571" s="10"/>
      <c r="C571" s="10"/>
      <c r="D571" s="15">
        <f>IF(C571="","",IFERROR(INDEX(Alimentos!$B$5:$B$104,MATCH(C571,Alimentos!$A$5:$A$104,0)),""))</f>
      </c>
      <c r="E571" s="21"/>
      <c r="F571" s="21"/>
      <c r="G571" s="17">
        <f>IF(OR(E571="",F571=""),"",E571-F571)</f>
      </c>
      <c r="H571" s="18">
        <f>IF(OR(G571="",E571="",E571=0),"",G571/E571)</f>
      </c>
      <c r="I571" s="19">
        <f>IF(OR(E571="",C571=""),"",IFERROR(E571*INDEX(Alimentos!$C$5:$C$104,MATCH(C571,Alimentos!$A$5:$A$104,0)),""))</f>
      </c>
      <c r="J571" s="10"/>
      <c r="K571" s="10"/>
      <c r="L571" s="10"/>
    </row>
    <row r="572" spans="1:12" x14ac:dyDescent="0.25">
      <c r="A572" s="20"/>
      <c r="B572" s="10"/>
      <c r="C572" s="10"/>
      <c r="D572" s="15">
        <f>IF(C572="","",IFERROR(INDEX(Alimentos!$B$5:$B$104,MATCH(C572,Alimentos!$A$5:$A$104,0)),""))</f>
      </c>
      <c r="E572" s="21"/>
      <c r="F572" s="21"/>
      <c r="G572" s="17">
        <f>IF(OR(E572="",F572=""),"",E572-F572)</f>
      </c>
      <c r="H572" s="18">
        <f>IF(OR(G572="",E572="",E572=0),"",G572/E572)</f>
      </c>
      <c r="I572" s="19">
        <f>IF(OR(E572="",C572=""),"",IFERROR(E572*INDEX(Alimentos!$C$5:$C$104,MATCH(C572,Alimentos!$A$5:$A$104,0)),""))</f>
      </c>
      <c r="J572" s="10"/>
      <c r="K572" s="10"/>
      <c r="L572" s="10"/>
    </row>
    <row r="573" spans="1:12" x14ac:dyDescent="0.25">
      <c r="A573" s="20"/>
      <c r="B573" s="10"/>
      <c r="C573" s="10"/>
      <c r="D573" s="15">
        <f>IF(C573="","",IFERROR(INDEX(Alimentos!$B$5:$B$104,MATCH(C573,Alimentos!$A$5:$A$104,0)),""))</f>
      </c>
      <c r="E573" s="21"/>
      <c r="F573" s="21"/>
      <c r="G573" s="17">
        <f>IF(OR(E573="",F573=""),"",E573-F573)</f>
      </c>
      <c r="H573" s="18">
        <f>IF(OR(G573="",E573="",E573=0),"",G573/E573)</f>
      </c>
      <c r="I573" s="19">
        <f>IF(OR(E573="",C573=""),"",IFERROR(E573*INDEX(Alimentos!$C$5:$C$104,MATCH(C573,Alimentos!$A$5:$A$104,0)),""))</f>
      </c>
      <c r="J573" s="10"/>
      <c r="K573" s="10"/>
      <c r="L573" s="10"/>
    </row>
    <row r="574" spans="1:12" x14ac:dyDescent="0.25">
      <c r="A574" s="20"/>
      <c r="B574" s="10"/>
      <c r="C574" s="10"/>
      <c r="D574" s="15">
        <f>IF(C574="","",IFERROR(INDEX(Alimentos!$B$5:$B$104,MATCH(C574,Alimentos!$A$5:$A$104,0)),""))</f>
      </c>
      <c r="E574" s="21"/>
      <c r="F574" s="21"/>
      <c r="G574" s="17">
        <f>IF(OR(E574="",F574=""),"",E574-F574)</f>
      </c>
      <c r="H574" s="18">
        <f>IF(OR(G574="",E574="",E574=0),"",G574/E574)</f>
      </c>
      <c r="I574" s="19">
        <f>IF(OR(E574="",C574=""),"",IFERROR(E574*INDEX(Alimentos!$C$5:$C$104,MATCH(C574,Alimentos!$A$5:$A$104,0)),""))</f>
      </c>
      <c r="J574" s="10"/>
      <c r="K574" s="10"/>
      <c r="L574" s="10"/>
    </row>
    <row r="575" spans="1:12" x14ac:dyDescent="0.25">
      <c r="A575" s="20"/>
      <c r="B575" s="10"/>
      <c r="C575" s="10"/>
      <c r="D575" s="15">
        <f>IF(C575="","",IFERROR(INDEX(Alimentos!$B$5:$B$104,MATCH(C575,Alimentos!$A$5:$A$104,0)),""))</f>
      </c>
      <c r="E575" s="21"/>
      <c r="F575" s="21"/>
      <c r="G575" s="17">
        <f>IF(OR(E575="",F575=""),"",E575-F575)</f>
      </c>
      <c r="H575" s="18">
        <f>IF(OR(G575="",E575="",E575=0),"",G575/E575)</f>
      </c>
      <c r="I575" s="19">
        <f>IF(OR(E575="",C575=""),"",IFERROR(E575*INDEX(Alimentos!$C$5:$C$104,MATCH(C575,Alimentos!$A$5:$A$104,0)),""))</f>
      </c>
      <c r="J575" s="10"/>
      <c r="K575" s="10"/>
      <c r="L575" s="10"/>
    </row>
    <row r="576" spans="1:12" x14ac:dyDescent="0.25">
      <c r="A576" s="20"/>
      <c r="B576" s="10"/>
      <c r="C576" s="10"/>
      <c r="D576" s="15">
        <f>IF(C576="","",IFERROR(INDEX(Alimentos!$B$5:$B$104,MATCH(C576,Alimentos!$A$5:$A$104,0)),""))</f>
      </c>
      <c r="E576" s="21"/>
      <c r="F576" s="21"/>
      <c r="G576" s="17">
        <f>IF(OR(E576="",F576=""),"",E576-F576)</f>
      </c>
      <c r="H576" s="18">
        <f>IF(OR(G576="",E576="",E576=0),"",G576/E576)</f>
      </c>
      <c r="I576" s="19">
        <f>IF(OR(E576="",C576=""),"",IFERROR(E576*INDEX(Alimentos!$C$5:$C$104,MATCH(C576,Alimentos!$A$5:$A$104,0)),""))</f>
      </c>
      <c r="J576" s="10"/>
      <c r="K576" s="10"/>
      <c r="L576" s="10"/>
    </row>
    <row r="577" spans="1:12" x14ac:dyDescent="0.25">
      <c r="A577" s="20"/>
      <c r="B577" s="10"/>
      <c r="C577" s="10"/>
      <c r="D577" s="15">
        <f>IF(C577="","",IFERROR(INDEX(Alimentos!$B$5:$B$104,MATCH(C577,Alimentos!$A$5:$A$104,0)),""))</f>
      </c>
      <c r="E577" s="21"/>
      <c r="F577" s="21"/>
      <c r="G577" s="17">
        <f>IF(OR(E577="",F577=""),"",E577-F577)</f>
      </c>
      <c r="H577" s="18">
        <f>IF(OR(G577="",E577="",E577=0),"",G577/E577)</f>
      </c>
      <c r="I577" s="19">
        <f>IF(OR(E577="",C577=""),"",IFERROR(E577*INDEX(Alimentos!$C$5:$C$104,MATCH(C577,Alimentos!$A$5:$A$104,0)),""))</f>
      </c>
      <c r="J577" s="10"/>
      <c r="K577" s="10"/>
      <c r="L577" s="10"/>
    </row>
    <row r="578" spans="1:12" x14ac:dyDescent="0.25">
      <c r="A578" s="20"/>
      <c r="B578" s="10"/>
      <c r="C578" s="10"/>
      <c r="D578" s="15">
        <f>IF(C578="","",IFERROR(INDEX(Alimentos!$B$5:$B$104,MATCH(C578,Alimentos!$A$5:$A$104,0)),""))</f>
      </c>
      <c r="E578" s="21"/>
      <c r="F578" s="21"/>
      <c r="G578" s="17">
        <f>IF(OR(E578="",F578=""),"",E578-F578)</f>
      </c>
      <c r="H578" s="18">
        <f>IF(OR(G578="",E578="",E578=0),"",G578/E578)</f>
      </c>
      <c r="I578" s="19">
        <f>IF(OR(E578="",C578=""),"",IFERROR(E578*INDEX(Alimentos!$C$5:$C$104,MATCH(C578,Alimentos!$A$5:$A$104,0)),""))</f>
      </c>
      <c r="J578" s="10"/>
      <c r="K578" s="10"/>
      <c r="L578" s="10"/>
    </row>
    <row r="579" spans="1:12" x14ac:dyDescent="0.25">
      <c r="A579" s="20"/>
      <c r="B579" s="10"/>
      <c r="C579" s="10"/>
      <c r="D579" s="15">
        <f>IF(C579="","",IFERROR(INDEX(Alimentos!$B$5:$B$104,MATCH(C579,Alimentos!$A$5:$A$104,0)),""))</f>
      </c>
      <c r="E579" s="21"/>
      <c r="F579" s="21"/>
      <c r="G579" s="17">
        <f>IF(OR(E579="",F579=""),"",E579-F579)</f>
      </c>
      <c r="H579" s="18">
        <f>IF(OR(G579="",E579="",E579=0),"",G579/E579)</f>
      </c>
      <c r="I579" s="19">
        <f>IF(OR(E579="",C579=""),"",IFERROR(E579*INDEX(Alimentos!$C$5:$C$104,MATCH(C579,Alimentos!$A$5:$A$104,0)),""))</f>
      </c>
      <c r="J579" s="10"/>
      <c r="K579" s="10"/>
      <c r="L579" s="10"/>
    </row>
    <row r="580" spans="1:12" x14ac:dyDescent="0.25">
      <c r="A580" s="20"/>
      <c r="B580" s="10"/>
      <c r="C580" s="10"/>
      <c r="D580" s="15">
        <f>IF(C580="","",IFERROR(INDEX(Alimentos!$B$5:$B$104,MATCH(C580,Alimentos!$A$5:$A$104,0)),""))</f>
      </c>
      <c r="E580" s="21"/>
      <c r="F580" s="21"/>
      <c r="G580" s="17">
        <f>IF(OR(E580="",F580=""),"",E580-F580)</f>
      </c>
      <c r="H580" s="18">
        <f>IF(OR(G580="",E580="",E580=0),"",G580/E580)</f>
      </c>
      <c r="I580" s="19">
        <f>IF(OR(E580="",C580=""),"",IFERROR(E580*INDEX(Alimentos!$C$5:$C$104,MATCH(C580,Alimentos!$A$5:$A$104,0)),""))</f>
      </c>
      <c r="J580" s="10"/>
      <c r="K580" s="10"/>
      <c r="L580" s="10"/>
    </row>
    <row r="581" spans="1:12" x14ac:dyDescent="0.25">
      <c r="A581" s="20"/>
      <c r="B581" s="10"/>
      <c r="C581" s="10"/>
      <c r="D581" s="15">
        <f>IF(C581="","",IFERROR(INDEX(Alimentos!$B$5:$B$104,MATCH(C581,Alimentos!$A$5:$A$104,0)),""))</f>
      </c>
      <c r="E581" s="21"/>
      <c r="F581" s="21"/>
      <c r="G581" s="17">
        <f>IF(OR(E581="",F581=""),"",E581-F581)</f>
      </c>
      <c r="H581" s="18">
        <f>IF(OR(G581="",E581="",E581=0),"",G581/E581)</f>
      </c>
      <c r="I581" s="19">
        <f>IF(OR(E581="",C581=""),"",IFERROR(E581*INDEX(Alimentos!$C$5:$C$104,MATCH(C581,Alimentos!$A$5:$A$104,0)),""))</f>
      </c>
      <c r="J581" s="10"/>
      <c r="K581" s="10"/>
      <c r="L581" s="10"/>
    </row>
    <row r="582" spans="1:12" x14ac:dyDescent="0.25">
      <c r="A582" s="20"/>
      <c r="B582" s="10"/>
      <c r="C582" s="10"/>
      <c r="D582" s="15">
        <f>IF(C582="","",IFERROR(INDEX(Alimentos!$B$5:$B$104,MATCH(C582,Alimentos!$A$5:$A$104,0)),""))</f>
      </c>
      <c r="E582" s="21"/>
      <c r="F582" s="21"/>
      <c r="G582" s="17">
        <f>IF(OR(E582="",F582=""),"",E582-F582)</f>
      </c>
      <c r="H582" s="18">
        <f>IF(OR(G582="",E582="",E582=0),"",G582/E582)</f>
      </c>
      <c r="I582" s="19">
        <f>IF(OR(E582="",C582=""),"",IFERROR(E582*INDEX(Alimentos!$C$5:$C$104,MATCH(C582,Alimentos!$A$5:$A$104,0)),""))</f>
      </c>
      <c r="J582" s="10"/>
      <c r="K582" s="10"/>
      <c r="L582" s="10"/>
    </row>
    <row r="583" spans="1:12" x14ac:dyDescent="0.25">
      <c r="A583" s="20"/>
      <c r="B583" s="10"/>
      <c r="C583" s="10"/>
      <c r="D583" s="15">
        <f>IF(C583="","",IFERROR(INDEX(Alimentos!$B$5:$B$104,MATCH(C583,Alimentos!$A$5:$A$104,0)),""))</f>
      </c>
      <c r="E583" s="21"/>
      <c r="F583" s="21"/>
      <c r="G583" s="17">
        <f>IF(OR(E583="",F583=""),"",E583-F583)</f>
      </c>
      <c r="H583" s="18">
        <f>IF(OR(G583="",E583="",E583=0),"",G583/E583)</f>
      </c>
      <c r="I583" s="19">
        <f>IF(OR(E583="",C583=""),"",IFERROR(E583*INDEX(Alimentos!$C$5:$C$104,MATCH(C583,Alimentos!$A$5:$A$104,0)),""))</f>
      </c>
      <c r="J583" s="10"/>
      <c r="K583" s="10"/>
      <c r="L583" s="10"/>
    </row>
    <row r="584" spans="1:12" x14ac:dyDescent="0.25">
      <c r="A584" s="20"/>
      <c r="B584" s="10"/>
      <c r="C584" s="10"/>
      <c r="D584" s="15">
        <f>IF(C584="","",IFERROR(INDEX(Alimentos!$B$5:$B$104,MATCH(C584,Alimentos!$A$5:$A$104,0)),""))</f>
      </c>
      <c r="E584" s="21"/>
      <c r="F584" s="21"/>
      <c r="G584" s="17">
        <f>IF(OR(E584="",F584=""),"",E584-F584)</f>
      </c>
      <c r="H584" s="18">
        <f>IF(OR(G584="",E584="",E584=0),"",G584/E584)</f>
      </c>
      <c r="I584" s="19">
        <f>IF(OR(E584="",C584=""),"",IFERROR(E584*INDEX(Alimentos!$C$5:$C$104,MATCH(C584,Alimentos!$A$5:$A$104,0)),""))</f>
      </c>
      <c r="J584" s="10"/>
      <c r="K584" s="10"/>
      <c r="L584" s="10"/>
    </row>
    <row r="585" spans="1:12" x14ac:dyDescent="0.25">
      <c r="A585" s="20"/>
      <c r="B585" s="10"/>
      <c r="C585" s="10"/>
      <c r="D585" s="15">
        <f>IF(C585="","",IFERROR(INDEX(Alimentos!$B$5:$B$104,MATCH(C585,Alimentos!$A$5:$A$104,0)),""))</f>
      </c>
      <c r="E585" s="21"/>
      <c r="F585" s="21"/>
      <c r="G585" s="17">
        <f>IF(OR(E585="",F585=""),"",E585-F585)</f>
      </c>
      <c r="H585" s="18">
        <f>IF(OR(G585="",E585="",E585=0),"",G585/E585)</f>
      </c>
      <c r="I585" s="19">
        <f>IF(OR(E585="",C585=""),"",IFERROR(E585*INDEX(Alimentos!$C$5:$C$104,MATCH(C585,Alimentos!$A$5:$A$104,0)),""))</f>
      </c>
      <c r="J585" s="10"/>
      <c r="K585" s="10"/>
      <c r="L585" s="10"/>
    </row>
    <row r="586" spans="1:12" x14ac:dyDescent="0.25">
      <c r="A586" s="20"/>
      <c r="B586" s="10"/>
      <c r="C586" s="10"/>
      <c r="D586" s="15">
        <f>IF(C586="","",IFERROR(INDEX(Alimentos!$B$5:$B$104,MATCH(C586,Alimentos!$A$5:$A$104,0)),""))</f>
      </c>
      <c r="E586" s="21"/>
      <c r="F586" s="21"/>
      <c r="G586" s="17">
        <f>IF(OR(E586="",F586=""),"",E586-F586)</f>
      </c>
      <c r="H586" s="18">
        <f>IF(OR(G586="",E586="",E586=0),"",G586/E586)</f>
      </c>
      <c r="I586" s="19">
        <f>IF(OR(E586="",C586=""),"",IFERROR(E586*INDEX(Alimentos!$C$5:$C$104,MATCH(C586,Alimentos!$A$5:$A$104,0)),""))</f>
      </c>
      <c r="J586" s="10"/>
      <c r="K586" s="10"/>
      <c r="L586" s="10"/>
    </row>
    <row r="587" spans="1:12" x14ac:dyDescent="0.25">
      <c r="A587" s="20"/>
      <c r="B587" s="10"/>
      <c r="C587" s="10"/>
      <c r="D587" s="15">
        <f>IF(C587="","",IFERROR(INDEX(Alimentos!$B$5:$B$104,MATCH(C587,Alimentos!$A$5:$A$104,0)),""))</f>
      </c>
      <c r="E587" s="21"/>
      <c r="F587" s="21"/>
      <c r="G587" s="17">
        <f>IF(OR(E587="",F587=""),"",E587-F587)</f>
      </c>
      <c r="H587" s="18">
        <f>IF(OR(G587="",E587="",E587=0),"",G587/E587)</f>
      </c>
      <c r="I587" s="19">
        <f>IF(OR(E587="",C587=""),"",IFERROR(E587*INDEX(Alimentos!$C$5:$C$104,MATCH(C587,Alimentos!$A$5:$A$104,0)),""))</f>
      </c>
      <c r="J587" s="10"/>
      <c r="K587" s="10"/>
      <c r="L587" s="10"/>
    </row>
    <row r="588" spans="1:12" x14ac:dyDescent="0.25">
      <c r="A588" s="20"/>
      <c r="B588" s="10"/>
      <c r="C588" s="10"/>
      <c r="D588" s="15">
        <f>IF(C588="","",IFERROR(INDEX(Alimentos!$B$5:$B$104,MATCH(C588,Alimentos!$A$5:$A$104,0)),""))</f>
      </c>
      <c r="E588" s="21"/>
      <c r="F588" s="21"/>
      <c r="G588" s="17">
        <f>IF(OR(E588="",F588=""),"",E588-F588)</f>
      </c>
      <c r="H588" s="18">
        <f>IF(OR(G588="",E588="",E588=0),"",G588/E588)</f>
      </c>
      <c r="I588" s="19">
        <f>IF(OR(E588="",C588=""),"",IFERROR(E588*INDEX(Alimentos!$C$5:$C$104,MATCH(C588,Alimentos!$A$5:$A$104,0)),""))</f>
      </c>
      <c r="J588" s="10"/>
      <c r="K588" s="10"/>
      <c r="L588" s="10"/>
    </row>
    <row r="589" spans="1:12" x14ac:dyDescent="0.25">
      <c r="A589" s="20"/>
      <c r="B589" s="10"/>
      <c r="C589" s="10"/>
      <c r="D589" s="15">
        <f>IF(C589="","",IFERROR(INDEX(Alimentos!$B$5:$B$104,MATCH(C589,Alimentos!$A$5:$A$104,0)),""))</f>
      </c>
      <c r="E589" s="21"/>
      <c r="F589" s="21"/>
      <c r="G589" s="17">
        <f>IF(OR(E589="",F589=""),"",E589-F589)</f>
      </c>
      <c r="H589" s="18">
        <f>IF(OR(G589="",E589="",E589=0),"",G589/E589)</f>
      </c>
      <c r="I589" s="19">
        <f>IF(OR(E589="",C589=""),"",IFERROR(E589*INDEX(Alimentos!$C$5:$C$104,MATCH(C589,Alimentos!$A$5:$A$104,0)),""))</f>
      </c>
      <c r="J589" s="10"/>
      <c r="K589" s="10"/>
      <c r="L589" s="10"/>
    </row>
    <row r="590" spans="1:12" x14ac:dyDescent="0.25">
      <c r="A590" s="20"/>
      <c r="B590" s="10"/>
      <c r="C590" s="10"/>
      <c r="D590" s="15">
        <f>IF(C590="","",IFERROR(INDEX(Alimentos!$B$5:$B$104,MATCH(C590,Alimentos!$A$5:$A$104,0)),""))</f>
      </c>
      <c r="E590" s="21"/>
      <c r="F590" s="21"/>
      <c r="G590" s="17">
        <f>IF(OR(E590="",F590=""),"",E590-F590)</f>
      </c>
      <c r="H590" s="18">
        <f>IF(OR(G590="",E590="",E590=0),"",G590/E590)</f>
      </c>
      <c r="I590" s="19">
        <f>IF(OR(E590="",C590=""),"",IFERROR(E590*INDEX(Alimentos!$C$5:$C$104,MATCH(C590,Alimentos!$A$5:$A$104,0)),""))</f>
      </c>
      <c r="J590" s="10"/>
      <c r="K590" s="10"/>
      <c r="L590" s="10"/>
    </row>
    <row r="591" spans="1:12" x14ac:dyDescent="0.25">
      <c r="A591" s="20"/>
      <c r="B591" s="10"/>
      <c r="C591" s="10"/>
      <c r="D591" s="15">
        <f>IF(C591="","",IFERROR(INDEX(Alimentos!$B$5:$B$104,MATCH(C591,Alimentos!$A$5:$A$104,0)),""))</f>
      </c>
      <c r="E591" s="21"/>
      <c r="F591" s="21"/>
      <c r="G591" s="17">
        <f>IF(OR(E591="",F591=""),"",E591-F591)</f>
      </c>
      <c r="H591" s="18">
        <f>IF(OR(G591="",E591="",E591=0),"",G591/E591)</f>
      </c>
      <c r="I591" s="19">
        <f>IF(OR(E591="",C591=""),"",IFERROR(E591*INDEX(Alimentos!$C$5:$C$104,MATCH(C591,Alimentos!$A$5:$A$104,0)),""))</f>
      </c>
      <c r="J591" s="10"/>
      <c r="K591" s="10"/>
      <c r="L591" s="10"/>
    </row>
    <row r="592" spans="1:12" x14ac:dyDescent="0.25">
      <c r="A592" s="20"/>
      <c r="B592" s="10"/>
      <c r="C592" s="10"/>
      <c r="D592" s="15">
        <f>IF(C592="","",IFERROR(INDEX(Alimentos!$B$5:$B$104,MATCH(C592,Alimentos!$A$5:$A$104,0)),""))</f>
      </c>
      <c r="E592" s="21"/>
      <c r="F592" s="21"/>
      <c r="G592" s="17">
        <f>IF(OR(E592="",F592=""),"",E592-F592)</f>
      </c>
      <c r="H592" s="18">
        <f>IF(OR(G592="",E592="",E592=0),"",G592/E592)</f>
      </c>
      <c r="I592" s="19">
        <f>IF(OR(E592="",C592=""),"",IFERROR(E592*INDEX(Alimentos!$C$5:$C$104,MATCH(C592,Alimentos!$A$5:$A$104,0)),""))</f>
      </c>
      <c r="J592" s="10"/>
      <c r="K592" s="10"/>
      <c r="L592" s="10"/>
    </row>
    <row r="593" spans="1:12" x14ac:dyDescent="0.25">
      <c r="A593" s="20"/>
      <c r="B593" s="10"/>
      <c r="C593" s="10"/>
      <c r="D593" s="15">
        <f>IF(C593="","",IFERROR(INDEX(Alimentos!$B$5:$B$104,MATCH(C593,Alimentos!$A$5:$A$104,0)),""))</f>
      </c>
      <c r="E593" s="21"/>
      <c r="F593" s="21"/>
      <c r="G593" s="17">
        <f>IF(OR(E593="",F593=""),"",E593-F593)</f>
      </c>
      <c r="H593" s="18">
        <f>IF(OR(G593="",E593="",E593=0),"",G593/E593)</f>
      </c>
      <c r="I593" s="19">
        <f>IF(OR(E593="",C593=""),"",IFERROR(E593*INDEX(Alimentos!$C$5:$C$104,MATCH(C593,Alimentos!$A$5:$A$104,0)),""))</f>
      </c>
      <c r="J593" s="10"/>
      <c r="K593" s="10"/>
      <c r="L593" s="10"/>
    </row>
    <row r="594" spans="1:12" x14ac:dyDescent="0.25">
      <c r="A594" s="20"/>
      <c r="B594" s="10"/>
      <c r="C594" s="10"/>
      <c r="D594" s="15">
        <f>IF(C594="","",IFERROR(INDEX(Alimentos!$B$5:$B$104,MATCH(C594,Alimentos!$A$5:$A$104,0)),""))</f>
      </c>
      <c r="E594" s="21"/>
      <c r="F594" s="21"/>
      <c r="G594" s="17">
        <f>IF(OR(E594="",F594=""),"",E594-F594)</f>
      </c>
      <c r="H594" s="18">
        <f>IF(OR(G594="",E594="",E594=0),"",G594/E594)</f>
      </c>
      <c r="I594" s="19">
        <f>IF(OR(E594="",C594=""),"",IFERROR(E594*INDEX(Alimentos!$C$5:$C$104,MATCH(C594,Alimentos!$A$5:$A$104,0)),""))</f>
      </c>
      <c r="J594" s="10"/>
      <c r="K594" s="10"/>
      <c r="L594" s="10"/>
    </row>
    <row r="595" spans="1:12" x14ac:dyDescent="0.25">
      <c r="A595" s="20"/>
      <c r="B595" s="10"/>
      <c r="C595" s="10"/>
      <c r="D595" s="15">
        <f>IF(C595="","",IFERROR(INDEX(Alimentos!$B$5:$B$104,MATCH(C595,Alimentos!$A$5:$A$104,0)),""))</f>
      </c>
      <c r="E595" s="21"/>
      <c r="F595" s="21"/>
      <c r="G595" s="17">
        <f>IF(OR(E595="",F595=""),"",E595-F595)</f>
      </c>
      <c r="H595" s="18">
        <f>IF(OR(G595="",E595="",E595=0),"",G595/E595)</f>
      </c>
      <c r="I595" s="19">
        <f>IF(OR(E595="",C595=""),"",IFERROR(E595*INDEX(Alimentos!$C$5:$C$104,MATCH(C595,Alimentos!$A$5:$A$104,0)),""))</f>
      </c>
      <c r="J595" s="10"/>
      <c r="K595" s="10"/>
      <c r="L595" s="10"/>
    </row>
    <row r="596" spans="1:12" x14ac:dyDescent="0.25">
      <c r="A596" s="20"/>
      <c r="B596" s="10"/>
      <c r="C596" s="10"/>
      <c r="D596" s="15">
        <f>IF(C596="","",IFERROR(INDEX(Alimentos!$B$5:$B$104,MATCH(C596,Alimentos!$A$5:$A$104,0)),""))</f>
      </c>
      <c r="E596" s="21"/>
      <c r="F596" s="21"/>
      <c r="G596" s="17">
        <f>IF(OR(E596="",F596=""),"",E596-F596)</f>
      </c>
      <c r="H596" s="18">
        <f>IF(OR(G596="",E596="",E596=0),"",G596/E596)</f>
      </c>
      <c r="I596" s="19">
        <f>IF(OR(E596="",C596=""),"",IFERROR(E596*INDEX(Alimentos!$C$5:$C$104,MATCH(C596,Alimentos!$A$5:$A$104,0)),""))</f>
      </c>
      <c r="J596" s="10"/>
      <c r="K596" s="10"/>
      <c r="L596" s="10"/>
    </row>
    <row r="597" spans="1:12" x14ac:dyDescent="0.25">
      <c r="A597" s="20"/>
      <c r="B597" s="10"/>
      <c r="C597" s="10"/>
      <c r="D597" s="15">
        <f>IF(C597="","",IFERROR(INDEX(Alimentos!$B$5:$B$104,MATCH(C597,Alimentos!$A$5:$A$104,0)),""))</f>
      </c>
      <c r="E597" s="21"/>
      <c r="F597" s="21"/>
      <c r="G597" s="17">
        <f>IF(OR(E597="",F597=""),"",E597-F597)</f>
      </c>
      <c r="H597" s="18">
        <f>IF(OR(G597="",E597="",E597=0),"",G597/E597)</f>
      </c>
      <c r="I597" s="19">
        <f>IF(OR(E597="",C597=""),"",IFERROR(E597*INDEX(Alimentos!$C$5:$C$104,MATCH(C597,Alimentos!$A$5:$A$104,0)),""))</f>
      </c>
      <c r="J597" s="10"/>
      <c r="K597" s="10"/>
      <c r="L597" s="10"/>
    </row>
    <row r="598" spans="1:12" x14ac:dyDescent="0.25">
      <c r="A598" s="20"/>
      <c r="B598" s="10"/>
      <c r="C598" s="10"/>
      <c r="D598" s="15">
        <f>IF(C598="","",IFERROR(INDEX(Alimentos!$B$5:$B$104,MATCH(C598,Alimentos!$A$5:$A$104,0)),""))</f>
      </c>
      <c r="E598" s="21"/>
      <c r="F598" s="21"/>
      <c r="G598" s="17">
        <f>IF(OR(E598="",F598=""),"",E598-F598)</f>
      </c>
      <c r="H598" s="18">
        <f>IF(OR(G598="",E598="",E598=0),"",G598/E598)</f>
      </c>
      <c r="I598" s="19">
        <f>IF(OR(E598="",C598=""),"",IFERROR(E598*INDEX(Alimentos!$C$5:$C$104,MATCH(C598,Alimentos!$A$5:$A$104,0)),""))</f>
      </c>
      <c r="J598" s="10"/>
      <c r="K598" s="10"/>
      <c r="L598" s="10"/>
    </row>
    <row r="599" spans="1:12" x14ac:dyDescent="0.25">
      <c r="A599" s="20"/>
      <c r="B599" s="10"/>
      <c r="C599" s="10"/>
      <c r="D599" s="15">
        <f>IF(C599="","",IFERROR(INDEX(Alimentos!$B$5:$B$104,MATCH(C599,Alimentos!$A$5:$A$104,0)),""))</f>
      </c>
      <c r="E599" s="21"/>
      <c r="F599" s="21"/>
      <c r="G599" s="17">
        <f>IF(OR(E599="",F599=""),"",E599-F599)</f>
      </c>
      <c r="H599" s="18">
        <f>IF(OR(G599="",E599="",E599=0),"",G599/E599)</f>
      </c>
      <c r="I599" s="19">
        <f>IF(OR(E599="",C599=""),"",IFERROR(E599*INDEX(Alimentos!$C$5:$C$104,MATCH(C599,Alimentos!$A$5:$A$104,0)),""))</f>
      </c>
      <c r="J599" s="10"/>
      <c r="K599" s="10"/>
      <c r="L599" s="10"/>
    </row>
    <row r="600" spans="1:12" x14ac:dyDescent="0.25">
      <c r="A600" s="20"/>
      <c r="B600" s="10"/>
      <c r="C600" s="10"/>
      <c r="D600" s="15">
        <f>IF(C600="","",IFERROR(INDEX(Alimentos!$B$5:$B$104,MATCH(C600,Alimentos!$A$5:$A$104,0)),""))</f>
      </c>
      <c r="E600" s="21"/>
      <c r="F600" s="21"/>
      <c r="G600" s="17">
        <f>IF(OR(E600="",F600=""),"",E600-F600)</f>
      </c>
      <c r="H600" s="18">
        <f>IF(OR(G600="",E600="",E600=0),"",G600/E600)</f>
      </c>
      <c r="I600" s="19">
        <f>IF(OR(E600="",C600=""),"",IFERROR(E600*INDEX(Alimentos!$C$5:$C$104,MATCH(C600,Alimentos!$A$5:$A$104,0)),""))</f>
      </c>
      <c r="J600" s="10"/>
      <c r="K600" s="10"/>
      <c r="L600" s="10"/>
    </row>
    <row r="601" spans="1:12" x14ac:dyDescent="0.25">
      <c r="A601" s="20"/>
      <c r="B601" s="10"/>
      <c r="C601" s="10"/>
      <c r="D601" s="15">
        <f>IF(C601="","",IFERROR(INDEX(Alimentos!$B$5:$B$104,MATCH(C601,Alimentos!$A$5:$A$104,0)),""))</f>
      </c>
      <c r="E601" s="21"/>
      <c r="F601" s="21"/>
      <c r="G601" s="17">
        <f>IF(OR(E601="",F601=""),"",E601-F601)</f>
      </c>
      <c r="H601" s="18">
        <f>IF(OR(G601="",E601="",E601=0),"",G601/E601)</f>
      </c>
      <c r="I601" s="19">
        <f>IF(OR(E601="",C601=""),"",IFERROR(E601*INDEX(Alimentos!$C$5:$C$104,MATCH(C601,Alimentos!$A$5:$A$104,0)),""))</f>
      </c>
      <c r="J601" s="10"/>
      <c r="K601" s="10"/>
      <c r="L601" s="10"/>
    </row>
    <row r="602" spans="1:12" x14ac:dyDescent="0.25">
      <c r="A602" s="20"/>
      <c r="B602" s="10"/>
      <c r="C602" s="10"/>
      <c r="D602" s="15">
        <f>IF(C602="","",IFERROR(INDEX(Alimentos!$B$5:$B$104,MATCH(C602,Alimentos!$A$5:$A$104,0)),""))</f>
      </c>
      <c r="E602" s="21"/>
      <c r="F602" s="21"/>
      <c r="G602" s="17">
        <f>IF(OR(E602="",F602=""),"",E602-F602)</f>
      </c>
      <c r="H602" s="18">
        <f>IF(OR(G602="",E602="",E602=0),"",G602/E602)</f>
      </c>
      <c r="I602" s="19">
        <f>IF(OR(E602="",C602=""),"",IFERROR(E602*INDEX(Alimentos!$C$5:$C$104,MATCH(C602,Alimentos!$A$5:$A$104,0)),""))</f>
      </c>
      <c r="J602" s="10"/>
      <c r="K602" s="10"/>
      <c r="L602" s="10"/>
    </row>
    <row r="603" spans="1:12" x14ac:dyDescent="0.25">
      <c r="A603" s="20"/>
      <c r="B603" s="10"/>
      <c r="C603" s="10"/>
      <c r="D603" s="15">
        <f>IF(C603="","",IFERROR(INDEX(Alimentos!$B$5:$B$104,MATCH(C603,Alimentos!$A$5:$A$104,0)),""))</f>
      </c>
      <c r="E603" s="21"/>
      <c r="F603" s="21"/>
      <c r="G603" s="17">
        <f>IF(OR(E603="",F603=""),"",E603-F603)</f>
      </c>
      <c r="H603" s="18">
        <f>IF(OR(G603="",E603="",E603=0),"",G603/E603)</f>
      </c>
      <c r="I603" s="19">
        <f>IF(OR(E603="",C603=""),"",IFERROR(E603*INDEX(Alimentos!$C$5:$C$104,MATCH(C603,Alimentos!$A$5:$A$104,0)),""))</f>
      </c>
      <c r="J603" s="10"/>
      <c r="K603" s="10"/>
      <c r="L603" s="10"/>
    </row>
    <row r="604" spans="1:12" x14ac:dyDescent="0.25">
      <c r="A604" s="20"/>
      <c r="B604" s="10"/>
      <c r="C604" s="10"/>
      <c r="D604" s="15">
        <f>IF(C604="","",IFERROR(INDEX(Alimentos!$B$5:$B$104,MATCH(C604,Alimentos!$A$5:$A$104,0)),""))</f>
      </c>
      <c r="E604" s="21"/>
      <c r="F604" s="21"/>
      <c r="G604" s="17">
        <f>IF(OR(E604="",F604=""),"",E604-F604)</f>
      </c>
      <c r="H604" s="18">
        <f>IF(OR(G604="",E604="",E604=0),"",G604/E604)</f>
      </c>
      <c r="I604" s="19">
        <f>IF(OR(E604="",C604=""),"",IFERROR(E604*INDEX(Alimentos!$C$5:$C$104,MATCH(C604,Alimentos!$A$5:$A$104,0)),""))</f>
      </c>
      <c r="J604" s="10"/>
      <c r="K604" s="10"/>
      <c r="L604" s="10"/>
    </row>
    <row r="605" spans="1:12" x14ac:dyDescent="0.25">
      <c r="A605" s="20"/>
      <c r="B605" s="10"/>
      <c r="C605" s="10"/>
      <c r="D605" s="15">
        <f>IF(C605="","",IFERROR(INDEX(Alimentos!$B$5:$B$104,MATCH(C605,Alimentos!$A$5:$A$104,0)),""))</f>
      </c>
      <c r="E605" s="21"/>
      <c r="F605" s="21"/>
      <c r="G605" s="17">
        <f>IF(OR(E605="",F605=""),"",E605-F605)</f>
      </c>
      <c r="H605" s="18">
        <f>IF(OR(G605="",E605="",E605=0),"",G605/E605)</f>
      </c>
      <c r="I605" s="19">
        <f>IF(OR(E605="",C605=""),"",IFERROR(E605*INDEX(Alimentos!$C$5:$C$104,MATCH(C605,Alimentos!$A$5:$A$104,0)),""))</f>
      </c>
      <c r="J605" s="10"/>
      <c r="K605" s="10"/>
      <c r="L605" s="10"/>
    </row>
    <row r="606" spans="1:12" x14ac:dyDescent="0.25">
      <c r="A606" s="20"/>
      <c r="B606" s="10"/>
      <c r="C606" s="10"/>
      <c r="D606" s="15">
        <f>IF(C606="","",IFERROR(INDEX(Alimentos!$B$5:$B$104,MATCH(C606,Alimentos!$A$5:$A$104,0)),""))</f>
      </c>
      <c r="E606" s="21"/>
      <c r="F606" s="21"/>
      <c r="G606" s="17">
        <f>IF(OR(E606="",F606=""),"",E606-F606)</f>
      </c>
      <c r="H606" s="18">
        <f>IF(OR(G606="",E606="",E606=0),"",G606/E606)</f>
      </c>
      <c r="I606" s="19">
        <f>IF(OR(E606="",C606=""),"",IFERROR(E606*INDEX(Alimentos!$C$5:$C$104,MATCH(C606,Alimentos!$A$5:$A$104,0)),""))</f>
      </c>
      <c r="J606" s="10"/>
      <c r="K606" s="10"/>
      <c r="L606" s="10"/>
    </row>
    <row r="607" spans="1:12" x14ac:dyDescent="0.25">
      <c r="A607" s="20"/>
      <c r="B607" s="10"/>
      <c r="C607" s="10"/>
      <c r="D607" s="15">
        <f>IF(C607="","",IFERROR(INDEX(Alimentos!$B$5:$B$104,MATCH(C607,Alimentos!$A$5:$A$104,0)),""))</f>
      </c>
      <c r="E607" s="21"/>
      <c r="F607" s="21"/>
      <c r="G607" s="17">
        <f>IF(OR(E607="",F607=""),"",E607-F607)</f>
      </c>
      <c r="H607" s="18">
        <f>IF(OR(G607="",E607="",E607=0),"",G607/E607)</f>
      </c>
      <c r="I607" s="19">
        <f>IF(OR(E607="",C607=""),"",IFERROR(E607*INDEX(Alimentos!$C$5:$C$104,MATCH(C607,Alimentos!$A$5:$A$104,0)),""))</f>
      </c>
      <c r="J607" s="10"/>
      <c r="K607" s="10"/>
      <c r="L607" s="10"/>
    </row>
    <row r="608" spans="1:12" x14ac:dyDescent="0.25">
      <c r="A608" s="20"/>
      <c r="B608" s="10"/>
      <c r="C608" s="10"/>
      <c r="D608" s="15">
        <f>IF(C608="","",IFERROR(INDEX(Alimentos!$B$5:$B$104,MATCH(C608,Alimentos!$A$5:$A$104,0)),""))</f>
      </c>
      <c r="E608" s="21"/>
      <c r="F608" s="21"/>
      <c r="G608" s="17">
        <f>IF(OR(E608="",F608=""),"",E608-F608)</f>
      </c>
      <c r="H608" s="18">
        <f>IF(OR(G608="",E608="",E608=0),"",G608/E608)</f>
      </c>
      <c r="I608" s="19">
        <f>IF(OR(E608="",C608=""),"",IFERROR(E608*INDEX(Alimentos!$C$5:$C$104,MATCH(C608,Alimentos!$A$5:$A$104,0)),""))</f>
      </c>
      <c r="J608" s="10"/>
      <c r="K608" s="10"/>
      <c r="L608" s="10"/>
    </row>
    <row r="609" spans="1:12" x14ac:dyDescent="0.25">
      <c r="A609" s="20"/>
      <c r="B609" s="10"/>
      <c r="C609" s="10"/>
      <c r="D609" s="15">
        <f>IF(C609="","",IFERROR(INDEX(Alimentos!$B$5:$B$104,MATCH(C609,Alimentos!$A$5:$A$104,0)),""))</f>
      </c>
      <c r="E609" s="21"/>
      <c r="F609" s="21"/>
      <c r="G609" s="17">
        <f>IF(OR(E609="",F609=""),"",E609-F609)</f>
      </c>
      <c r="H609" s="18">
        <f>IF(OR(G609="",E609="",E609=0),"",G609/E609)</f>
      </c>
      <c r="I609" s="19">
        <f>IF(OR(E609="",C609=""),"",IFERROR(E609*INDEX(Alimentos!$C$5:$C$104,MATCH(C609,Alimentos!$A$5:$A$104,0)),""))</f>
      </c>
      <c r="J609" s="10"/>
      <c r="K609" s="10"/>
      <c r="L609" s="10"/>
    </row>
    <row r="610" spans="1:12" x14ac:dyDescent="0.25">
      <c r="A610" s="20"/>
      <c r="B610" s="10"/>
      <c r="C610" s="10"/>
      <c r="D610" s="15">
        <f>IF(C610="","",IFERROR(INDEX(Alimentos!$B$5:$B$104,MATCH(C610,Alimentos!$A$5:$A$104,0)),""))</f>
      </c>
      <c r="E610" s="21"/>
      <c r="F610" s="21"/>
      <c r="G610" s="17">
        <f>IF(OR(E610="",F610=""),"",E610-F610)</f>
      </c>
      <c r="H610" s="18">
        <f>IF(OR(G610="",E610="",E610=0),"",G610/E610)</f>
      </c>
      <c r="I610" s="19">
        <f>IF(OR(E610="",C610=""),"",IFERROR(E610*INDEX(Alimentos!$C$5:$C$104,MATCH(C610,Alimentos!$A$5:$A$104,0)),""))</f>
      </c>
      <c r="J610" s="10"/>
      <c r="K610" s="10"/>
      <c r="L610" s="10"/>
    </row>
    <row r="611" spans="1:12" x14ac:dyDescent="0.25">
      <c r="A611" s="20"/>
      <c r="B611" s="10"/>
      <c r="C611" s="10"/>
      <c r="D611" s="15">
        <f>IF(C611="","",IFERROR(INDEX(Alimentos!$B$5:$B$104,MATCH(C611,Alimentos!$A$5:$A$104,0)),""))</f>
      </c>
      <c r="E611" s="21"/>
      <c r="F611" s="21"/>
      <c r="G611" s="17">
        <f>IF(OR(E611="",F611=""),"",E611-F611)</f>
      </c>
      <c r="H611" s="18">
        <f>IF(OR(G611="",E611="",E611=0),"",G611/E611)</f>
      </c>
      <c r="I611" s="19">
        <f>IF(OR(E611="",C611=""),"",IFERROR(E611*INDEX(Alimentos!$C$5:$C$104,MATCH(C611,Alimentos!$A$5:$A$104,0)),""))</f>
      </c>
      <c r="J611" s="10"/>
      <c r="K611" s="10"/>
      <c r="L611" s="10"/>
    </row>
    <row r="612" spans="1:12" x14ac:dyDescent="0.25">
      <c r="A612" s="20"/>
      <c r="B612" s="10"/>
      <c r="C612" s="10"/>
      <c r="D612" s="15">
        <f>IF(C612="","",IFERROR(INDEX(Alimentos!$B$5:$B$104,MATCH(C612,Alimentos!$A$5:$A$104,0)),""))</f>
      </c>
      <c r="E612" s="21"/>
      <c r="F612" s="21"/>
      <c r="G612" s="17">
        <f>IF(OR(E612="",F612=""),"",E612-F612)</f>
      </c>
      <c r="H612" s="18">
        <f>IF(OR(G612="",E612="",E612=0),"",G612/E612)</f>
      </c>
      <c r="I612" s="19">
        <f>IF(OR(E612="",C612=""),"",IFERROR(E612*INDEX(Alimentos!$C$5:$C$104,MATCH(C612,Alimentos!$A$5:$A$104,0)),""))</f>
      </c>
      <c r="J612" s="10"/>
      <c r="K612" s="10"/>
      <c r="L612" s="10"/>
    </row>
    <row r="613" spans="1:12" x14ac:dyDescent="0.25">
      <c r="A613" s="20"/>
      <c r="B613" s="10"/>
      <c r="C613" s="10"/>
      <c r="D613" s="15">
        <f>IF(C613="","",IFERROR(INDEX(Alimentos!$B$5:$B$104,MATCH(C613,Alimentos!$A$5:$A$104,0)),""))</f>
      </c>
      <c r="E613" s="21"/>
      <c r="F613" s="21"/>
      <c r="G613" s="17">
        <f>IF(OR(E613="",F613=""),"",E613-F613)</f>
      </c>
      <c r="H613" s="18">
        <f>IF(OR(G613="",E613="",E613=0),"",G613/E613)</f>
      </c>
      <c r="I613" s="19">
        <f>IF(OR(E613="",C613=""),"",IFERROR(E613*INDEX(Alimentos!$C$5:$C$104,MATCH(C613,Alimentos!$A$5:$A$104,0)),""))</f>
      </c>
      <c r="J613" s="10"/>
      <c r="K613" s="10"/>
      <c r="L613" s="10"/>
    </row>
    <row r="614" spans="1:12" x14ac:dyDescent="0.25">
      <c r="A614" s="20"/>
      <c r="B614" s="10"/>
      <c r="C614" s="10"/>
      <c r="D614" s="15">
        <f>IF(C614="","",IFERROR(INDEX(Alimentos!$B$5:$B$104,MATCH(C614,Alimentos!$A$5:$A$104,0)),""))</f>
      </c>
      <c r="E614" s="21"/>
      <c r="F614" s="21"/>
      <c r="G614" s="17">
        <f>IF(OR(E614="",F614=""),"",E614-F614)</f>
      </c>
      <c r="H614" s="18">
        <f>IF(OR(G614="",E614="",E614=0),"",G614/E614)</f>
      </c>
      <c r="I614" s="19">
        <f>IF(OR(E614="",C614=""),"",IFERROR(E614*INDEX(Alimentos!$C$5:$C$104,MATCH(C614,Alimentos!$A$5:$A$104,0)),""))</f>
      </c>
      <c r="J614" s="10"/>
      <c r="K614" s="10"/>
      <c r="L614" s="10"/>
    </row>
    <row r="615" spans="1:12" x14ac:dyDescent="0.25">
      <c r="A615" s="20"/>
      <c r="B615" s="10"/>
      <c r="C615" s="10"/>
      <c r="D615" s="15">
        <f>IF(C615="","",IFERROR(INDEX(Alimentos!$B$5:$B$104,MATCH(C615,Alimentos!$A$5:$A$104,0)),""))</f>
      </c>
      <c r="E615" s="21"/>
      <c r="F615" s="21"/>
      <c r="G615" s="17">
        <f>IF(OR(E615="",F615=""),"",E615-F615)</f>
      </c>
      <c r="H615" s="18">
        <f>IF(OR(G615="",E615="",E615=0),"",G615/E615)</f>
      </c>
      <c r="I615" s="19">
        <f>IF(OR(E615="",C615=""),"",IFERROR(E615*INDEX(Alimentos!$C$5:$C$104,MATCH(C615,Alimentos!$A$5:$A$104,0)),""))</f>
      </c>
      <c r="J615" s="10"/>
      <c r="K615" s="10"/>
      <c r="L615" s="10"/>
    </row>
    <row r="616" spans="1:12" x14ac:dyDescent="0.25">
      <c r="A616" s="20"/>
      <c r="B616" s="10"/>
      <c r="C616" s="10"/>
      <c r="D616" s="15">
        <f>IF(C616="","",IFERROR(INDEX(Alimentos!$B$5:$B$104,MATCH(C616,Alimentos!$A$5:$A$104,0)),""))</f>
      </c>
      <c r="E616" s="21"/>
      <c r="F616" s="21"/>
      <c r="G616" s="17">
        <f>IF(OR(E616="",F616=""),"",E616-F616)</f>
      </c>
      <c r="H616" s="18">
        <f>IF(OR(G616="",E616="",E616=0),"",G616/E616)</f>
      </c>
      <c r="I616" s="19">
        <f>IF(OR(E616="",C616=""),"",IFERROR(E616*INDEX(Alimentos!$C$5:$C$104,MATCH(C616,Alimentos!$A$5:$A$104,0)),""))</f>
      </c>
      <c r="J616" s="10"/>
      <c r="K616" s="10"/>
      <c r="L616" s="10"/>
    </row>
    <row r="617" spans="1:12" x14ac:dyDescent="0.25">
      <c r="A617" s="20"/>
      <c r="B617" s="10"/>
      <c r="C617" s="10"/>
      <c r="D617" s="15">
        <f>IF(C617="","",IFERROR(INDEX(Alimentos!$B$5:$B$104,MATCH(C617,Alimentos!$A$5:$A$104,0)),""))</f>
      </c>
      <c r="E617" s="21"/>
      <c r="F617" s="21"/>
      <c r="G617" s="17">
        <f>IF(OR(E617="",F617=""),"",E617-F617)</f>
      </c>
      <c r="H617" s="18">
        <f>IF(OR(G617="",E617="",E617=0),"",G617/E617)</f>
      </c>
      <c r="I617" s="19">
        <f>IF(OR(E617="",C617=""),"",IFERROR(E617*INDEX(Alimentos!$C$5:$C$104,MATCH(C617,Alimentos!$A$5:$A$104,0)),""))</f>
      </c>
      <c r="J617" s="10"/>
      <c r="K617" s="10"/>
      <c r="L617" s="10"/>
    </row>
    <row r="618" spans="1:12" x14ac:dyDescent="0.25">
      <c r="A618" s="20"/>
      <c r="B618" s="10"/>
      <c r="C618" s="10"/>
      <c r="D618" s="15">
        <f>IF(C618="","",IFERROR(INDEX(Alimentos!$B$5:$B$104,MATCH(C618,Alimentos!$A$5:$A$104,0)),""))</f>
      </c>
      <c r="E618" s="21"/>
      <c r="F618" s="21"/>
      <c r="G618" s="17">
        <f>IF(OR(E618="",F618=""),"",E618-F618)</f>
      </c>
      <c r="H618" s="18">
        <f>IF(OR(G618="",E618="",E618=0),"",G618/E618)</f>
      </c>
      <c r="I618" s="19">
        <f>IF(OR(E618="",C618=""),"",IFERROR(E618*INDEX(Alimentos!$C$5:$C$104,MATCH(C618,Alimentos!$A$5:$A$104,0)),""))</f>
      </c>
      <c r="J618" s="10"/>
      <c r="K618" s="10"/>
      <c r="L618" s="10"/>
    </row>
    <row r="619" spans="1:12" x14ac:dyDescent="0.25">
      <c r="A619" s="20"/>
      <c r="B619" s="10"/>
      <c r="C619" s="10"/>
      <c r="D619" s="15">
        <f>IF(C619="","",IFERROR(INDEX(Alimentos!$B$5:$B$104,MATCH(C619,Alimentos!$A$5:$A$104,0)),""))</f>
      </c>
      <c r="E619" s="21"/>
      <c r="F619" s="21"/>
      <c r="G619" s="17">
        <f>IF(OR(E619="",F619=""),"",E619-F619)</f>
      </c>
      <c r="H619" s="18">
        <f>IF(OR(G619="",E619="",E619=0),"",G619/E619)</f>
      </c>
      <c r="I619" s="19">
        <f>IF(OR(E619="",C619=""),"",IFERROR(E619*INDEX(Alimentos!$C$5:$C$104,MATCH(C619,Alimentos!$A$5:$A$104,0)),""))</f>
      </c>
      <c r="J619" s="10"/>
      <c r="K619" s="10"/>
      <c r="L619" s="10"/>
    </row>
    <row r="620" spans="1:12" x14ac:dyDescent="0.25">
      <c r="A620" s="20"/>
      <c r="B620" s="10"/>
      <c r="C620" s="10"/>
      <c r="D620" s="15">
        <f>IF(C620="","",IFERROR(INDEX(Alimentos!$B$5:$B$104,MATCH(C620,Alimentos!$A$5:$A$104,0)),""))</f>
      </c>
      <c r="E620" s="21"/>
      <c r="F620" s="21"/>
      <c r="G620" s="17">
        <f>IF(OR(E620="",F620=""),"",E620-F620)</f>
      </c>
      <c r="H620" s="18">
        <f>IF(OR(G620="",E620="",E620=0),"",G620/E620)</f>
      </c>
      <c r="I620" s="19">
        <f>IF(OR(E620="",C620=""),"",IFERROR(E620*INDEX(Alimentos!$C$5:$C$104,MATCH(C620,Alimentos!$A$5:$A$104,0)),""))</f>
      </c>
      <c r="J620" s="10"/>
      <c r="K620" s="10"/>
      <c r="L620" s="10"/>
    </row>
    <row r="621" spans="1:12" x14ac:dyDescent="0.25">
      <c r="A621" s="20"/>
      <c r="B621" s="10"/>
      <c r="C621" s="10"/>
      <c r="D621" s="15">
        <f>IF(C621="","",IFERROR(INDEX(Alimentos!$B$5:$B$104,MATCH(C621,Alimentos!$A$5:$A$104,0)),""))</f>
      </c>
      <c r="E621" s="21"/>
      <c r="F621" s="21"/>
      <c r="G621" s="17">
        <f>IF(OR(E621="",F621=""),"",E621-F621)</f>
      </c>
      <c r="H621" s="18">
        <f>IF(OR(G621="",E621="",E621=0),"",G621/E621)</f>
      </c>
      <c r="I621" s="19">
        <f>IF(OR(E621="",C621=""),"",IFERROR(E621*INDEX(Alimentos!$C$5:$C$104,MATCH(C621,Alimentos!$A$5:$A$104,0)),""))</f>
      </c>
      <c r="J621" s="10"/>
      <c r="K621" s="10"/>
      <c r="L621" s="10"/>
    </row>
    <row r="622" spans="1:12" x14ac:dyDescent="0.25">
      <c r="A622" s="20"/>
      <c r="B622" s="10"/>
      <c r="C622" s="10"/>
      <c r="D622" s="15">
        <f>IF(C622="","",IFERROR(INDEX(Alimentos!$B$5:$B$104,MATCH(C622,Alimentos!$A$5:$A$104,0)),""))</f>
      </c>
      <c r="E622" s="21"/>
      <c r="F622" s="21"/>
      <c r="G622" s="17">
        <f>IF(OR(E622="",F622=""),"",E622-F622)</f>
      </c>
      <c r="H622" s="18">
        <f>IF(OR(G622="",E622="",E622=0),"",G622/E622)</f>
      </c>
      <c r="I622" s="19">
        <f>IF(OR(E622="",C622=""),"",IFERROR(E622*INDEX(Alimentos!$C$5:$C$104,MATCH(C622,Alimentos!$A$5:$A$104,0)),""))</f>
      </c>
      <c r="J622" s="10"/>
      <c r="K622" s="10"/>
      <c r="L622" s="10"/>
    </row>
    <row r="623" spans="1:12" x14ac:dyDescent="0.25">
      <c r="A623" s="20"/>
      <c r="B623" s="10"/>
      <c r="C623" s="10"/>
      <c r="D623" s="15">
        <f>IF(C623="","",IFERROR(INDEX(Alimentos!$B$5:$B$104,MATCH(C623,Alimentos!$A$5:$A$104,0)),""))</f>
      </c>
      <c r="E623" s="21"/>
      <c r="F623" s="21"/>
      <c r="G623" s="17">
        <f>IF(OR(E623="",F623=""),"",E623-F623)</f>
      </c>
      <c r="H623" s="18">
        <f>IF(OR(G623="",E623="",E623=0),"",G623/E623)</f>
      </c>
      <c r="I623" s="19">
        <f>IF(OR(E623="",C623=""),"",IFERROR(E623*INDEX(Alimentos!$C$5:$C$104,MATCH(C623,Alimentos!$A$5:$A$104,0)),""))</f>
      </c>
      <c r="J623" s="10"/>
      <c r="K623" s="10"/>
      <c r="L623" s="10"/>
    </row>
    <row r="624" spans="1:12" x14ac:dyDescent="0.25">
      <c r="A624" s="20"/>
      <c r="B624" s="10"/>
      <c r="C624" s="10"/>
      <c r="D624" s="15">
        <f>IF(C624="","",IFERROR(INDEX(Alimentos!$B$5:$B$104,MATCH(C624,Alimentos!$A$5:$A$104,0)),""))</f>
      </c>
      <c r="E624" s="21"/>
      <c r="F624" s="21"/>
      <c r="G624" s="17">
        <f>IF(OR(E624="",F624=""),"",E624-F624)</f>
      </c>
      <c r="H624" s="18">
        <f>IF(OR(G624="",E624="",E624=0),"",G624/E624)</f>
      </c>
      <c r="I624" s="19">
        <f>IF(OR(E624="",C624=""),"",IFERROR(E624*INDEX(Alimentos!$C$5:$C$104,MATCH(C624,Alimentos!$A$5:$A$104,0)),""))</f>
      </c>
      <c r="J624" s="10"/>
      <c r="K624" s="10"/>
      <c r="L624" s="10"/>
    </row>
    <row r="625" spans="1:12" x14ac:dyDescent="0.25">
      <c r="A625" s="20"/>
      <c r="B625" s="10"/>
      <c r="C625" s="10"/>
      <c r="D625" s="15">
        <f>IF(C625="","",IFERROR(INDEX(Alimentos!$B$5:$B$104,MATCH(C625,Alimentos!$A$5:$A$104,0)),""))</f>
      </c>
      <c r="E625" s="21"/>
      <c r="F625" s="21"/>
      <c r="G625" s="17">
        <f>IF(OR(E625="",F625=""),"",E625-F625)</f>
      </c>
      <c r="H625" s="18">
        <f>IF(OR(G625="",E625="",E625=0),"",G625/E625)</f>
      </c>
      <c r="I625" s="19">
        <f>IF(OR(E625="",C625=""),"",IFERROR(E625*INDEX(Alimentos!$C$5:$C$104,MATCH(C625,Alimentos!$A$5:$A$104,0)),""))</f>
      </c>
      <c r="J625" s="10"/>
      <c r="K625" s="10"/>
      <c r="L625" s="10"/>
    </row>
    <row r="626" spans="1:12" x14ac:dyDescent="0.25">
      <c r="A626" s="20"/>
      <c r="B626" s="10"/>
      <c r="C626" s="10"/>
      <c r="D626" s="15">
        <f>IF(C626="","",IFERROR(INDEX(Alimentos!$B$5:$B$104,MATCH(C626,Alimentos!$A$5:$A$104,0)),""))</f>
      </c>
      <c r="E626" s="21"/>
      <c r="F626" s="21"/>
      <c r="G626" s="17">
        <f>IF(OR(E626="",F626=""),"",E626-F626)</f>
      </c>
      <c r="H626" s="18">
        <f>IF(OR(G626="",E626="",E626=0),"",G626/E626)</f>
      </c>
      <c r="I626" s="19">
        <f>IF(OR(E626="",C626=""),"",IFERROR(E626*INDEX(Alimentos!$C$5:$C$104,MATCH(C626,Alimentos!$A$5:$A$104,0)),""))</f>
      </c>
      <c r="J626" s="10"/>
      <c r="K626" s="10"/>
      <c r="L626" s="10"/>
    </row>
    <row r="627" spans="1:12" x14ac:dyDescent="0.25">
      <c r="A627" s="20"/>
      <c r="B627" s="10"/>
      <c r="C627" s="10"/>
      <c r="D627" s="15">
        <f>IF(C627="","",IFERROR(INDEX(Alimentos!$B$5:$B$104,MATCH(C627,Alimentos!$A$5:$A$104,0)),""))</f>
      </c>
      <c r="E627" s="21"/>
      <c r="F627" s="21"/>
      <c r="G627" s="17">
        <f>IF(OR(E627="",F627=""),"",E627-F627)</f>
      </c>
      <c r="H627" s="18">
        <f>IF(OR(G627="",E627="",E627=0),"",G627/E627)</f>
      </c>
      <c r="I627" s="19">
        <f>IF(OR(E627="",C627=""),"",IFERROR(E627*INDEX(Alimentos!$C$5:$C$104,MATCH(C627,Alimentos!$A$5:$A$104,0)),""))</f>
      </c>
      <c r="J627" s="10"/>
      <c r="K627" s="10"/>
      <c r="L627" s="10"/>
    </row>
    <row r="628" spans="1:12" x14ac:dyDescent="0.25">
      <c r="A628" s="20"/>
      <c r="B628" s="10"/>
      <c r="C628" s="10"/>
      <c r="D628" s="15">
        <f>IF(C628="","",IFERROR(INDEX(Alimentos!$B$5:$B$104,MATCH(C628,Alimentos!$A$5:$A$104,0)),""))</f>
      </c>
      <c r="E628" s="21"/>
      <c r="F628" s="21"/>
      <c r="G628" s="17">
        <f>IF(OR(E628="",F628=""),"",E628-F628)</f>
      </c>
      <c r="H628" s="18">
        <f>IF(OR(G628="",E628="",E628=0),"",G628/E628)</f>
      </c>
      <c r="I628" s="19">
        <f>IF(OR(E628="",C628=""),"",IFERROR(E628*INDEX(Alimentos!$C$5:$C$104,MATCH(C628,Alimentos!$A$5:$A$104,0)),""))</f>
      </c>
      <c r="J628" s="10"/>
      <c r="K628" s="10"/>
      <c r="L628" s="10"/>
    </row>
    <row r="629" spans="1:12" x14ac:dyDescent="0.25">
      <c r="A629" s="20"/>
      <c r="B629" s="10"/>
      <c r="C629" s="10"/>
      <c r="D629" s="15">
        <f>IF(C629="","",IFERROR(INDEX(Alimentos!$B$5:$B$104,MATCH(C629,Alimentos!$A$5:$A$104,0)),""))</f>
      </c>
      <c r="E629" s="21"/>
      <c r="F629" s="21"/>
      <c r="G629" s="17">
        <f>IF(OR(E629="",F629=""),"",E629-F629)</f>
      </c>
      <c r="H629" s="18">
        <f>IF(OR(G629="",E629="",E629=0),"",G629/E629)</f>
      </c>
      <c r="I629" s="19">
        <f>IF(OR(E629="",C629=""),"",IFERROR(E629*INDEX(Alimentos!$C$5:$C$104,MATCH(C629,Alimentos!$A$5:$A$104,0)),""))</f>
      </c>
      <c r="J629" s="10"/>
      <c r="K629" s="10"/>
      <c r="L629" s="10"/>
    </row>
    <row r="630" spans="1:12" x14ac:dyDescent="0.25">
      <c r="A630" s="20"/>
      <c r="B630" s="10"/>
      <c r="C630" s="10"/>
      <c r="D630" s="15">
        <f>IF(C630="","",IFERROR(INDEX(Alimentos!$B$5:$B$104,MATCH(C630,Alimentos!$A$5:$A$104,0)),""))</f>
      </c>
      <c r="E630" s="21"/>
      <c r="F630" s="21"/>
      <c r="G630" s="17">
        <f>IF(OR(E630="",F630=""),"",E630-F630)</f>
      </c>
      <c r="H630" s="18">
        <f>IF(OR(G630="",E630="",E630=0),"",G630/E630)</f>
      </c>
      <c r="I630" s="19">
        <f>IF(OR(E630="",C630=""),"",IFERROR(E630*INDEX(Alimentos!$C$5:$C$104,MATCH(C630,Alimentos!$A$5:$A$104,0)),""))</f>
      </c>
      <c r="J630" s="10"/>
      <c r="K630" s="10"/>
      <c r="L630" s="10"/>
    </row>
    <row r="631" spans="1:12" x14ac:dyDescent="0.25">
      <c r="A631" s="20"/>
      <c r="B631" s="10"/>
      <c r="C631" s="10"/>
      <c r="D631" s="15">
        <f>IF(C631="","",IFERROR(INDEX(Alimentos!$B$5:$B$104,MATCH(C631,Alimentos!$A$5:$A$104,0)),""))</f>
      </c>
      <c r="E631" s="21"/>
      <c r="F631" s="21"/>
      <c r="G631" s="17">
        <f>IF(OR(E631="",F631=""),"",E631-F631)</f>
      </c>
      <c r="H631" s="18">
        <f>IF(OR(G631="",E631="",E631=0),"",G631/E631)</f>
      </c>
      <c r="I631" s="19">
        <f>IF(OR(E631="",C631=""),"",IFERROR(E631*INDEX(Alimentos!$C$5:$C$104,MATCH(C631,Alimentos!$A$5:$A$104,0)),""))</f>
      </c>
      <c r="J631" s="10"/>
      <c r="K631" s="10"/>
      <c r="L631" s="10"/>
    </row>
    <row r="632" spans="1:12" x14ac:dyDescent="0.25">
      <c r="A632" s="20"/>
      <c r="B632" s="10"/>
      <c r="C632" s="10"/>
      <c r="D632" s="15">
        <f>IF(C632="","",IFERROR(INDEX(Alimentos!$B$5:$B$104,MATCH(C632,Alimentos!$A$5:$A$104,0)),""))</f>
      </c>
      <c r="E632" s="21"/>
      <c r="F632" s="21"/>
      <c r="G632" s="17">
        <f>IF(OR(E632="",F632=""),"",E632-F632)</f>
      </c>
      <c r="H632" s="18">
        <f>IF(OR(G632="",E632="",E632=0),"",G632/E632)</f>
      </c>
      <c r="I632" s="19">
        <f>IF(OR(E632="",C632=""),"",IFERROR(E632*INDEX(Alimentos!$C$5:$C$104,MATCH(C632,Alimentos!$A$5:$A$104,0)),""))</f>
      </c>
      <c r="J632" s="10"/>
      <c r="K632" s="10"/>
      <c r="L632" s="10"/>
    </row>
    <row r="633" spans="1:12" x14ac:dyDescent="0.25">
      <c r="A633" s="20"/>
      <c r="B633" s="10"/>
      <c r="C633" s="10"/>
      <c r="D633" s="15">
        <f>IF(C633="","",IFERROR(INDEX(Alimentos!$B$5:$B$104,MATCH(C633,Alimentos!$A$5:$A$104,0)),""))</f>
      </c>
      <c r="E633" s="21"/>
      <c r="F633" s="21"/>
      <c r="G633" s="17">
        <f>IF(OR(E633="",F633=""),"",E633-F633)</f>
      </c>
      <c r="H633" s="18">
        <f>IF(OR(G633="",E633="",E633=0),"",G633/E633)</f>
      </c>
      <c r="I633" s="19">
        <f>IF(OR(E633="",C633=""),"",IFERROR(E633*INDEX(Alimentos!$C$5:$C$104,MATCH(C633,Alimentos!$A$5:$A$104,0)),""))</f>
      </c>
      <c r="J633" s="10"/>
      <c r="K633" s="10"/>
      <c r="L633" s="10"/>
    </row>
    <row r="634" spans="1:12" x14ac:dyDescent="0.25">
      <c r="A634" s="20"/>
      <c r="B634" s="10"/>
      <c r="C634" s="10"/>
      <c r="D634" s="15">
        <f>IF(C634="","",IFERROR(INDEX(Alimentos!$B$5:$B$104,MATCH(C634,Alimentos!$A$5:$A$104,0)),""))</f>
      </c>
      <c r="E634" s="21"/>
      <c r="F634" s="21"/>
      <c r="G634" s="17">
        <f>IF(OR(E634="",F634=""),"",E634-F634)</f>
      </c>
      <c r="H634" s="18">
        <f>IF(OR(G634="",E634="",E634=0),"",G634/E634)</f>
      </c>
      <c r="I634" s="19">
        <f>IF(OR(E634="",C634=""),"",IFERROR(E634*INDEX(Alimentos!$C$5:$C$104,MATCH(C634,Alimentos!$A$5:$A$104,0)),""))</f>
      </c>
      <c r="J634" s="10"/>
      <c r="K634" s="10"/>
      <c r="L634" s="10"/>
    </row>
    <row r="635" spans="1:12" x14ac:dyDescent="0.25">
      <c r="A635" s="20"/>
      <c r="B635" s="10"/>
      <c r="C635" s="10"/>
      <c r="D635" s="15">
        <f>IF(C635="","",IFERROR(INDEX(Alimentos!$B$5:$B$104,MATCH(C635,Alimentos!$A$5:$A$104,0)),""))</f>
      </c>
      <c r="E635" s="21"/>
      <c r="F635" s="21"/>
      <c r="G635" s="17">
        <f>IF(OR(E635="",F635=""),"",E635-F635)</f>
      </c>
      <c r="H635" s="18">
        <f>IF(OR(G635="",E635="",E635=0),"",G635/E635)</f>
      </c>
      <c r="I635" s="19">
        <f>IF(OR(E635="",C635=""),"",IFERROR(E635*INDEX(Alimentos!$C$5:$C$104,MATCH(C635,Alimentos!$A$5:$A$104,0)),""))</f>
      </c>
      <c r="J635" s="10"/>
      <c r="K635" s="10"/>
      <c r="L635" s="10"/>
    </row>
    <row r="636" spans="1:12" x14ac:dyDescent="0.25">
      <c r="A636" s="20"/>
      <c r="B636" s="10"/>
      <c r="C636" s="10"/>
      <c r="D636" s="15">
        <f>IF(C636="","",IFERROR(INDEX(Alimentos!$B$5:$B$104,MATCH(C636,Alimentos!$A$5:$A$104,0)),""))</f>
      </c>
      <c r="E636" s="21"/>
      <c r="F636" s="21"/>
      <c r="G636" s="17">
        <f>IF(OR(E636="",F636=""),"",E636-F636)</f>
      </c>
      <c r="H636" s="18">
        <f>IF(OR(G636="",E636="",E636=0),"",G636/E636)</f>
      </c>
      <c r="I636" s="19">
        <f>IF(OR(E636="",C636=""),"",IFERROR(E636*INDEX(Alimentos!$C$5:$C$104,MATCH(C636,Alimentos!$A$5:$A$104,0)),""))</f>
      </c>
      <c r="J636" s="10"/>
      <c r="K636" s="10"/>
      <c r="L636" s="10"/>
    </row>
    <row r="637" spans="1:12" x14ac:dyDescent="0.25">
      <c r="A637" s="20"/>
      <c r="B637" s="10"/>
      <c r="C637" s="10"/>
      <c r="D637" s="15">
        <f>IF(C637="","",IFERROR(INDEX(Alimentos!$B$5:$B$104,MATCH(C637,Alimentos!$A$5:$A$104,0)),""))</f>
      </c>
      <c r="E637" s="21"/>
      <c r="F637" s="21"/>
      <c r="G637" s="17">
        <f>IF(OR(E637="",F637=""),"",E637-F637)</f>
      </c>
      <c r="H637" s="18">
        <f>IF(OR(G637="",E637="",E637=0),"",G637/E637)</f>
      </c>
      <c r="I637" s="19">
        <f>IF(OR(E637="",C637=""),"",IFERROR(E637*INDEX(Alimentos!$C$5:$C$104,MATCH(C637,Alimentos!$A$5:$A$104,0)),""))</f>
      </c>
      <c r="J637" s="10"/>
      <c r="K637" s="10"/>
      <c r="L637" s="10"/>
    </row>
    <row r="638" spans="1:12" x14ac:dyDescent="0.25">
      <c r="A638" s="20"/>
      <c r="B638" s="10"/>
      <c r="C638" s="10"/>
      <c r="D638" s="15">
        <f>IF(C638="","",IFERROR(INDEX(Alimentos!$B$5:$B$104,MATCH(C638,Alimentos!$A$5:$A$104,0)),""))</f>
      </c>
      <c r="E638" s="21"/>
      <c r="F638" s="21"/>
      <c r="G638" s="17">
        <f>IF(OR(E638="",F638=""),"",E638-F638)</f>
      </c>
      <c r="H638" s="18">
        <f>IF(OR(G638="",E638="",E638=0),"",G638/E638)</f>
      </c>
      <c r="I638" s="19">
        <f>IF(OR(E638="",C638=""),"",IFERROR(E638*INDEX(Alimentos!$C$5:$C$104,MATCH(C638,Alimentos!$A$5:$A$104,0)),""))</f>
      </c>
      <c r="J638" s="10"/>
      <c r="K638" s="10"/>
      <c r="L638" s="10"/>
    </row>
    <row r="639" spans="1:12" x14ac:dyDescent="0.25">
      <c r="A639" s="20"/>
      <c r="B639" s="10"/>
      <c r="C639" s="10"/>
      <c r="D639" s="15">
        <f>IF(C639="","",IFERROR(INDEX(Alimentos!$B$5:$B$104,MATCH(C639,Alimentos!$A$5:$A$104,0)),""))</f>
      </c>
      <c r="E639" s="21"/>
      <c r="F639" s="21"/>
      <c r="G639" s="17">
        <f>IF(OR(E639="",F639=""),"",E639-F639)</f>
      </c>
      <c r="H639" s="18">
        <f>IF(OR(G639="",E639="",E639=0),"",G639/E639)</f>
      </c>
      <c r="I639" s="19">
        <f>IF(OR(E639="",C639=""),"",IFERROR(E639*INDEX(Alimentos!$C$5:$C$104,MATCH(C639,Alimentos!$A$5:$A$104,0)),""))</f>
      </c>
      <c r="J639" s="10"/>
      <c r="K639" s="10"/>
      <c r="L639" s="10"/>
    </row>
    <row r="640" spans="1:12" x14ac:dyDescent="0.25">
      <c r="A640" s="20"/>
      <c r="B640" s="10"/>
      <c r="C640" s="10"/>
      <c r="D640" s="15">
        <f>IF(C640="","",IFERROR(INDEX(Alimentos!$B$5:$B$104,MATCH(C640,Alimentos!$A$5:$A$104,0)),""))</f>
      </c>
      <c r="E640" s="21"/>
      <c r="F640" s="21"/>
      <c r="G640" s="17">
        <f>IF(OR(E640="",F640=""),"",E640-F640)</f>
      </c>
      <c r="H640" s="18">
        <f>IF(OR(G640="",E640="",E640=0),"",G640/E640)</f>
      </c>
      <c r="I640" s="19">
        <f>IF(OR(E640="",C640=""),"",IFERROR(E640*INDEX(Alimentos!$C$5:$C$104,MATCH(C640,Alimentos!$A$5:$A$104,0)),""))</f>
      </c>
      <c r="J640" s="10"/>
      <c r="K640" s="10"/>
      <c r="L640" s="10"/>
    </row>
    <row r="641" spans="1:12" x14ac:dyDescent="0.25">
      <c r="A641" s="20"/>
      <c r="B641" s="10"/>
      <c r="C641" s="10"/>
      <c r="D641" s="15">
        <f>IF(C641="","",IFERROR(INDEX(Alimentos!$B$5:$B$104,MATCH(C641,Alimentos!$A$5:$A$104,0)),""))</f>
      </c>
      <c r="E641" s="21"/>
      <c r="F641" s="21"/>
      <c r="G641" s="17">
        <f>IF(OR(E641="",F641=""),"",E641-F641)</f>
      </c>
      <c r="H641" s="18">
        <f>IF(OR(G641="",E641="",E641=0),"",G641/E641)</f>
      </c>
      <c r="I641" s="19">
        <f>IF(OR(E641="",C641=""),"",IFERROR(E641*INDEX(Alimentos!$C$5:$C$104,MATCH(C641,Alimentos!$A$5:$A$104,0)),""))</f>
      </c>
      <c r="J641" s="10"/>
      <c r="K641" s="10"/>
      <c r="L641" s="10"/>
    </row>
    <row r="642" spans="1:12" x14ac:dyDescent="0.25">
      <c r="A642" s="20"/>
      <c r="B642" s="10"/>
      <c r="C642" s="10"/>
      <c r="D642" s="15">
        <f>IF(C642="","",IFERROR(INDEX(Alimentos!$B$5:$B$104,MATCH(C642,Alimentos!$A$5:$A$104,0)),""))</f>
      </c>
      <c r="E642" s="21"/>
      <c r="F642" s="21"/>
      <c r="G642" s="17">
        <f>IF(OR(E642="",F642=""),"",E642-F642)</f>
      </c>
      <c r="H642" s="18">
        <f>IF(OR(G642="",E642="",E642=0),"",G642/E642)</f>
      </c>
      <c r="I642" s="19">
        <f>IF(OR(E642="",C642=""),"",IFERROR(E642*INDEX(Alimentos!$C$5:$C$104,MATCH(C642,Alimentos!$A$5:$A$104,0)),""))</f>
      </c>
      <c r="J642" s="10"/>
      <c r="K642" s="10"/>
      <c r="L642" s="10"/>
    </row>
    <row r="643" spans="1:12" x14ac:dyDescent="0.25">
      <c r="A643" s="20"/>
      <c r="B643" s="10"/>
      <c r="C643" s="10"/>
      <c r="D643" s="15">
        <f>IF(C643="","",IFERROR(INDEX(Alimentos!$B$5:$B$104,MATCH(C643,Alimentos!$A$5:$A$104,0)),""))</f>
      </c>
      <c r="E643" s="21"/>
      <c r="F643" s="21"/>
      <c r="G643" s="17">
        <f>IF(OR(E643="",F643=""),"",E643-F643)</f>
      </c>
      <c r="H643" s="18">
        <f>IF(OR(G643="",E643="",E643=0),"",G643/E643)</f>
      </c>
      <c r="I643" s="19">
        <f>IF(OR(E643="",C643=""),"",IFERROR(E643*INDEX(Alimentos!$C$5:$C$104,MATCH(C643,Alimentos!$A$5:$A$104,0)),""))</f>
      </c>
      <c r="J643" s="10"/>
      <c r="K643" s="10"/>
      <c r="L643" s="10"/>
    </row>
    <row r="644" spans="1:12" x14ac:dyDescent="0.25">
      <c r="A644" s="20"/>
      <c r="B644" s="10"/>
      <c r="C644" s="10"/>
      <c r="D644" s="15">
        <f>IF(C644="","",IFERROR(INDEX(Alimentos!$B$5:$B$104,MATCH(C644,Alimentos!$A$5:$A$104,0)),""))</f>
      </c>
      <c r="E644" s="21"/>
      <c r="F644" s="21"/>
      <c r="G644" s="17">
        <f>IF(OR(E644="",F644=""),"",E644-F644)</f>
      </c>
      <c r="H644" s="18">
        <f>IF(OR(G644="",E644="",E644=0),"",G644/E644)</f>
      </c>
      <c r="I644" s="19">
        <f>IF(OR(E644="",C644=""),"",IFERROR(E644*INDEX(Alimentos!$C$5:$C$104,MATCH(C644,Alimentos!$A$5:$A$104,0)),""))</f>
      </c>
      <c r="J644" s="10"/>
      <c r="K644" s="10"/>
      <c r="L644" s="10"/>
    </row>
    <row r="645" spans="1:12" x14ac:dyDescent="0.25">
      <c r="A645" s="20"/>
      <c r="B645" s="10"/>
      <c r="C645" s="10"/>
      <c r="D645" s="15">
        <f>IF(C645="","",IFERROR(INDEX(Alimentos!$B$5:$B$104,MATCH(C645,Alimentos!$A$5:$A$104,0)),""))</f>
      </c>
      <c r="E645" s="21"/>
      <c r="F645" s="21"/>
      <c r="G645" s="17">
        <f>IF(OR(E645="",F645=""),"",E645-F645)</f>
      </c>
      <c r="H645" s="18">
        <f>IF(OR(G645="",E645="",E645=0),"",G645/E645)</f>
      </c>
      <c r="I645" s="19">
        <f>IF(OR(E645="",C645=""),"",IFERROR(E645*INDEX(Alimentos!$C$5:$C$104,MATCH(C645,Alimentos!$A$5:$A$104,0)),""))</f>
      </c>
      <c r="J645" s="10"/>
      <c r="K645" s="10"/>
      <c r="L645" s="10"/>
    </row>
    <row r="646" spans="1:12" x14ac:dyDescent="0.25">
      <c r="A646" s="20"/>
      <c r="B646" s="10"/>
      <c r="C646" s="10"/>
      <c r="D646" s="15">
        <f>IF(C646="","",IFERROR(INDEX(Alimentos!$B$5:$B$104,MATCH(C646,Alimentos!$A$5:$A$104,0)),""))</f>
      </c>
      <c r="E646" s="21"/>
      <c r="F646" s="21"/>
      <c r="G646" s="17">
        <f>IF(OR(E646="",F646=""),"",E646-F646)</f>
      </c>
      <c r="H646" s="18">
        <f>IF(OR(G646="",E646="",E646=0),"",G646/E646)</f>
      </c>
      <c r="I646" s="19">
        <f>IF(OR(E646="",C646=""),"",IFERROR(E646*INDEX(Alimentos!$C$5:$C$104,MATCH(C646,Alimentos!$A$5:$A$104,0)),""))</f>
      </c>
      <c r="J646" s="10"/>
      <c r="K646" s="10"/>
      <c r="L646" s="10"/>
    </row>
    <row r="647" spans="1:12" x14ac:dyDescent="0.25">
      <c r="A647" s="20"/>
      <c r="B647" s="10"/>
      <c r="C647" s="10"/>
      <c r="D647" s="15">
        <f>IF(C647="","",IFERROR(INDEX(Alimentos!$B$5:$B$104,MATCH(C647,Alimentos!$A$5:$A$104,0)),""))</f>
      </c>
      <c r="E647" s="21"/>
      <c r="F647" s="21"/>
      <c r="G647" s="17">
        <f>IF(OR(E647="",F647=""),"",E647-F647)</f>
      </c>
      <c r="H647" s="18">
        <f>IF(OR(G647="",E647="",E647=0),"",G647/E647)</f>
      </c>
      <c r="I647" s="19">
        <f>IF(OR(E647="",C647=""),"",IFERROR(E647*INDEX(Alimentos!$C$5:$C$104,MATCH(C647,Alimentos!$A$5:$A$104,0)),""))</f>
      </c>
      <c r="J647" s="10"/>
      <c r="K647" s="10"/>
      <c r="L647" s="10"/>
    </row>
    <row r="648" spans="1:12" x14ac:dyDescent="0.25">
      <c r="A648" s="20"/>
      <c r="B648" s="10"/>
      <c r="C648" s="10"/>
      <c r="D648" s="15">
        <f>IF(C648="","",IFERROR(INDEX(Alimentos!$B$5:$B$104,MATCH(C648,Alimentos!$A$5:$A$104,0)),""))</f>
      </c>
      <c r="E648" s="21"/>
      <c r="F648" s="21"/>
      <c r="G648" s="17">
        <f>IF(OR(E648="",F648=""),"",E648-F648)</f>
      </c>
      <c r="H648" s="18">
        <f>IF(OR(G648="",E648="",E648=0),"",G648/E648)</f>
      </c>
      <c r="I648" s="19">
        <f>IF(OR(E648="",C648=""),"",IFERROR(E648*INDEX(Alimentos!$C$5:$C$104,MATCH(C648,Alimentos!$A$5:$A$104,0)),""))</f>
      </c>
      <c r="J648" s="10"/>
      <c r="K648" s="10"/>
      <c r="L648" s="10"/>
    </row>
    <row r="649" spans="1:12" x14ac:dyDescent="0.25">
      <c r="A649" s="20"/>
      <c r="B649" s="10"/>
      <c r="C649" s="10"/>
      <c r="D649" s="15">
        <f>IF(C649="","",IFERROR(INDEX(Alimentos!$B$5:$B$104,MATCH(C649,Alimentos!$A$5:$A$104,0)),""))</f>
      </c>
      <c r="E649" s="21"/>
      <c r="F649" s="21"/>
      <c r="G649" s="17">
        <f>IF(OR(E649="",F649=""),"",E649-F649)</f>
      </c>
      <c r="H649" s="18">
        <f>IF(OR(G649="",E649="",E649=0),"",G649/E649)</f>
      </c>
      <c r="I649" s="19">
        <f>IF(OR(E649="",C649=""),"",IFERROR(E649*INDEX(Alimentos!$C$5:$C$104,MATCH(C649,Alimentos!$A$5:$A$104,0)),""))</f>
      </c>
      <c r="J649" s="10"/>
      <c r="K649" s="10"/>
      <c r="L649" s="10"/>
    </row>
    <row r="650" spans="1:12" x14ac:dyDescent="0.25">
      <c r="A650" s="20"/>
      <c r="B650" s="10"/>
      <c r="C650" s="10"/>
      <c r="D650" s="15">
        <f>IF(C650="","",IFERROR(INDEX(Alimentos!$B$5:$B$104,MATCH(C650,Alimentos!$A$5:$A$104,0)),""))</f>
      </c>
      <c r="E650" s="21"/>
      <c r="F650" s="21"/>
      <c r="G650" s="17">
        <f>IF(OR(E650="",F650=""),"",E650-F650)</f>
      </c>
      <c r="H650" s="18">
        <f>IF(OR(G650="",E650="",E650=0),"",G650/E650)</f>
      </c>
      <c r="I650" s="19">
        <f>IF(OR(E650="",C650=""),"",IFERROR(E650*INDEX(Alimentos!$C$5:$C$104,MATCH(C650,Alimentos!$A$5:$A$104,0)),""))</f>
      </c>
      <c r="J650" s="10"/>
      <c r="K650" s="10"/>
      <c r="L650" s="10"/>
    </row>
    <row r="651" spans="1:12" x14ac:dyDescent="0.25">
      <c r="A651" s="20"/>
      <c r="B651" s="10"/>
      <c r="C651" s="10"/>
      <c r="D651" s="15">
        <f>IF(C651="","",IFERROR(INDEX(Alimentos!$B$5:$B$104,MATCH(C651,Alimentos!$A$5:$A$104,0)),""))</f>
      </c>
      <c r="E651" s="21"/>
      <c r="F651" s="21"/>
      <c r="G651" s="17">
        <f>IF(OR(E651="",F651=""),"",E651-F651)</f>
      </c>
      <c r="H651" s="18">
        <f>IF(OR(G651="",E651="",E651=0),"",G651/E651)</f>
      </c>
      <c r="I651" s="19">
        <f>IF(OR(E651="",C651=""),"",IFERROR(E651*INDEX(Alimentos!$C$5:$C$104,MATCH(C651,Alimentos!$A$5:$A$104,0)),""))</f>
      </c>
      <c r="J651" s="10"/>
      <c r="K651" s="10"/>
      <c r="L651" s="10"/>
    </row>
    <row r="652" spans="1:12" x14ac:dyDescent="0.25">
      <c r="A652" s="20"/>
      <c r="B652" s="10"/>
      <c r="C652" s="10"/>
      <c r="D652" s="15">
        <f>IF(C652="","",IFERROR(INDEX(Alimentos!$B$5:$B$104,MATCH(C652,Alimentos!$A$5:$A$104,0)),""))</f>
      </c>
      <c r="E652" s="21"/>
      <c r="F652" s="21"/>
      <c r="G652" s="17">
        <f>IF(OR(E652="",F652=""),"",E652-F652)</f>
      </c>
      <c r="H652" s="18">
        <f>IF(OR(G652="",E652="",E652=0),"",G652/E652)</f>
      </c>
      <c r="I652" s="19">
        <f>IF(OR(E652="",C652=""),"",IFERROR(E652*INDEX(Alimentos!$C$5:$C$104,MATCH(C652,Alimentos!$A$5:$A$104,0)),""))</f>
      </c>
      <c r="J652" s="10"/>
      <c r="K652" s="10"/>
      <c r="L652" s="10"/>
    </row>
    <row r="653" spans="1:12" x14ac:dyDescent="0.25">
      <c r="A653" s="20"/>
      <c r="B653" s="10"/>
      <c r="C653" s="10"/>
      <c r="D653" s="15">
        <f>IF(C653="","",IFERROR(INDEX(Alimentos!$B$5:$B$104,MATCH(C653,Alimentos!$A$5:$A$104,0)),""))</f>
      </c>
      <c r="E653" s="21"/>
      <c r="F653" s="21"/>
      <c r="G653" s="17">
        <f>IF(OR(E653="",F653=""),"",E653-F653)</f>
      </c>
      <c r="H653" s="18">
        <f>IF(OR(G653="",E653="",E653=0),"",G653/E653)</f>
      </c>
      <c r="I653" s="19">
        <f>IF(OR(E653="",C653=""),"",IFERROR(E653*INDEX(Alimentos!$C$5:$C$104,MATCH(C653,Alimentos!$A$5:$A$104,0)),""))</f>
      </c>
      <c r="J653" s="10"/>
      <c r="K653" s="10"/>
      <c r="L653" s="10"/>
    </row>
    <row r="654" spans="1:12" x14ac:dyDescent="0.25">
      <c r="A654" s="20"/>
      <c r="B654" s="10"/>
      <c r="C654" s="10"/>
      <c r="D654" s="15">
        <f>IF(C654="","",IFERROR(INDEX(Alimentos!$B$5:$B$104,MATCH(C654,Alimentos!$A$5:$A$104,0)),""))</f>
      </c>
      <c r="E654" s="21"/>
      <c r="F654" s="21"/>
      <c r="G654" s="17">
        <f>IF(OR(E654="",F654=""),"",E654-F654)</f>
      </c>
      <c r="H654" s="18">
        <f>IF(OR(G654="",E654="",E654=0),"",G654/E654)</f>
      </c>
      <c r="I654" s="19">
        <f>IF(OR(E654="",C654=""),"",IFERROR(E654*INDEX(Alimentos!$C$5:$C$104,MATCH(C654,Alimentos!$A$5:$A$104,0)),""))</f>
      </c>
      <c r="J654" s="10"/>
      <c r="K654" s="10"/>
      <c r="L654" s="10"/>
    </row>
    <row r="655" spans="1:12" x14ac:dyDescent="0.25">
      <c r="A655" s="20"/>
      <c r="B655" s="10"/>
      <c r="C655" s="10"/>
      <c r="D655" s="15">
        <f>IF(C655="","",IFERROR(INDEX(Alimentos!$B$5:$B$104,MATCH(C655,Alimentos!$A$5:$A$104,0)),""))</f>
      </c>
      <c r="E655" s="21"/>
      <c r="F655" s="21"/>
      <c r="G655" s="17">
        <f>IF(OR(E655="",F655=""),"",E655-F655)</f>
      </c>
      <c r="H655" s="18">
        <f>IF(OR(G655="",E655="",E655=0),"",G655/E655)</f>
      </c>
      <c r="I655" s="19">
        <f>IF(OR(E655="",C655=""),"",IFERROR(E655*INDEX(Alimentos!$C$5:$C$104,MATCH(C655,Alimentos!$A$5:$A$104,0)),""))</f>
      </c>
      <c r="J655" s="10"/>
      <c r="K655" s="10"/>
      <c r="L655" s="10"/>
    </row>
    <row r="656" spans="1:12" x14ac:dyDescent="0.25">
      <c r="A656" s="20"/>
      <c r="B656" s="10"/>
      <c r="C656" s="10"/>
      <c r="D656" s="15">
        <f>IF(C656="","",IFERROR(INDEX(Alimentos!$B$5:$B$104,MATCH(C656,Alimentos!$A$5:$A$104,0)),""))</f>
      </c>
      <c r="E656" s="21"/>
      <c r="F656" s="21"/>
      <c r="G656" s="17">
        <f>IF(OR(E656="",F656=""),"",E656-F656)</f>
      </c>
      <c r="H656" s="18">
        <f>IF(OR(G656="",E656="",E656=0),"",G656/E656)</f>
      </c>
      <c r="I656" s="19">
        <f>IF(OR(E656="",C656=""),"",IFERROR(E656*INDEX(Alimentos!$C$5:$C$104,MATCH(C656,Alimentos!$A$5:$A$104,0)),""))</f>
      </c>
      <c r="J656" s="10"/>
      <c r="K656" s="10"/>
      <c r="L656" s="10"/>
    </row>
    <row r="657" spans="1:12" x14ac:dyDescent="0.25">
      <c r="A657" s="20"/>
      <c r="B657" s="10"/>
      <c r="C657" s="10"/>
      <c r="D657" s="15">
        <f>IF(C657="","",IFERROR(INDEX(Alimentos!$B$5:$B$104,MATCH(C657,Alimentos!$A$5:$A$104,0)),""))</f>
      </c>
      <c r="E657" s="21"/>
      <c r="F657" s="21"/>
      <c r="G657" s="17">
        <f>IF(OR(E657="",F657=""),"",E657-F657)</f>
      </c>
      <c r="H657" s="18">
        <f>IF(OR(G657="",E657="",E657=0),"",G657/E657)</f>
      </c>
      <c r="I657" s="19">
        <f>IF(OR(E657="",C657=""),"",IFERROR(E657*INDEX(Alimentos!$C$5:$C$104,MATCH(C657,Alimentos!$A$5:$A$104,0)),""))</f>
      </c>
      <c r="J657" s="10"/>
      <c r="K657" s="10"/>
      <c r="L657" s="10"/>
    </row>
    <row r="658" spans="1:12" x14ac:dyDescent="0.25">
      <c r="A658" s="20"/>
      <c r="B658" s="10"/>
      <c r="C658" s="10"/>
      <c r="D658" s="15">
        <f>IF(C658="","",IFERROR(INDEX(Alimentos!$B$5:$B$104,MATCH(C658,Alimentos!$A$5:$A$104,0)),""))</f>
      </c>
      <c r="E658" s="21"/>
      <c r="F658" s="21"/>
      <c r="G658" s="17">
        <f>IF(OR(E658="",F658=""),"",E658-F658)</f>
      </c>
      <c r="H658" s="18">
        <f>IF(OR(G658="",E658="",E658=0),"",G658/E658)</f>
      </c>
      <c r="I658" s="19">
        <f>IF(OR(E658="",C658=""),"",IFERROR(E658*INDEX(Alimentos!$C$5:$C$104,MATCH(C658,Alimentos!$A$5:$A$104,0)),""))</f>
      </c>
      <c r="J658" s="10"/>
      <c r="K658" s="10"/>
      <c r="L658" s="10"/>
    </row>
    <row r="659" spans="1:12" x14ac:dyDescent="0.25">
      <c r="A659" s="20"/>
      <c r="B659" s="10"/>
      <c r="C659" s="10"/>
      <c r="D659" s="15">
        <f>IF(C659="","",IFERROR(INDEX(Alimentos!$B$5:$B$104,MATCH(C659,Alimentos!$A$5:$A$104,0)),""))</f>
      </c>
      <c r="E659" s="21"/>
      <c r="F659" s="21"/>
      <c r="G659" s="17">
        <f>IF(OR(E659="",F659=""),"",E659-F659)</f>
      </c>
      <c r="H659" s="18">
        <f>IF(OR(G659="",E659="",E659=0),"",G659/E659)</f>
      </c>
      <c r="I659" s="19">
        <f>IF(OR(E659="",C659=""),"",IFERROR(E659*INDEX(Alimentos!$C$5:$C$104,MATCH(C659,Alimentos!$A$5:$A$104,0)),""))</f>
      </c>
      <c r="J659" s="10"/>
      <c r="K659" s="10"/>
      <c r="L659" s="10"/>
    </row>
    <row r="660" spans="1:12" x14ac:dyDescent="0.25">
      <c r="A660" s="20"/>
      <c r="B660" s="10"/>
      <c r="C660" s="10"/>
      <c r="D660" s="15">
        <f>IF(C660="","",IFERROR(INDEX(Alimentos!$B$5:$B$104,MATCH(C660,Alimentos!$A$5:$A$104,0)),""))</f>
      </c>
      <c r="E660" s="21"/>
      <c r="F660" s="21"/>
      <c r="G660" s="17">
        <f>IF(OR(E660="",F660=""),"",E660-F660)</f>
      </c>
      <c r="H660" s="18">
        <f>IF(OR(G660="",E660="",E660=0),"",G660/E660)</f>
      </c>
      <c r="I660" s="19">
        <f>IF(OR(E660="",C660=""),"",IFERROR(E660*INDEX(Alimentos!$C$5:$C$104,MATCH(C660,Alimentos!$A$5:$A$104,0)),""))</f>
      </c>
      <c r="J660" s="10"/>
      <c r="K660" s="10"/>
      <c r="L660" s="10"/>
    </row>
    <row r="661" spans="1:12" x14ac:dyDescent="0.25">
      <c r="A661" s="20"/>
      <c r="B661" s="10"/>
      <c r="C661" s="10"/>
      <c r="D661" s="15">
        <f>IF(C661="","",IFERROR(INDEX(Alimentos!$B$5:$B$104,MATCH(C661,Alimentos!$A$5:$A$104,0)),""))</f>
      </c>
      <c r="E661" s="21"/>
      <c r="F661" s="21"/>
      <c r="G661" s="17">
        <f>IF(OR(E661="",F661=""),"",E661-F661)</f>
      </c>
      <c r="H661" s="18">
        <f>IF(OR(G661="",E661="",E661=0),"",G661/E661)</f>
      </c>
      <c r="I661" s="19">
        <f>IF(OR(E661="",C661=""),"",IFERROR(E661*INDEX(Alimentos!$C$5:$C$104,MATCH(C661,Alimentos!$A$5:$A$104,0)),""))</f>
      </c>
      <c r="J661" s="10"/>
      <c r="K661" s="10"/>
      <c r="L661" s="10"/>
    </row>
    <row r="662" spans="1:12" x14ac:dyDescent="0.25">
      <c r="A662" s="20"/>
      <c r="B662" s="10"/>
      <c r="C662" s="10"/>
      <c r="D662" s="15">
        <f>IF(C662="","",IFERROR(INDEX(Alimentos!$B$5:$B$104,MATCH(C662,Alimentos!$A$5:$A$104,0)),""))</f>
      </c>
      <c r="E662" s="21"/>
      <c r="F662" s="21"/>
      <c r="G662" s="17">
        <f>IF(OR(E662="",F662=""),"",E662-F662)</f>
      </c>
      <c r="H662" s="18">
        <f>IF(OR(G662="",E662="",E662=0),"",G662/E662)</f>
      </c>
      <c r="I662" s="19">
        <f>IF(OR(E662="",C662=""),"",IFERROR(E662*INDEX(Alimentos!$C$5:$C$104,MATCH(C662,Alimentos!$A$5:$A$104,0)),""))</f>
      </c>
      <c r="J662" s="10"/>
      <c r="K662" s="10"/>
      <c r="L662" s="10"/>
    </row>
    <row r="663" spans="1:12" x14ac:dyDescent="0.25">
      <c r="A663" s="20"/>
      <c r="B663" s="10"/>
      <c r="C663" s="10"/>
      <c r="D663" s="15">
        <f>IF(C663="","",IFERROR(INDEX(Alimentos!$B$5:$B$104,MATCH(C663,Alimentos!$A$5:$A$104,0)),""))</f>
      </c>
      <c r="E663" s="21"/>
      <c r="F663" s="21"/>
      <c r="G663" s="17">
        <f>IF(OR(E663="",F663=""),"",E663-F663)</f>
      </c>
      <c r="H663" s="18">
        <f>IF(OR(G663="",E663="",E663=0),"",G663/E663)</f>
      </c>
      <c r="I663" s="19">
        <f>IF(OR(E663="",C663=""),"",IFERROR(E663*INDEX(Alimentos!$C$5:$C$104,MATCH(C663,Alimentos!$A$5:$A$104,0)),""))</f>
      </c>
      <c r="J663" s="10"/>
      <c r="K663" s="10"/>
      <c r="L663" s="10"/>
    </row>
    <row r="664" spans="1:12" x14ac:dyDescent="0.25">
      <c r="A664" s="20"/>
      <c r="B664" s="10"/>
      <c r="C664" s="10"/>
      <c r="D664" s="15">
        <f>IF(C664="","",IFERROR(INDEX(Alimentos!$B$5:$B$104,MATCH(C664,Alimentos!$A$5:$A$104,0)),""))</f>
      </c>
      <c r="E664" s="21"/>
      <c r="F664" s="21"/>
      <c r="G664" s="17">
        <f>IF(OR(E664="",F664=""),"",E664-F664)</f>
      </c>
      <c r="H664" s="18">
        <f>IF(OR(G664="",E664="",E664=0),"",G664/E664)</f>
      </c>
      <c r="I664" s="19">
        <f>IF(OR(E664="",C664=""),"",IFERROR(E664*INDEX(Alimentos!$C$5:$C$104,MATCH(C664,Alimentos!$A$5:$A$104,0)),""))</f>
      </c>
      <c r="J664" s="10"/>
      <c r="K664" s="10"/>
      <c r="L664" s="10"/>
    </row>
    <row r="665" spans="1:12" x14ac:dyDescent="0.25">
      <c r="A665" s="20"/>
      <c r="B665" s="10"/>
      <c r="C665" s="10"/>
      <c r="D665" s="15">
        <f>IF(C665="","",IFERROR(INDEX(Alimentos!$B$5:$B$104,MATCH(C665,Alimentos!$A$5:$A$104,0)),""))</f>
      </c>
      <c r="E665" s="21"/>
      <c r="F665" s="21"/>
      <c r="G665" s="17">
        <f>IF(OR(E665="",F665=""),"",E665-F665)</f>
      </c>
      <c r="H665" s="18">
        <f>IF(OR(G665="",E665="",E665=0),"",G665/E665)</f>
      </c>
      <c r="I665" s="19">
        <f>IF(OR(E665="",C665=""),"",IFERROR(E665*INDEX(Alimentos!$C$5:$C$104,MATCH(C665,Alimentos!$A$5:$A$104,0)),""))</f>
      </c>
      <c r="J665" s="10"/>
      <c r="K665" s="10"/>
      <c r="L665" s="10"/>
    </row>
    <row r="666" spans="1:12" x14ac:dyDescent="0.25">
      <c r="A666" s="20"/>
      <c r="B666" s="10"/>
      <c r="C666" s="10"/>
      <c r="D666" s="15">
        <f>IF(C666="","",IFERROR(INDEX(Alimentos!$B$5:$B$104,MATCH(C666,Alimentos!$A$5:$A$104,0)),""))</f>
      </c>
      <c r="E666" s="21"/>
      <c r="F666" s="21"/>
      <c r="G666" s="17">
        <f>IF(OR(E666="",F666=""),"",E666-F666)</f>
      </c>
      <c r="H666" s="18">
        <f>IF(OR(G666="",E666="",E666=0),"",G666/E666)</f>
      </c>
      <c r="I666" s="19">
        <f>IF(OR(E666="",C666=""),"",IFERROR(E666*INDEX(Alimentos!$C$5:$C$104,MATCH(C666,Alimentos!$A$5:$A$104,0)),""))</f>
      </c>
      <c r="J666" s="10"/>
      <c r="K666" s="10"/>
      <c r="L666" s="10"/>
    </row>
    <row r="667" spans="1:12" x14ac:dyDescent="0.25">
      <c r="A667" s="20"/>
      <c r="B667" s="10"/>
      <c r="C667" s="10"/>
      <c r="D667" s="15">
        <f>IF(C667="","",IFERROR(INDEX(Alimentos!$B$5:$B$104,MATCH(C667,Alimentos!$A$5:$A$104,0)),""))</f>
      </c>
      <c r="E667" s="21"/>
      <c r="F667" s="21"/>
      <c r="G667" s="17">
        <f>IF(OR(E667="",F667=""),"",E667-F667)</f>
      </c>
      <c r="H667" s="18">
        <f>IF(OR(G667="",E667="",E667=0),"",G667/E667)</f>
      </c>
      <c r="I667" s="19">
        <f>IF(OR(E667="",C667=""),"",IFERROR(E667*INDEX(Alimentos!$C$5:$C$104,MATCH(C667,Alimentos!$A$5:$A$104,0)),""))</f>
      </c>
      <c r="J667" s="10"/>
      <c r="K667" s="10"/>
      <c r="L667" s="10"/>
    </row>
    <row r="668" spans="1:12" x14ac:dyDescent="0.25">
      <c r="A668" s="20"/>
      <c r="B668" s="10"/>
      <c r="C668" s="10"/>
      <c r="D668" s="15">
        <f>IF(C668="","",IFERROR(INDEX(Alimentos!$B$5:$B$104,MATCH(C668,Alimentos!$A$5:$A$104,0)),""))</f>
      </c>
      <c r="E668" s="21"/>
      <c r="F668" s="21"/>
      <c r="G668" s="17">
        <f>IF(OR(E668="",F668=""),"",E668-F668)</f>
      </c>
      <c r="H668" s="18">
        <f>IF(OR(G668="",E668="",E668=0),"",G668/E668)</f>
      </c>
      <c r="I668" s="19">
        <f>IF(OR(E668="",C668=""),"",IFERROR(E668*INDEX(Alimentos!$C$5:$C$104,MATCH(C668,Alimentos!$A$5:$A$104,0)),""))</f>
      </c>
      <c r="J668" s="10"/>
      <c r="K668" s="10"/>
      <c r="L668" s="10"/>
    </row>
    <row r="669" spans="1:12" x14ac:dyDescent="0.25">
      <c r="A669" s="20"/>
      <c r="B669" s="10"/>
      <c r="C669" s="10"/>
      <c r="D669" s="15">
        <f>IF(C669="","",IFERROR(INDEX(Alimentos!$B$5:$B$104,MATCH(C669,Alimentos!$A$5:$A$104,0)),""))</f>
      </c>
      <c r="E669" s="21"/>
      <c r="F669" s="21"/>
      <c r="G669" s="17">
        <f>IF(OR(E669="",F669=""),"",E669-F669)</f>
      </c>
      <c r="H669" s="18">
        <f>IF(OR(G669="",E669="",E669=0),"",G669/E669)</f>
      </c>
      <c r="I669" s="19">
        <f>IF(OR(E669="",C669=""),"",IFERROR(E669*INDEX(Alimentos!$C$5:$C$104,MATCH(C669,Alimentos!$A$5:$A$104,0)),""))</f>
      </c>
      <c r="J669" s="10"/>
      <c r="K669" s="10"/>
      <c r="L669" s="10"/>
    </row>
    <row r="670" spans="1:12" x14ac:dyDescent="0.25">
      <c r="A670" s="20"/>
      <c r="B670" s="10"/>
      <c r="C670" s="10"/>
      <c r="D670" s="15">
        <f>IF(C670="","",IFERROR(INDEX(Alimentos!$B$5:$B$104,MATCH(C670,Alimentos!$A$5:$A$104,0)),""))</f>
      </c>
      <c r="E670" s="21"/>
      <c r="F670" s="21"/>
      <c r="G670" s="17">
        <f>IF(OR(E670="",F670=""),"",E670-F670)</f>
      </c>
      <c r="H670" s="18">
        <f>IF(OR(G670="",E670="",E670=0),"",G670/E670)</f>
      </c>
      <c r="I670" s="19">
        <f>IF(OR(E670="",C670=""),"",IFERROR(E670*INDEX(Alimentos!$C$5:$C$104,MATCH(C670,Alimentos!$A$5:$A$104,0)),""))</f>
      </c>
      <c r="J670" s="10"/>
      <c r="K670" s="10"/>
      <c r="L670" s="10"/>
    </row>
    <row r="671" spans="1:12" x14ac:dyDescent="0.25">
      <c r="A671" s="20"/>
      <c r="B671" s="10"/>
      <c r="C671" s="10"/>
      <c r="D671" s="15">
        <f>IF(C671="","",IFERROR(INDEX(Alimentos!$B$5:$B$104,MATCH(C671,Alimentos!$A$5:$A$104,0)),""))</f>
      </c>
      <c r="E671" s="21"/>
      <c r="F671" s="21"/>
      <c r="G671" s="17">
        <f>IF(OR(E671="",F671=""),"",E671-F671)</f>
      </c>
      <c r="H671" s="18">
        <f>IF(OR(G671="",E671="",E671=0),"",G671/E671)</f>
      </c>
      <c r="I671" s="19">
        <f>IF(OR(E671="",C671=""),"",IFERROR(E671*INDEX(Alimentos!$C$5:$C$104,MATCH(C671,Alimentos!$A$5:$A$104,0)),""))</f>
      </c>
      <c r="J671" s="10"/>
      <c r="K671" s="10"/>
      <c r="L671" s="10"/>
    </row>
    <row r="672" spans="1:12" x14ac:dyDescent="0.25">
      <c r="A672" s="20"/>
      <c r="B672" s="10"/>
      <c r="C672" s="10"/>
      <c r="D672" s="15">
        <f>IF(C672="","",IFERROR(INDEX(Alimentos!$B$5:$B$104,MATCH(C672,Alimentos!$A$5:$A$104,0)),""))</f>
      </c>
      <c r="E672" s="21"/>
      <c r="F672" s="21"/>
      <c r="G672" s="17">
        <f>IF(OR(E672="",F672=""),"",E672-F672)</f>
      </c>
      <c r="H672" s="18">
        <f>IF(OR(G672="",E672="",E672=0),"",G672/E672)</f>
      </c>
      <c r="I672" s="19">
        <f>IF(OR(E672="",C672=""),"",IFERROR(E672*INDEX(Alimentos!$C$5:$C$104,MATCH(C672,Alimentos!$A$5:$A$104,0)),""))</f>
      </c>
      <c r="J672" s="10"/>
      <c r="K672" s="10"/>
      <c r="L672" s="10"/>
    </row>
    <row r="673" spans="1:12" x14ac:dyDescent="0.25">
      <c r="A673" s="20"/>
      <c r="B673" s="10"/>
      <c r="C673" s="10"/>
      <c r="D673" s="15">
        <f>IF(C673="","",IFERROR(INDEX(Alimentos!$B$5:$B$104,MATCH(C673,Alimentos!$A$5:$A$104,0)),""))</f>
      </c>
      <c r="E673" s="21"/>
      <c r="F673" s="21"/>
      <c r="G673" s="17">
        <f>IF(OR(E673="",F673=""),"",E673-F673)</f>
      </c>
      <c r="H673" s="18">
        <f>IF(OR(G673="",E673="",E673=0),"",G673/E673)</f>
      </c>
      <c r="I673" s="19">
        <f>IF(OR(E673="",C673=""),"",IFERROR(E673*INDEX(Alimentos!$C$5:$C$104,MATCH(C673,Alimentos!$A$5:$A$104,0)),""))</f>
      </c>
      <c r="J673" s="10"/>
      <c r="K673" s="10"/>
      <c r="L673" s="10"/>
    </row>
    <row r="674" spans="1:12" x14ac:dyDescent="0.25">
      <c r="A674" s="20"/>
      <c r="B674" s="10"/>
      <c r="C674" s="10"/>
      <c r="D674" s="15">
        <f>IF(C674="","",IFERROR(INDEX(Alimentos!$B$5:$B$104,MATCH(C674,Alimentos!$A$5:$A$104,0)),""))</f>
      </c>
      <c r="E674" s="21"/>
      <c r="F674" s="21"/>
      <c r="G674" s="17">
        <f>IF(OR(E674="",F674=""),"",E674-F674)</f>
      </c>
      <c r="H674" s="18">
        <f>IF(OR(G674="",E674="",E674=0),"",G674/E674)</f>
      </c>
      <c r="I674" s="19">
        <f>IF(OR(E674="",C674=""),"",IFERROR(E674*INDEX(Alimentos!$C$5:$C$104,MATCH(C674,Alimentos!$A$5:$A$104,0)),""))</f>
      </c>
      <c r="J674" s="10"/>
      <c r="K674" s="10"/>
      <c r="L674" s="10"/>
    </row>
    <row r="675" spans="1:12" x14ac:dyDescent="0.25">
      <c r="A675" s="20"/>
      <c r="B675" s="10"/>
      <c r="C675" s="10"/>
      <c r="D675" s="15">
        <f>IF(C675="","",IFERROR(INDEX(Alimentos!$B$5:$B$104,MATCH(C675,Alimentos!$A$5:$A$104,0)),""))</f>
      </c>
      <c r="E675" s="21"/>
      <c r="F675" s="21"/>
      <c r="G675" s="17">
        <f>IF(OR(E675="",F675=""),"",E675-F675)</f>
      </c>
      <c r="H675" s="18">
        <f>IF(OR(G675="",E675="",E675=0),"",G675/E675)</f>
      </c>
      <c r="I675" s="19">
        <f>IF(OR(E675="",C675=""),"",IFERROR(E675*INDEX(Alimentos!$C$5:$C$104,MATCH(C675,Alimentos!$A$5:$A$104,0)),""))</f>
      </c>
      <c r="J675" s="10"/>
      <c r="K675" s="10"/>
      <c r="L675" s="10"/>
    </row>
    <row r="676" spans="1:12" x14ac:dyDescent="0.25">
      <c r="A676" s="20"/>
      <c r="B676" s="10"/>
      <c r="C676" s="10"/>
      <c r="D676" s="15">
        <f>IF(C676="","",IFERROR(INDEX(Alimentos!$B$5:$B$104,MATCH(C676,Alimentos!$A$5:$A$104,0)),""))</f>
      </c>
      <c r="E676" s="21"/>
      <c r="F676" s="21"/>
      <c r="G676" s="17">
        <f>IF(OR(E676="",F676=""),"",E676-F676)</f>
      </c>
      <c r="H676" s="18">
        <f>IF(OR(G676="",E676="",E676=0),"",G676/E676)</f>
      </c>
      <c r="I676" s="19">
        <f>IF(OR(E676="",C676=""),"",IFERROR(E676*INDEX(Alimentos!$C$5:$C$104,MATCH(C676,Alimentos!$A$5:$A$104,0)),""))</f>
      </c>
      <c r="J676" s="10"/>
      <c r="K676" s="10"/>
      <c r="L676" s="10"/>
    </row>
    <row r="677" spans="1:12" x14ac:dyDescent="0.25">
      <c r="A677" s="20"/>
      <c r="B677" s="10"/>
      <c r="C677" s="10"/>
      <c r="D677" s="15">
        <f>IF(C677="","",IFERROR(INDEX(Alimentos!$B$5:$B$104,MATCH(C677,Alimentos!$A$5:$A$104,0)),""))</f>
      </c>
      <c r="E677" s="21"/>
      <c r="F677" s="21"/>
      <c r="G677" s="17">
        <f>IF(OR(E677="",F677=""),"",E677-F677)</f>
      </c>
      <c r="H677" s="18">
        <f>IF(OR(G677="",E677="",E677=0),"",G677/E677)</f>
      </c>
      <c r="I677" s="19">
        <f>IF(OR(E677="",C677=""),"",IFERROR(E677*INDEX(Alimentos!$C$5:$C$104,MATCH(C677,Alimentos!$A$5:$A$104,0)),""))</f>
      </c>
      <c r="J677" s="10"/>
      <c r="K677" s="10"/>
      <c r="L677" s="10"/>
    </row>
    <row r="678" spans="1:12" x14ac:dyDescent="0.25">
      <c r="A678" s="20"/>
      <c r="B678" s="10"/>
      <c r="C678" s="10"/>
      <c r="D678" s="15">
        <f>IF(C678="","",IFERROR(INDEX(Alimentos!$B$5:$B$104,MATCH(C678,Alimentos!$A$5:$A$104,0)),""))</f>
      </c>
      <c r="E678" s="21"/>
      <c r="F678" s="21"/>
      <c r="G678" s="17">
        <f>IF(OR(E678="",F678=""),"",E678-F678)</f>
      </c>
      <c r="H678" s="18">
        <f>IF(OR(G678="",E678="",E678=0),"",G678/E678)</f>
      </c>
      <c r="I678" s="19">
        <f>IF(OR(E678="",C678=""),"",IFERROR(E678*INDEX(Alimentos!$C$5:$C$104,MATCH(C678,Alimentos!$A$5:$A$104,0)),""))</f>
      </c>
      <c r="J678" s="10"/>
      <c r="K678" s="10"/>
      <c r="L678" s="10"/>
    </row>
    <row r="679" spans="1:12" x14ac:dyDescent="0.25">
      <c r="A679" s="20"/>
      <c r="B679" s="10"/>
      <c r="C679" s="10"/>
      <c r="D679" s="15">
        <f>IF(C679="","",IFERROR(INDEX(Alimentos!$B$5:$B$104,MATCH(C679,Alimentos!$A$5:$A$104,0)),""))</f>
      </c>
      <c r="E679" s="21"/>
      <c r="F679" s="21"/>
      <c r="G679" s="17">
        <f>IF(OR(E679="",F679=""),"",E679-F679)</f>
      </c>
      <c r="H679" s="18">
        <f>IF(OR(G679="",E679="",E679=0),"",G679/E679)</f>
      </c>
      <c r="I679" s="19">
        <f>IF(OR(E679="",C679=""),"",IFERROR(E679*INDEX(Alimentos!$C$5:$C$104,MATCH(C679,Alimentos!$A$5:$A$104,0)),""))</f>
      </c>
      <c r="J679" s="10"/>
      <c r="K679" s="10"/>
      <c r="L679" s="10"/>
    </row>
    <row r="680" spans="1:12" x14ac:dyDescent="0.25">
      <c r="A680" s="20"/>
      <c r="B680" s="10"/>
      <c r="C680" s="10"/>
      <c r="D680" s="15">
        <f>IF(C680="","",IFERROR(INDEX(Alimentos!$B$5:$B$104,MATCH(C680,Alimentos!$A$5:$A$104,0)),""))</f>
      </c>
      <c r="E680" s="21"/>
      <c r="F680" s="21"/>
      <c r="G680" s="17">
        <f>IF(OR(E680="",F680=""),"",E680-F680)</f>
      </c>
      <c r="H680" s="18">
        <f>IF(OR(G680="",E680="",E680=0),"",G680/E680)</f>
      </c>
      <c r="I680" s="19">
        <f>IF(OR(E680="",C680=""),"",IFERROR(E680*INDEX(Alimentos!$C$5:$C$104,MATCH(C680,Alimentos!$A$5:$A$104,0)),""))</f>
      </c>
      <c r="J680" s="10"/>
      <c r="K680" s="10"/>
      <c r="L680" s="10"/>
    </row>
    <row r="681" spans="1:12" x14ac:dyDescent="0.25">
      <c r="A681" s="20"/>
      <c r="B681" s="10"/>
      <c r="C681" s="10"/>
      <c r="D681" s="15">
        <f>IF(C681="","",IFERROR(INDEX(Alimentos!$B$5:$B$104,MATCH(C681,Alimentos!$A$5:$A$104,0)),""))</f>
      </c>
      <c r="E681" s="21"/>
      <c r="F681" s="21"/>
      <c r="G681" s="17">
        <f>IF(OR(E681="",F681=""),"",E681-F681)</f>
      </c>
      <c r="H681" s="18">
        <f>IF(OR(G681="",E681="",E681=0),"",G681/E681)</f>
      </c>
      <c r="I681" s="19">
        <f>IF(OR(E681="",C681=""),"",IFERROR(E681*INDEX(Alimentos!$C$5:$C$104,MATCH(C681,Alimentos!$A$5:$A$104,0)),""))</f>
      </c>
      <c r="J681" s="10"/>
      <c r="K681" s="10"/>
      <c r="L681" s="10"/>
    </row>
    <row r="682" spans="1:12" x14ac:dyDescent="0.25">
      <c r="A682" s="20"/>
      <c r="B682" s="10"/>
      <c r="C682" s="10"/>
      <c r="D682" s="15">
        <f>IF(C682="","",IFERROR(INDEX(Alimentos!$B$5:$B$104,MATCH(C682,Alimentos!$A$5:$A$104,0)),""))</f>
      </c>
      <c r="E682" s="21"/>
      <c r="F682" s="21"/>
      <c r="G682" s="17">
        <f>IF(OR(E682="",F682=""),"",E682-F682)</f>
      </c>
      <c r="H682" s="18">
        <f>IF(OR(G682="",E682="",E682=0),"",G682/E682)</f>
      </c>
      <c r="I682" s="19">
        <f>IF(OR(E682="",C682=""),"",IFERROR(E682*INDEX(Alimentos!$C$5:$C$104,MATCH(C682,Alimentos!$A$5:$A$104,0)),""))</f>
      </c>
      <c r="J682" s="10"/>
      <c r="K682" s="10"/>
      <c r="L682" s="10"/>
    </row>
    <row r="683" spans="1:12" x14ac:dyDescent="0.25">
      <c r="A683" s="20"/>
      <c r="B683" s="10"/>
      <c r="C683" s="10"/>
      <c r="D683" s="15">
        <f>IF(C683="","",IFERROR(INDEX(Alimentos!$B$5:$B$104,MATCH(C683,Alimentos!$A$5:$A$104,0)),""))</f>
      </c>
      <c r="E683" s="21"/>
      <c r="F683" s="21"/>
      <c r="G683" s="17">
        <f>IF(OR(E683="",F683=""),"",E683-F683)</f>
      </c>
      <c r="H683" s="18">
        <f>IF(OR(G683="",E683="",E683=0),"",G683/E683)</f>
      </c>
      <c r="I683" s="19">
        <f>IF(OR(E683="",C683=""),"",IFERROR(E683*INDEX(Alimentos!$C$5:$C$104,MATCH(C683,Alimentos!$A$5:$A$104,0)),""))</f>
      </c>
      <c r="J683" s="10"/>
      <c r="K683" s="10"/>
      <c r="L683" s="10"/>
    </row>
    <row r="684" spans="1:12" x14ac:dyDescent="0.25">
      <c r="A684" s="20"/>
      <c r="B684" s="10"/>
      <c r="C684" s="10"/>
      <c r="D684" s="15">
        <f>IF(C684="","",IFERROR(INDEX(Alimentos!$B$5:$B$104,MATCH(C684,Alimentos!$A$5:$A$104,0)),""))</f>
      </c>
      <c r="E684" s="21"/>
      <c r="F684" s="21"/>
      <c r="G684" s="17">
        <f>IF(OR(E684="",F684=""),"",E684-F684)</f>
      </c>
      <c r="H684" s="18">
        <f>IF(OR(G684="",E684="",E684=0),"",G684/E684)</f>
      </c>
      <c r="I684" s="19">
        <f>IF(OR(E684="",C684=""),"",IFERROR(E684*INDEX(Alimentos!$C$5:$C$104,MATCH(C684,Alimentos!$A$5:$A$104,0)),""))</f>
      </c>
      <c r="J684" s="10"/>
      <c r="K684" s="10"/>
      <c r="L684" s="10"/>
    </row>
    <row r="685" spans="1:12" x14ac:dyDescent="0.25">
      <c r="A685" s="20"/>
      <c r="B685" s="10"/>
      <c r="C685" s="10"/>
      <c r="D685" s="15">
        <f>IF(C685="","",IFERROR(INDEX(Alimentos!$B$5:$B$104,MATCH(C685,Alimentos!$A$5:$A$104,0)),""))</f>
      </c>
      <c r="E685" s="21"/>
      <c r="F685" s="21"/>
      <c r="G685" s="17">
        <f>IF(OR(E685="",F685=""),"",E685-F685)</f>
      </c>
      <c r="H685" s="18">
        <f>IF(OR(G685="",E685="",E685=0),"",G685/E685)</f>
      </c>
      <c r="I685" s="19">
        <f>IF(OR(E685="",C685=""),"",IFERROR(E685*INDEX(Alimentos!$C$5:$C$104,MATCH(C685,Alimentos!$A$5:$A$104,0)),""))</f>
      </c>
      <c r="J685" s="10"/>
      <c r="K685" s="10"/>
      <c r="L685" s="10"/>
    </row>
    <row r="686" spans="1:12" x14ac:dyDescent="0.25">
      <c r="A686" s="20"/>
      <c r="B686" s="10"/>
      <c r="C686" s="10"/>
      <c r="D686" s="15">
        <f>IF(C686="","",IFERROR(INDEX(Alimentos!$B$5:$B$104,MATCH(C686,Alimentos!$A$5:$A$104,0)),""))</f>
      </c>
      <c r="E686" s="21"/>
      <c r="F686" s="21"/>
      <c r="G686" s="17">
        <f>IF(OR(E686="",F686=""),"",E686-F686)</f>
      </c>
      <c r="H686" s="18">
        <f>IF(OR(G686="",E686="",E686=0),"",G686/E686)</f>
      </c>
      <c r="I686" s="19">
        <f>IF(OR(E686="",C686=""),"",IFERROR(E686*INDEX(Alimentos!$C$5:$C$104,MATCH(C686,Alimentos!$A$5:$A$104,0)),""))</f>
      </c>
      <c r="J686" s="10"/>
      <c r="K686" s="10"/>
      <c r="L686" s="10"/>
    </row>
    <row r="687" spans="1:12" x14ac:dyDescent="0.25">
      <c r="A687" s="20"/>
      <c r="B687" s="10"/>
      <c r="C687" s="10"/>
      <c r="D687" s="15">
        <f>IF(C687="","",IFERROR(INDEX(Alimentos!$B$5:$B$104,MATCH(C687,Alimentos!$A$5:$A$104,0)),""))</f>
      </c>
      <c r="E687" s="21"/>
      <c r="F687" s="21"/>
      <c r="G687" s="17">
        <f>IF(OR(E687="",F687=""),"",E687-F687)</f>
      </c>
      <c r="H687" s="18">
        <f>IF(OR(G687="",E687="",E687=0),"",G687/E687)</f>
      </c>
      <c r="I687" s="19">
        <f>IF(OR(E687="",C687=""),"",IFERROR(E687*INDEX(Alimentos!$C$5:$C$104,MATCH(C687,Alimentos!$A$5:$A$104,0)),""))</f>
      </c>
      <c r="J687" s="10"/>
      <c r="K687" s="10"/>
      <c r="L687" s="10"/>
    </row>
    <row r="688" spans="1:12" x14ac:dyDescent="0.25">
      <c r="A688" s="20"/>
      <c r="B688" s="10"/>
      <c r="C688" s="10"/>
      <c r="D688" s="15">
        <f>IF(C688="","",IFERROR(INDEX(Alimentos!$B$5:$B$104,MATCH(C688,Alimentos!$A$5:$A$104,0)),""))</f>
      </c>
      <c r="E688" s="21"/>
      <c r="F688" s="21"/>
      <c r="G688" s="17">
        <f>IF(OR(E688="",F688=""),"",E688-F688)</f>
      </c>
      <c r="H688" s="18">
        <f>IF(OR(G688="",E688="",E688=0),"",G688/E688)</f>
      </c>
      <c r="I688" s="19">
        <f>IF(OR(E688="",C688=""),"",IFERROR(E688*INDEX(Alimentos!$C$5:$C$104,MATCH(C688,Alimentos!$A$5:$A$104,0)),""))</f>
      </c>
      <c r="J688" s="10"/>
      <c r="K688" s="10"/>
      <c r="L688" s="10"/>
    </row>
    <row r="689" spans="1:12" x14ac:dyDescent="0.25">
      <c r="A689" s="20"/>
      <c r="B689" s="10"/>
      <c r="C689" s="10"/>
      <c r="D689" s="15">
        <f>IF(C689="","",IFERROR(INDEX(Alimentos!$B$5:$B$104,MATCH(C689,Alimentos!$A$5:$A$104,0)),""))</f>
      </c>
      <c r="E689" s="21"/>
      <c r="F689" s="21"/>
      <c r="G689" s="17">
        <f>IF(OR(E689="",F689=""),"",E689-F689)</f>
      </c>
      <c r="H689" s="18">
        <f>IF(OR(G689="",E689="",E689=0),"",G689/E689)</f>
      </c>
      <c r="I689" s="19">
        <f>IF(OR(E689="",C689=""),"",IFERROR(E689*INDEX(Alimentos!$C$5:$C$104,MATCH(C689,Alimentos!$A$5:$A$104,0)),""))</f>
      </c>
      <c r="J689" s="10"/>
      <c r="K689" s="10"/>
      <c r="L689" s="10"/>
    </row>
    <row r="690" spans="1:12" x14ac:dyDescent="0.25">
      <c r="A690" s="20"/>
      <c r="B690" s="10"/>
      <c r="C690" s="10"/>
      <c r="D690" s="15">
        <f>IF(C690="","",IFERROR(INDEX(Alimentos!$B$5:$B$104,MATCH(C690,Alimentos!$A$5:$A$104,0)),""))</f>
      </c>
      <c r="E690" s="21"/>
      <c r="F690" s="21"/>
      <c r="G690" s="17">
        <f>IF(OR(E690="",F690=""),"",E690-F690)</f>
      </c>
      <c r="H690" s="18">
        <f>IF(OR(G690="",E690="",E690=0),"",G690/E690)</f>
      </c>
      <c r="I690" s="19">
        <f>IF(OR(E690="",C690=""),"",IFERROR(E690*INDEX(Alimentos!$C$5:$C$104,MATCH(C690,Alimentos!$A$5:$A$104,0)),""))</f>
      </c>
      <c r="J690" s="10"/>
      <c r="K690" s="10"/>
      <c r="L690" s="10"/>
    </row>
    <row r="691" spans="1:12" x14ac:dyDescent="0.25">
      <c r="A691" s="20"/>
      <c r="B691" s="10"/>
      <c r="C691" s="10"/>
      <c r="D691" s="15">
        <f>IF(C691="","",IFERROR(INDEX(Alimentos!$B$5:$B$104,MATCH(C691,Alimentos!$A$5:$A$104,0)),""))</f>
      </c>
      <c r="E691" s="21"/>
      <c r="F691" s="21"/>
      <c r="G691" s="17">
        <f>IF(OR(E691="",F691=""),"",E691-F691)</f>
      </c>
      <c r="H691" s="18">
        <f>IF(OR(G691="",E691="",E691=0),"",G691/E691)</f>
      </c>
      <c r="I691" s="19">
        <f>IF(OR(E691="",C691=""),"",IFERROR(E691*INDEX(Alimentos!$C$5:$C$104,MATCH(C691,Alimentos!$A$5:$A$104,0)),""))</f>
      </c>
      <c r="J691" s="10"/>
      <c r="K691" s="10"/>
      <c r="L691" s="10"/>
    </row>
    <row r="692" spans="1:12" x14ac:dyDescent="0.25">
      <c r="A692" s="20"/>
      <c r="B692" s="10"/>
      <c r="C692" s="10"/>
      <c r="D692" s="15">
        <f>IF(C692="","",IFERROR(INDEX(Alimentos!$B$5:$B$104,MATCH(C692,Alimentos!$A$5:$A$104,0)),""))</f>
      </c>
      <c r="E692" s="21"/>
      <c r="F692" s="21"/>
      <c r="G692" s="17">
        <f>IF(OR(E692="",F692=""),"",E692-F692)</f>
      </c>
      <c r="H692" s="18">
        <f>IF(OR(G692="",E692="",E692=0),"",G692/E692)</f>
      </c>
      <c r="I692" s="19">
        <f>IF(OR(E692="",C692=""),"",IFERROR(E692*INDEX(Alimentos!$C$5:$C$104,MATCH(C692,Alimentos!$A$5:$A$104,0)),""))</f>
      </c>
      <c r="J692" s="10"/>
      <c r="K692" s="10"/>
      <c r="L692" s="10"/>
    </row>
    <row r="693" spans="1:12" x14ac:dyDescent="0.25">
      <c r="A693" s="20"/>
      <c r="B693" s="10"/>
      <c r="C693" s="10"/>
      <c r="D693" s="15">
        <f>IF(C693="","",IFERROR(INDEX(Alimentos!$B$5:$B$104,MATCH(C693,Alimentos!$A$5:$A$104,0)),""))</f>
      </c>
      <c r="E693" s="21"/>
      <c r="F693" s="21"/>
      <c r="G693" s="17">
        <f>IF(OR(E693="",F693=""),"",E693-F693)</f>
      </c>
      <c r="H693" s="18">
        <f>IF(OR(G693="",E693="",E693=0),"",G693/E693)</f>
      </c>
      <c r="I693" s="19">
        <f>IF(OR(E693="",C693=""),"",IFERROR(E693*INDEX(Alimentos!$C$5:$C$104,MATCH(C693,Alimentos!$A$5:$A$104,0)),""))</f>
      </c>
      <c r="J693" s="10"/>
      <c r="K693" s="10"/>
      <c r="L693" s="10"/>
    </row>
    <row r="694" spans="1:12" x14ac:dyDescent="0.25">
      <c r="A694" s="20"/>
      <c r="B694" s="10"/>
      <c r="C694" s="10"/>
      <c r="D694" s="15">
        <f>IF(C694="","",IFERROR(INDEX(Alimentos!$B$5:$B$104,MATCH(C694,Alimentos!$A$5:$A$104,0)),""))</f>
      </c>
      <c r="E694" s="21"/>
      <c r="F694" s="21"/>
      <c r="G694" s="17">
        <f>IF(OR(E694="",F694=""),"",E694-F694)</f>
      </c>
      <c r="H694" s="18">
        <f>IF(OR(G694="",E694="",E694=0),"",G694/E694)</f>
      </c>
      <c r="I694" s="19">
        <f>IF(OR(E694="",C694=""),"",IFERROR(E694*INDEX(Alimentos!$C$5:$C$104,MATCH(C694,Alimentos!$A$5:$A$104,0)),""))</f>
      </c>
      <c r="J694" s="10"/>
      <c r="K694" s="10"/>
      <c r="L694" s="10"/>
    </row>
    <row r="695" spans="1:12" x14ac:dyDescent="0.25">
      <c r="A695" s="20"/>
      <c r="B695" s="10"/>
      <c r="C695" s="10"/>
      <c r="D695" s="15">
        <f>IF(C695="","",IFERROR(INDEX(Alimentos!$B$5:$B$104,MATCH(C695,Alimentos!$A$5:$A$104,0)),""))</f>
      </c>
      <c r="E695" s="21"/>
      <c r="F695" s="21"/>
      <c r="G695" s="17">
        <f>IF(OR(E695="",F695=""),"",E695-F695)</f>
      </c>
      <c r="H695" s="18">
        <f>IF(OR(G695="",E695="",E695=0),"",G695/E695)</f>
      </c>
      <c r="I695" s="19">
        <f>IF(OR(E695="",C695=""),"",IFERROR(E695*INDEX(Alimentos!$C$5:$C$104,MATCH(C695,Alimentos!$A$5:$A$104,0)),""))</f>
      </c>
      <c r="J695" s="10"/>
      <c r="K695" s="10"/>
      <c r="L695" s="10"/>
    </row>
    <row r="696" spans="1:12" x14ac:dyDescent="0.25">
      <c r="A696" s="20"/>
      <c r="B696" s="10"/>
      <c r="C696" s="10"/>
      <c r="D696" s="15">
        <f>IF(C696="","",IFERROR(INDEX(Alimentos!$B$5:$B$104,MATCH(C696,Alimentos!$A$5:$A$104,0)),""))</f>
      </c>
      <c r="E696" s="21"/>
      <c r="F696" s="21"/>
      <c r="G696" s="17">
        <f>IF(OR(E696="",F696=""),"",E696-F696)</f>
      </c>
      <c r="H696" s="18">
        <f>IF(OR(G696="",E696="",E696=0),"",G696/E696)</f>
      </c>
      <c r="I696" s="19">
        <f>IF(OR(E696="",C696=""),"",IFERROR(E696*INDEX(Alimentos!$C$5:$C$104,MATCH(C696,Alimentos!$A$5:$A$104,0)),""))</f>
      </c>
      <c r="J696" s="10"/>
      <c r="K696" s="10"/>
      <c r="L696" s="10"/>
    </row>
    <row r="697" spans="1:12" x14ac:dyDescent="0.25">
      <c r="A697" s="20"/>
      <c r="B697" s="10"/>
      <c r="C697" s="10"/>
      <c r="D697" s="15">
        <f>IF(C697="","",IFERROR(INDEX(Alimentos!$B$5:$B$104,MATCH(C697,Alimentos!$A$5:$A$104,0)),""))</f>
      </c>
      <c r="E697" s="21"/>
      <c r="F697" s="21"/>
      <c r="G697" s="17">
        <f>IF(OR(E697="",F697=""),"",E697-F697)</f>
      </c>
      <c r="H697" s="18">
        <f>IF(OR(G697="",E697="",E697=0),"",G697/E697)</f>
      </c>
      <c r="I697" s="19">
        <f>IF(OR(E697="",C697=""),"",IFERROR(E697*INDEX(Alimentos!$C$5:$C$104,MATCH(C697,Alimentos!$A$5:$A$104,0)),""))</f>
      </c>
      <c r="J697" s="10"/>
      <c r="K697" s="10"/>
      <c r="L697" s="10"/>
    </row>
    <row r="698" spans="1:12" x14ac:dyDescent="0.25">
      <c r="A698" s="20"/>
      <c r="B698" s="10"/>
      <c r="C698" s="10"/>
      <c r="D698" s="15">
        <f>IF(C698="","",IFERROR(INDEX(Alimentos!$B$5:$B$104,MATCH(C698,Alimentos!$A$5:$A$104,0)),""))</f>
      </c>
      <c r="E698" s="21"/>
      <c r="F698" s="21"/>
      <c r="G698" s="17">
        <f>IF(OR(E698="",F698=""),"",E698-F698)</f>
      </c>
      <c r="H698" s="18">
        <f>IF(OR(G698="",E698="",E698=0),"",G698/E698)</f>
      </c>
      <c r="I698" s="19">
        <f>IF(OR(E698="",C698=""),"",IFERROR(E698*INDEX(Alimentos!$C$5:$C$104,MATCH(C698,Alimentos!$A$5:$A$104,0)),""))</f>
      </c>
      <c r="J698" s="10"/>
      <c r="K698" s="10"/>
      <c r="L698" s="10"/>
    </row>
    <row r="699" spans="1:12" x14ac:dyDescent="0.25">
      <c r="A699" s="20"/>
      <c r="B699" s="10"/>
      <c r="C699" s="10"/>
      <c r="D699" s="15">
        <f>IF(C699="","",IFERROR(INDEX(Alimentos!$B$5:$B$104,MATCH(C699,Alimentos!$A$5:$A$104,0)),""))</f>
      </c>
      <c r="E699" s="21"/>
      <c r="F699" s="21"/>
      <c r="G699" s="17">
        <f>IF(OR(E699="",F699=""),"",E699-F699)</f>
      </c>
      <c r="H699" s="18">
        <f>IF(OR(G699="",E699="",E699=0),"",G699/E699)</f>
      </c>
      <c r="I699" s="19">
        <f>IF(OR(E699="",C699=""),"",IFERROR(E699*INDEX(Alimentos!$C$5:$C$104,MATCH(C699,Alimentos!$A$5:$A$104,0)),""))</f>
      </c>
      <c r="J699" s="10"/>
      <c r="K699" s="10"/>
      <c r="L699" s="10"/>
    </row>
    <row r="700" spans="1:12" x14ac:dyDescent="0.25">
      <c r="A700" s="20"/>
      <c r="B700" s="10"/>
      <c r="C700" s="10"/>
      <c r="D700" s="15">
        <f>IF(C700="","",IFERROR(INDEX(Alimentos!$B$5:$B$104,MATCH(C700,Alimentos!$A$5:$A$104,0)),""))</f>
      </c>
      <c r="E700" s="21"/>
      <c r="F700" s="21"/>
      <c r="G700" s="17">
        <f>IF(OR(E700="",F700=""),"",E700-F700)</f>
      </c>
      <c r="H700" s="18">
        <f>IF(OR(G700="",E700="",E700=0),"",G700/E700)</f>
      </c>
      <c r="I700" s="19">
        <f>IF(OR(E700="",C700=""),"",IFERROR(E700*INDEX(Alimentos!$C$5:$C$104,MATCH(C700,Alimentos!$A$5:$A$104,0)),""))</f>
      </c>
      <c r="J700" s="10"/>
      <c r="K700" s="10"/>
      <c r="L700" s="10"/>
    </row>
    <row r="701" spans="1:12" x14ac:dyDescent="0.25">
      <c r="A701" s="20"/>
      <c r="B701" s="10"/>
      <c r="C701" s="10"/>
      <c r="D701" s="15">
        <f>IF(C701="","",IFERROR(INDEX(Alimentos!$B$5:$B$104,MATCH(C701,Alimentos!$A$5:$A$104,0)),""))</f>
      </c>
      <c r="E701" s="21"/>
      <c r="F701" s="21"/>
      <c r="G701" s="17">
        <f>IF(OR(E701="",F701=""),"",E701-F701)</f>
      </c>
      <c r="H701" s="18">
        <f>IF(OR(G701="",E701="",E701=0),"",G701/E701)</f>
      </c>
      <c r="I701" s="19">
        <f>IF(OR(E701="",C701=""),"",IFERROR(E701*INDEX(Alimentos!$C$5:$C$104,MATCH(C701,Alimentos!$A$5:$A$104,0)),""))</f>
      </c>
      <c r="J701" s="10"/>
      <c r="K701" s="10"/>
      <c r="L701" s="10"/>
    </row>
    <row r="702" spans="1:12" x14ac:dyDescent="0.25">
      <c r="A702" s="20"/>
      <c r="B702" s="10"/>
      <c r="C702" s="10"/>
      <c r="D702" s="15">
        <f>IF(C702="","",IFERROR(INDEX(Alimentos!$B$5:$B$104,MATCH(C702,Alimentos!$A$5:$A$104,0)),""))</f>
      </c>
      <c r="E702" s="21"/>
      <c r="F702" s="21"/>
      <c r="G702" s="17">
        <f>IF(OR(E702="",F702=""),"",E702-F702)</f>
      </c>
      <c r="H702" s="18">
        <f>IF(OR(G702="",E702="",E702=0),"",G702/E702)</f>
      </c>
      <c r="I702" s="19">
        <f>IF(OR(E702="",C702=""),"",IFERROR(E702*INDEX(Alimentos!$C$5:$C$104,MATCH(C702,Alimentos!$A$5:$A$104,0)),""))</f>
      </c>
      <c r="J702" s="10"/>
      <c r="K702" s="10"/>
      <c r="L702" s="10"/>
    </row>
    <row r="703" spans="1:12" x14ac:dyDescent="0.25">
      <c r="A703" s="20"/>
      <c r="B703" s="10"/>
      <c r="C703" s="10"/>
      <c r="D703" s="15">
        <f>IF(C703="","",IFERROR(INDEX(Alimentos!$B$5:$B$104,MATCH(C703,Alimentos!$A$5:$A$104,0)),""))</f>
      </c>
      <c r="E703" s="21"/>
      <c r="F703" s="21"/>
      <c r="G703" s="17">
        <f>IF(OR(E703="",F703=""),"",E703-F703)</f>
      </c>
      <c r="H703" s="18">
        <f>IF(OR(G703="",E703="",E703=0),"",G703/E703)</f>
      </c>
      <c r="I703" s="19">
        <f>IF(OR(E703="",C703=""),"",IFERROR(E703*INDEX(Alimentos!$C$5:$C$104,MATCH(C703,Alimentos!$A$5:$A$104,0)),""))</f>
      </c>
      <c r="J703" s="10"/>
      <c r="K703" s="10"/>
      <c r="L703" s="10"/>
    </row>
    <row r="704" spans="1:12" x14ac:dyDescent="0.25">
      <c r="A704" s="20"/>
      <c r="B704" s="10"/>
      <c r="C704" s="10"/>
      <c r="D704" s="15">
        <f>IF(C704="","",IFERROR(INDEX(Alimentos!$B$5:$B$104,MATCH(C704,Alimentos!$A$5:$A$104,0)),""))</f>
      </c>
      <c r="E704" s="21"/>
      <c r="F704" s="21"/>
      <c r="G704" s="17">
        <f>IF(OR(E704="",F704=""),"",E704-F704)</f>
      </c>
      <c r="H704" s="18">
        <f>IF(OR(G704="",E704="",E704=0),"",G704/E704)</f>
      </c>
      <c r="I704" s="19">
        <f>IF(OR(E704="",C704=""),"",IFERROR(E704*INDEX(Alimentos!$C$5:$C$104,MATCH(C704,Alimentos!$A$5:$A$104,0)),""))</f>
      </c>
      <c r="J704" s="10"/>
      <c r="K704" s="10"/>
      <c r="L704" s="10"/>
    </row>
    <row r="705" spans="1:12" x14ac:dyDescent="0.25">
      <c r="A705" s="20"/>
      <c r="B705" s="10"/>
      <c r="C705" s="10"/>
      <c r="D705" s="15">
        <f>IF(C705="","",IFERROR(INDEX(Alimentos!$B$5:$B$104,MATCH(C705,Alimentos!$A$5:$A$104,0)),""))</f>
      </c>
      <c r="E705" s="21"/>
      <c r="F705" s="21"/>
      <c r="G705" s="17">
        <f>IF(OR(E705="",F705=""),"",E705-F705)</f>
      </c>
      <c r="H705" s="18">
        <f>IF(OR(G705="",E705="",E705=0),"",G705/E705)</f>
      </c>
      <c r="I705" s="19">
        <f>IF(OR(E705="",C705=""),"",IFERROR(E705*INDEX(Alimentos!$C$5:$C$104,MATCH(C705,Alimentos!$A$5:$A$104,0)),""))</f>
      </c>
      <c r="J705" s="10"/>
      <c r="K705" s="10"/>
      <c r="L705" s="10"/>
    </row>
    <row r="706" spans="1:12" x14ac:dyDescent="0.25">
      <c r="A706" s="20"/>
      <c r="B706" s="10"/>
      <c r="C706" s="10"/>
      <c r="D706" s="15">
        <f>IF(C706="","",IFERROR(INDEX(Alimentos!$B$5:$B$104,MATCH(C706,Alimentos!$A$5:$A$104,0)),""))</f>
      </c>
      <c r="E706" s="21"/>
      <c r="F706" s="21"/>
      <c r="G706" s="17">
        <f>IF(OR(E706="",F706=""),"",E706-F706)</f>
      </c>
      <c r="H706" s="18">
        <f>IF(OR(G706="",E706="",E706=0),"",G706/E706)</f>
      </c>
      <c r="I706" s="19">
        <f>IF(OR(E706="",C706=""),"",IFERROR(E706*INDEX(Alimentos!$C$5:$C$104,MATCH(C706,Alimentos!$A$5:$A$104,0)),""))</f>
      </c>
      <c r="J706" s="10"/>
      <c r="K706" s="10"/>
      <c r="L706" s="10"/>
    </row>
    <row r="707" spans="1:12" x14ac:dyDescent="0.25">
      <c r="A707" s="20"/>
      <c r="B707" s="10"/>
      <c r="C707" s="10"/>
      <c r="D707" s="15">
        <f>IF(C707="","",IFERROR(INDEX(Alimentos!$B$5:$B$104,MATCH(C707,Alimentos!$A$5:$A$104,0)),""))</f>
      </c>
      <c r="E707" s="21"/>
      <c r="F707" s="21"/>
      <c r="G707" s="17">
        <f>IF(OR(E707="",F707=""),"",E707-F707)</f>
      </c>
      <c r="H707" s="18">
        <f>IF(OR(G707="",E707="",E707=0),"",G707/E707)</f>
      </c>
      <c r="I707" s="19">
        <f>IF(OR(E707="",C707=""),"",IFERROR(E707*INDEX(Alimentos!$C$5:$C$104,MATCH(C707,Alimentos!$A$5:$A$104,0)),""))</f>
      </c>
      <c r="J707" s="10"/>
      <c r="K707" s="10"/>
      <c r="L707" s="10"/>
    </row>
    <row r="708" spans="1:12" x14ac:dyDescent="0.25">
      <c r="A708" s="20"/>
      <c r="B708" s="10"/>
      <c r="C708" s="10"/>
      <c r="D708" s="15">
        <f>IF(C708="","",IFERROR(INDEX(Alimentos!$B$5:$B$104,MATCH(C708,Alimentos!$A$5:$A$104,0)),""))</f>
      </c>
      <c r="E708" s="21"/>
      <c r="F708" s="21"/>
      <c r="G708" s="17">
        <f>IF(OR(E708="",F708=""),"",E708-F708)</f>
      </c>
      <c r="H708" s="18">
        <f>IF(OR(G708="",E708="",E708=0),"",G708/E708)</f>
      </c>
      <c r="I708" s="19">
        <f>IF(OR(E708="",C708=""),"",IFERROR(E708*INDEX(Alimentos!$C$5:$C$104,MATCH(C708,Alimentos!$A$5:$A$104,0)),""))</f>
      </c>
      <c r="J708" s="10"/>
      <c r="K708" s="10"/>
      <c r="L708" s="10"/>
    </row>
    <row r="709" spans="1:12" x14ac:dyDescent="0.25">
      <c r="A709" s="20"/>
      <c r="B709" s="10"/>
      <c r="C709" s="10"/>
      <c r="D709" s="15">
        <f>IF(C709="","",IFERROR(INDEX(Alimentos!$B$5:$B$104,MATCH(C709,Alimentos!$A$5:$A$104,0)),""))</f>
      </c>
      <c r="E709" s="21"/>
      <c r="F709" s="21"/>
      <c r="G709" s="17">
        <f>IF(OR(E709="",F709=""),"",E709-F709)</f>
      </c>
      <c r="H709" s="18">
        <f>IF(OR(G709="",E709="",E709=0),"",G709/E709)</f>
      </c>
      <c r="I709" s="19">
        <f>IF(OR(E709="",C709=""),"",IFERROR(E709*INDEX(Alimentos!$C$5:$C$104,MATCH(C709,Alimentos!$A$5:$A$104,0)),""))</f>
      </c>
      <c r="J709" s="10"/>
      <c r="K709" s="10"/>
      <c r="L709" s="10"/>
    </row>
    <row r="710" spans="1:12" x14ac:dyDescent="0.25">
      <c r="A710" s="20"/>
      <c r="B710" s="10"/>
      <c r="C710" s="10"/>
      <c r="D710" s="15">
        <f>IF(C710="","",IFERROR(INDEX(Alimentos!$B$5:$B$104,MATCH(C710,Alimentos!$A$5:$A$104,0)),""))</f>
      </c>
      <c r="E710" s="21"/>
      <c r="F710" s="21"/>
      <c r="G710" s="17">
        <f>IF(OR(E710="",F710=""),"",E710-F710)</f>
      </c>
      <c r="H710" s="18">
        <f>IF(OR(G710="",E710="",E710=0),"",G710/E710)</f>
      </c>
      <c r="I710" s="19">
        <f>IF(OR(E710="",C710=""),"",IFERROR(E710*INDEX(Alimentos!$C$5:$C$104,MATCH(C710,Alimentos!$A$5:$A$104,0)),""))</f>
      </c>
      <c r="J710" s="10"/>
      <c r="K710" s="10"/>
      <c r="L710" s="10"/>
    </row>
    <row r="711" spans="1:12" x14ac:dyDescent="0.25">
      <c r="A711" s="20"/>
      <c r="B711" s="10"/>
      <c r="C711" s="10"/>
      <c r="D711" s="15">
        <f>IF(C711="","",IFERROR(INDEX(Alimentos!$B$5:$B$104,MATCH(C711,Alimentos!$A$5:$A$104,0)),""))</f>
      </c>
      <c r="E711" s="21"/>
      <c r="F711" s="21"/>
      <c r="G711" s="17">
        <f>IF(OR(E711="",F711=""),"",E711-F711)</f>
      </c>
      <c r="H711" s="18">
        <f>IF(OR(G711="",E711="",E711=0),"",G711/E711)</f>
      </c>
      <c r="I711" s="19">
        <f>IF(OR(E711="",C711=""),"",IFERROR(E711*INDEX(Alimentos!$C$5:$C$104,MATCH(C711,Alimentos!$A$5:$A$104,0)),""))</f>
      </c>
      <c r="J711" s="10"/>
      <c r="K711" s="10"/>
      <c r="L711" s="10"/>
    </row>
    <row r="712" spans="1:12" x14ac:dyDescent="0.25">
      <c r="A712" s="20"/>
      <c r="B712" s="10"/>
      <c r="C712" s="10"/>
      <c r="D712" s="15">
        <f>IF(C712="","",IFERROR(INDEX(Alimentos!$B$5:$B$104,MATCH(C712,Alimentos!$A$5:$A$104,0)),""))</f>
      </c>
      <c r="E712" s="21"/>
      <c r="F712" s="21"/>
      <c r="G712" s="17">
        <f>IF(OR(E712="",F712=""),"",E712-F712)</f>
      </c>
      <c r="H712" s="18">
        <f>IF(OR(G712="",E712="",E712=0),"",G712/E712)</f>
      </c>
      <c r="I712" s="19">
        <f>IF(OR(E712="",C712=""),"",IFERROR(E712*INDEX(Alimentos!$C$5:$C$104,MATCH(C712,Alimentos!$A$5:$A$104,0)),""))</f>
      </c>
      <c r="J712" s="10"/>
      <c r="K712" s="10"/>
      <c r="L712" s="10"/>
    </row>
    <row r="713" spans="1:12" x14ac:dyDescent="0.25">
      <c r="A713" s="20"/>
      <c r="B713" s="10"/>
      <c r="C713" s="10"/>
      <c r="D713" s="15">
        <f>IF(C713="","",IFERROR(INDEX(Alimentos!$B$5:$B$104,MATCH(C713,Alimentos!$A$5:$A$104,0)),""))</f>
      </c>
      <c r="E713" s="21"/>
      <c r="F713" s="21"/>
      <c r="G713" s="17">
        <f>IF(OR(E713="",F713=""),"",E713-F713)</f>
      </c>
      <c r="H713" s="18">
        <f>IF(OR(G713="",E713="",E713=0),"",G713/E713)</f>
      </c>
      <c r="I713" s="19">
        <f>IF(OR(E713="",C713=""),"",IFERROR(E713*INDEX(Alimentos!$C$5:$C$104,MATCH(C713,Alimentos!$A$5:$A$104,0)),""))</f>
      </c>
      <c r="J713" s="10"/>
      <c r="K713" s="10"/>
      <c r="L713" s="10"/>
    </row>
    <row r="714" spans="1:12" x14ac:dyDescent="0.25">
      <c r="A714" s="20"/>
      <c r="B714" s="10"/>
      <c r="C714" s="10"/>
      <c r="D714" s="15">
        <f>IF(C714="","",IFERROR(INDEX(Alimentos!$B$5:$B$104,MATCH(C714,Alimentos!$A$5:$A$104,0)),""))</f>
      </c>
      <c r="E714" s="21"/>
      <c r="F714" s="21"/>
      <c r="G714" s="17">
        <f>IF(OR(E714="",F714=""),"",E714-F714)</f>
      </c>
      <c r="H714" s="18">
        <f>IF(OR(G714="",E714="",E714=0),"",G714/E714)</f>
      </c>
      <c r="I714" s="19">
        <f>IF(OR(E714="",C714=""),"",IFERROR(E714*INDEX(Alimentos!$C$5:$C$104,MATCH(C714,Alimentos!$A$5:$A$104,0)),""))</f>
      </c>
      <c r="J714" s="10"/>
      <c r="K714" s="10"/>
      <c r="L714" s="10"/>
    </row>
    <row r="715" spans="1:12" x14ac:dyDescent="0.25">
      <c r="A715" s="20"/>
      <c r="B715" s="10"/>
      <c r="C715" s="10"/>
      <c r="D715" s="15">
        <f>IF(C715="","",IFERROR(INDEX(Alimentos!$B$5:$B$104,MATCH(C715,Alimentos!$A$5:$A$104,0)),""))</f>
      </c>
      <c r="E715" s="21"/>
      <c r="F715" s="21"/>
      <c r="G715" s="17">
        <f>IF(OR(E715="",F715=""),"",E715-F715)</f>
      </c>
      <c r="H715" s="18">
        <f>IF(OR(G715="",E715="",E715=0),"",G715/E715)</f>
      </c>
      <c r="I715" s="19">
        <f>IF(OR(E715="",C715=""),"",IFERROR(E715*INDEX(Alimentos!$C$5:$C$104,MATCH(C715,Alimentos!$A$5:$A$104,0)),""))</f>
      </c>
      <c r="J715" s="10"/>
      <c r="K715" s="10"/>
      <c r="L715" s="10"/>
    </row>
    <row r="716" spans="1:12" x14ac:dyDescent="0.25">
      <c r="A716" s="20"/>
      <c r="B716" s="10"/>
      <c r="C716" s="10"/>
      <c r="D716" s="15">
        <f>IF(C716="","",IFERROR(INDEX(Alimentos!$B$5:$B$104,MATCH(C716,Alimentos!$A$5:$A$104,0)),""))</f>
      </c>
      <c r="E716" s="21"/>
      <c r="F716" s="21"/>
      <c r="G716" s="17">
        <f>IF(OR(E716="",F716=""),"",E716-F716)</f>
      </c>
      <c r="H716" s="18">
        <f>IF(OR(G716="",E716="",E716=0),"",G716/E716)</f>
      </c>
      <c r="I716" s="19">
        <f>IF(OR(E716="",C716=""),"",IFERROR(E716*INDEX(Alimentos!$C$5:$C$104,MATCH(C716,Alimentos!$A$5:$A$104,0)),""))</f>
      </c>
      <c r="J716" s="10"/>
      <c r="K716" s="10"/>
      <c r="L716" s="10"/>
    </row>
    <row r="717" spans="1:12" x14ac:dyDescent="0.25">
      <c r="A717" s="20"/>
      <c r="B717" s="10"/>
      <c r="C717" s="10"/>
      <c r="D717" s="15">
        <f>IF(C717="","",IFERROR(INDEX(Alimentos!$B$5:$B$104,MATCH(C717,Alimentos!$A$5:$A$104,0)),""))</f>
      </c>
      <c r="E717" s="21"/>
      <c r="F717" s="21"/>
      <c r="G717" s="17">
        <f>IF(OR(E717="",F717=""),"",E717-F717)</f>
      </c>
      <c r="H717" s="18">
        <f>IF(OR(G717="",E717="",E717=0),"",G717/E717)</f>
      </c>
      <c r="I717" s="19">
        <f>IF(OR(E717="",C717=""),"",IFERROR(E717*INDEX(Alimentos!$C$5:$C$104,MATCH(C717,Alimentos!$A$5:$A$104,0)),""))</f>
      </c>
      <c r="J717" s="10"/>
      <c r="K717" s="10"/>
      <c r="L717" s="10"/>
    </row>
    <row r="718" spans="1:12" x14ac:dyDescent="0.25">
      <c r="A718" s="20"/>
      <c r="B718" s="10"/>
      <c r="C718" s="10"/>
      <c r="D718" s="15">
        <f>IF(C718="","",IFERROR(INDEX(Alimentos!$B$5:$B$104,MATCH(C718,Alimentos!$A$5:$A$104,0)),""))</f>
      </c>
      <c r="E718" s="21"/>
      <c r="F718" s="21"/>
      <c r="G718" s="17">
        <f>IF(OR(E718="",F718=""),"",E718-F718)</f>
      </c>
      <c r="H718" s="18">
        <f>IF(OR(G718="",E718="",E718=0),"",G718/E718)</f>
      </c>
      <c r="I718" s="19">
        <f>IF(OR(E718="",C718=""),"",IFERROR(E718*INDEX(Alimentos!$C$5:$C$104,MATCH(C718,Alimentos!$A$5:$A$104,0)),""))</f>
      </c>
      <c r="J718" s="10"/>
      <c r="K718" s="10"/>
      <c r="L718" s="10"/>
    </row>
    <row r="719" spans="1:12" x14ac:dyDescent="0.25">
      <c r="A719" s="20"/>
      <c r="B719" s="10"/>
      <c r="C719" s="10"/>
      <c r="D719" s="15">
        <f>IF(C719="","",IFERROR(INDEX(Alimentos!$B$5:$B$104,MATCH(C719,Alimentos!$A$5:$A$104,0)),""))</f>
      </c>
      <c r="E719" s="21"/>
      <c r="F719" s="21"/>
      <c r="G719" s="17">
        <f>IF(OR(E719="",F719=""),"",E719-F719)</f>
      </c>
      <c r="H719" s="18">
        <f>IF(OR(G719="",E719="",E719=0),"",G719/E719)</f>
      </c>
      <c r="I719" s="19">
        <f>IF(OR(E719="",C719=""),"",IFERROR(E719*INDEX(Alimentos!$C$5:$C$104,MATCH(C719,Alimentos!$A$5:$A$104,0)),""))</f>
      </c>
      <c r="J719" s="10"/>
      <c r="K719" s="10"/>
      <c r="L719" s="10"/>
    </row>
    <row r="720" spans="1:12" x14ac:dyDescent="0.25">
      <c r="A720" s="20"/>
      <c r="B720" s="10"/>
      <c r="C720" s="10"/>
      <c r="D720" s="15">
        <f>IF(C720="","",IFERROR(INDEX(Alimentos!$B$5:$B$104,MATCH(C720,Alimentos!$A$5:$A$104,0)),""))</f>
      </c>
      <c r="E720" s="21"/>
      <c r="F720" s="21"/>
      <c r="G720" s="17">
        <f>IF(OR(E720="",F720=""),"",E720-F720)</f>
      </c>
      <c r="H720" s="18">
        <f>IF(OR(G720="",E720="",E720=0),"",G720/E720)</f>
      </c>
      <c r="I720" s="19">
        <f>IF(OR(E720="",C720=""),"",IFERROR(E720*INDEX(Alimentos!$C$5:$C$104,MATCH(C720,Alimentos!$A$5:$A$104,0)),""))</f>
      </c>
      <c r="J720" s="10"/>
      <c r="K720" s="10"/>
      <c r="L720" s="10"/>
    </row>
    <row r="721" spans="1:12" x14ac:dyDescent="0.25">
      <c r="A721" s="20"/>
      <c r="B721" s="10"/>
      <c r="C721" s="10"/>
      <c r="D721" s="15">
        <f>IF(C721="","",IFERROR(INDEX(Alimentos!$B$5:$B$104,MATCH(C721,Alimentos!$A$5:$A$104,0)),""))</f>
      </c>
      <c r="E721" s="21"/>
      <c r="F721" s="21"/>
      <c r="G721" s="17">
        <f>IF(OR(E721="",F721=""),"",E721-F721)</f>
      </c>
      <c r="H721" s="18">
        <f>IF(OR(G721="",E721="",E721=0),"",G721/E721)</f>
      </c>
      <c r="I721" s="19">
        <f>IF(OR(E721="",C721=""),"",IFERROR(E721*INDEX(Alimentos!$C$5:$C$104,MATCH(C721,Alimentos!$A$5:$A$104,0)),""))</f>
      </c>
      <c r="J721" s="10"/>
      <c r="K721" s="10"/>
      <c r="L721" s="10"/>
    </row>
    <row r="722" spans="1:12" x14ac:dyDescent="0.25">
      <c r="A722" s="20"/>
      <c r="B722" s="10"/>
      <c r="C722" s="10"/>
      <c r="D722" s="15">
        <f>IF(C722="","",IFERROR(INDEX(Alimentos!$B$5:$B$104,MATCH(C722,Alimentos!$A$5:$A$104,0)),""))</f>
      </c>
      <c r="E722" s="21"/>
      <c r="F722" s="21"/>
      <c r="G722" s="17">
        <f>IF(OR(E722="",F722=""),"",E722-F722)</f>
      </c>
      <c r="H722" s="18">
        <f>IF(OR(G722="",E722="",E722=0),"",G722/E722)</f>
      </c>
      <c r="I722" s="19">
        <f>IF(OR(E722="",C722=""),"",IFERROR(E722*INDEX(Alimentos!$C$5:$C$104,MATCH(C722,Alimentos!$A$5:$A$104,0)),""))</f>
      </c>
      <c r="J722" s="10"/>
      <c r="K722" s="10"/>
      <c r="L722" s="10"/>
    </row>
    <row r="723" spans="1:12" x14ac:dyDescent="0.25">
      <c r="A723" s="20"/>
      <c r="B723" s="10"/>
      <c r="C723" s="10"/>
      <c r="D723" s="15">
        <f>IF(C723="","",IFERROR(INDEX(Alimentos!$B$5:$B$104,MATCH(C723,Alimentos!$A$5:$A$104,0)),""))</f>
      </c>
      <c r="E723" s="21"/>
      <c r="F723" s="21"/>
      <c r="G723" s="17">
        <f>IF(OR(E723="",F723=""),"",E723-F723)</f>
      </c>
      <c r="H723" s="18">
        <f>IF(OR(G723="",E723="",E723=0),"",G723/E723)</f>
      </c>
      <c r="I723" s="19">
        <f>IF(OR(E723="",C723=""),"",IFERROR(E723*INDEX(Alimentos!$C$5:$C$104,MATCH(C723,Alimentos!$A$5:$A$104,0)),""))</f>
      </c>
      <c r="J723" s="10"/>
      <c r="K723" s="10"/>
      <c r="L723" s="10"/>
    </row>
    <row r="724" spans="1:12" x14ac:dyDescent="0.25">
      <c r="A724" s="20"/>
      <c r="B724" s="10"/>
      <c r="C724" s="10"/>
      <c r="D724" s="15">
        <f>IF(C724="","",IFERROR(INDEX(Alimentos!$B$5:$B$104,MATCH(C724,Alimentos!$A$5:$A$104,0)),""))</f>
      </c>
      <c r="E724" s="21"/>
      <c r="F724" s="21"/>
      <c r="G724" s="17">
        <f>IF(OR(E724="",F724=""),"",E724-F724)</f>
      </c>
      <c r="H724" s="18">
        <f>IF(OR(G724="",E724="",E724=0),"",G724/E724)</f>
      </c>
      <c r="I724" s="19">
        <f>IF(OR(E724="",C724=""),"",IFERROR(E724*INDEX(Alimentos!$C$5:$C$104,MATCH(C724,Alimentos!$A$5:$A$104,0)),""))</f>
      </c>
      <c r="J724" s="10"/>
      <c r="K724" s="10"/>
      <c r="L724" s="10"/>
    </row>
    <row r="725" spans="1:12" x14ac:dyDescent="0.25">
      <c r="A725" s="20"/>
      <c r="B725" s="10"/>
      <c r="C725" s="10"/>
      <c r="D725" s="15">
        <f>IF(C725="","",IFERROR(INDEX(Alimentos!$B$5:$B$104,MATCH(C725,Alimentos!$A$5:$A$104,0)),""))</f>
      </c>
      <c r="E725" s="21"/>
      <c r="F725" s="21"/>
      <c r="G725" s="17">
        <f>IF(OR(E725="",F725=""),"",E725-F725)</f>
      </c>
      <c r="H725" s="18">
        <f>IF(OR(G725="",E725="",E725=0),"",G725/E725)</f>
      </c>
      <c r="I725" s="19">
        <f>IF(OR(E725="",C725=""),"",IFERROR(E725*INDEX(Alimentos!$C$5:$C$104,MATCH(C725,Alimentos!$A$5:$A$104,0)),""))</f>
      </c>
      <c r="J725" s="10"/>
      <c r="K725" s="10"/>
      <c r="L725" s="10"/>
    </row>
    <row r="726" spans="1:12" x14ac:dyDescent="0.25">
      <c r="A726" s="20"/>
      <c r="B726" s="10"/>
      <c r="C726" s="10"/>
      <c r="D726" s="15">
        <f>IF(C726="","",IFERROR(INDEX(Alimentos!$B$5:$B$104,MATCH(C726,Alimentos!$A$5:$A$104,0)),""))</f>
      </c>
      <c r="E726" s="21"/>
      <c r="F726" s="21"/>
      <c r="G726" s="17">
        <f>IF(OR(E726="",F726=""),"",E726-F726)</f>
      </c>
      <c r="H726" s="18">
        <f>IF(OR(G726="",E726="",E726=0),"",G726/E726)</f>
      </c>
      <c r="I726" s="19">
        <f>IF(OR(E726="",C726=""),"",IFERROR(E726*INDEX(Alimentos!$C$5:$C$104,MATCH(C726,Alimentos!$A$5:$A$104,0)),""))</f>
      </c>
      <c r="J726" s="10"/>
      <c r="K726" s="10"/>
      <c r="L726" s="10"/>
    </row>
    <row r="727" spans="1:12" x14ac:dyDescent="0.25">
      <c r="A727" s="20"/>
      <c r="B727" s="10"/>
      <c r="C727" s="10"/>
      <c r="D727" s="15">
        <f>IF(C727="","",IFERROR(INDEX(Alimentos!$B$5:$B$104,MATCH(C727,Alimentos!$A$5:$A$104,0)),""))</f>
      </c>
      <c r="E727" s="21"/>
      <c r="F727" s="21"/>
      <c r="G727" s="17">
        <f>IF(OR(E727="",F727=""),"",E727-F727)</f>
      </c>
      <c r="H727" s="18">
        <f>IF(OR(G727="",E727="",E727=0),"",G727/E727)</f>
      </c>
      <c r="I727" s="19">
        <f>IF(OR(E727="",C727=""),"",IFERROR(E727*INDEX(Alimentos!$C$5:$C$104,MATCH(C727,Alimentos!$A$5:$A$104,0)),""))</f>
      </c>
      <c r="J727" s="10"/>
      <c r="K727" s="10"/>
      <c r="L727" s="10"/>
    </row>
    <row r="728" spans="1:12" x14ac:dyDescent="0.25">
      <c r="A728" s="20"/>
      <c r="B728" s="10"/>
      <c r="C728" s="10"/>
      <c r="D728" s="15">
        <f>IF(C728="","",IFERROR(INDEX(Alimentos!$B$5:$B$104,MATCH(C728,Alimentos!$A$5:$A$104,0)),""))</f>
      </c>
      <c r="E728" s="21"/>
      <c r="F728" s="21"/>
      <c r="G728" s="17">
        <f>IF(OR(E728="",F728=""),"",E728-F728)</f>
      </c>
      <c r="H728" s="18">
        <f>IF(OR(G728="",E728="",E728=0),"",G728/E728)</f>
      </c>
      <c r="I728" s="19">
        <f>IF(OR(E728="",C728=""),"",IFERROR(E728*INDEX(Alimentos!$C$5:$C$104,MATCH(C728,Alimentos!$A$5:$A$104,0)),""))</f>
      </c>
      <c r="J728" s="10"/>
      <c r="K728" s="10"/>
      <c r="L728" s="10"/>
    </row>
    <row r="729" spans="1:12" x14ac:dyDescent="0.25">
      <c r="A729" s="20"/>
      <c r="B729" s="10"/>
      <c r="C729" s="10"/>
      <c r="D729" s="15">
        <f>IF(C729="","",IFERROR(INDEX(Alimentos!$B$5:$B$104,MATCH(C729,Alimentos!$A$5:$A$104,0)),""))</f>
      </c>
      <c r="E729" s="21"/>
      <c r="F729" s="21"/>
      <c r="G729" s="17">
        <f>IF(OR(E729="",F729=""),"",E729-F729)</f>
      </c>
      <c r="H729" s="18">
        <f>IF(OR(G729="",E729="",E729=0),"",G729/E729)</f>
      </c>
      <c r="I729" s="19">
        <f>IF(OR(E729="",C729=""),"",IFERROR(E729*INDEX(Alimentos!$C$5:$C$104,MATCH(C729,Alimentos!$A$5:$A$104,0)),""))</f>
      </c>
      <c r="J729" s="10"/>
      <c r="K729" s="10"/>
      <c r="L729" s="10"/>
    </row>
    <row r="730" spans="1:12" x14ac:dyDescent="0.25">
      <c r="A730" s="20"/>
      <c r="B730" s="10"/>
      <c r="C730" s="10"/>
      <c r="D730" s="15">
        <f>IF(C730="","",IFERROR(INDEX(Alimentos!$B$5:$B$104,MATCH(C730,Alimentos!$A$5:$A$104,0)),""))</f>
      </c>
      <c r="E730" s="21"/>
      <c r="F730" s="21"/>
      <c r="G730" s="17">
        <f>IF(OR(E730="",F730=""),"",E730-F730)</f>
      </c>
      <c r="H730" s="18">
        <f>IF(OR(G730="",E730="",E730=0),"",G730/E730)</f>
      </c>
      <c r="I730" s="19">
        <f>IF(OR(E730="",C730=""),"",IFERROR(E730*INDEX(Alimentos!$C$5:$C$104,MATCH(C730,Alimentos!$A$5:$A$104,0)),""))</f>
      </c>
      <c r="J730" s="10"/>
      <c r="K730" s="10"/>
      <c r="L730" s="10"/>
    </row>
    <row r="731" spans="1:12" x14ac:dyDescent="0.25">
      <c r="A731" s="20"/>
      <c r="B731" s="10"/>
      <c r="C731" s="10"/>
      <c r="D731" s="15">
        <f>IF(C731="","",IFERROR(INDEX(Alimentos!$B$5:$B$104,MATCH(C731,Alimentos!$A$5:$A$104,0)),""))</f>
      </c>
      <c r="E731" s="21"/>
      <c r="F731" s="21"/>
      <c r="G731" s="17">
        <f>IF(OR(E731="",F731=""),"",E731-F731)</f>
      </c>
      <c r="H731" s="18">
        <f>IF(OR(G731="",E731="",E731=0),"",G731/E731)</f>
      </c>
      <c r="I731" s="19">
        <f>IF(OR(E731="",C731=""),"",IFERROR(E731*INDEX(Alimentos!$C$5:$C$104,MATCH(C731,Alimentos!$A$5:$A$104,0)),""))</f>
      </c>
      <c r="J731" s="10"/>
      <c r="K731" s="10"/>
      <c r="L731" s="10"/>
    </row>
    <row r="732" spans="1:12" x14ac:dyDescent="0.25">
      <c r="A732" s="20"/>
      <c r="B732" s="10"/>
      <c r="C732" s="10"/>
      <c r="D732" s="15">
        <f>IF(C732="","",IFERROR(INDEX(Alimentos!$B$5:$B$104,MATCH(C732,Alimentos!$A$5:$A$104,0)),""))</f>
      </c>
      <c r="E732" s="21"/>
      <c r="F732" s="21"/>
      <c r="G732" s="17">
        <f>IF(OR(E732="",F732=""),"",E732-F732)</f>
      </c>
      <c r="H732" s="18">
        <f>IF(OR(G732="",E732="",E732=0),"",G732/E732)</f>
      </c>
      <c r="I732" s="19">
        <f>IF(OR(E732="",C732=""),"",IFERROR(E732*INDEX(Alimentos!$C$5:$C$104,MATCH(C732,Alimentos!$A$5:$A$104,0)),""))</f>
      </c>
      <c r="J732" s="10"/>
      <c r="K732" s="10"/>
      <c r="L732" s="10"/>
    </row>
    <row r="733" spans="1:12" x14ac:dyDescent="0.25">
      <c r="A733" s="20"/>
      <c r="B733" s="10"/>
      <c r="C733" s="10"/>
      <c r="D733" s="15">
        <f>IF(C733="","",IFERROR(INDEX(Alimentos!$B$5:$B$104,MATCH(C733,Alimentos!$A$5:$A$104,0)),""))</f>
      </c>
      <c r="E733" s="21"/>
      <c r="F733" s="21"/>
      <c r="G733" s="17">
        <f>IF(OR(E733="",F733=""),"",E733-F733)</f>
      </c>
      <c r="H733" s="18">
        <f>IF(OR(G733="",E733="",E733=0),"",G733/E733)</f>
      </c>
      <c r="I733" s="19">
        <f>IF(OR(E733="",C733=""),"",IFERROR(E733*INDEX(Alimentos!$C$5:$C$104,MATCH(C733,Alimentos!$A$5:$A$104,0)),""))</f>
      </c>
      <c r="J733" s="10"/>
      <c r="K733" s="10"/>
      <c r="L733" s="10"/>
    </row>
    <row r="734" spans="1:12" x14ac:dyDescent="0.25">
      <c r="A734" s="20"/>
      <c r="B734" s="10"/>
      <c r="C734" s="10"/>
      <c r="D734" s="15">
        <f>IF(C734="","",IFERROR(INDEX(Alimentos!$B$5:$B$104,MATCH(C734,Alimentos!$A$5:$A$104,0)),""))</f>
      </c>
      <c r="E734" s="21"/>
      <c r="F734" s="21"/>
      <c r="G734" s="17">
        <f>IF(OR(E734="",F734=""),"",E734-F734)</f>
      </c>
      <c r="H734" s="18">
        <f>IF(OR(G734="",E734="",E734=0),"",G734/E734)</f>
      </c>
      <c r="I734" s="19">
        <f>IF(OR(E734="",C734=""),"",IFERROR(E734*INDEX(Alimentos!$C$5:$C$104,MATCH(C734,Alimentos!$A$5:$A$104,0)),""))</f>
      </c>
      <c r="J734" s="10"/>
      <c r="K734" s="10"/>
      <c r="L734" s="10"/>
    </row>
    <row r="735" spans="1:12" x14ac:dyDescent="0.25">
      <c r="A735" s="20"/>
      <c r="B735" s="10"/>
      <c r="C735" s="10"/>
      <c r="D735" s="15">
        <f>IF(C735="","",IFERROR(INDEX(Alimentos!$B$5:$B$104,MATCH(C735,Alimentos!$A$5:$A$104,0)),""))</f>
      </c>
      <c r="E735" s="21"/>
      <c r="F735" s="21"/>
      <c r="G735" s="17">
        <f>IF(OR(E735="",F735=""),"",E735-F735)</f>
      </c>
      <c r="H735" s="18">
        <f>IF(OR(G735="",E735="",E735=0),"",G735/E735)</f>
      </c>
      <c r="I735" s="19">
        <f>IF(OR(E735="",C735=""),"",IFERROR(E735*INDEX(Alimentos!$C$5:$C$104,MATCH(C735,Alimentos!$A$5:$A$104,0)),""))</f>
      </c>
      <c r="J735" s="10"/>
      <c r="K735" s="10"/>
      <c r="L735" s="10"/>
    </row>
    <row r="736" spans="1:12" x14ac:dyDescent="0.25">
      <c r="A736" s="20"/>
      <c r="B736" s="10"/>
      <c r="C736" s="10"/>
      <c r="D736" s="15">
        <f>IF(C736="","",IFERROR(INDEX(Alimentos!$B$5:$B$104,MATCH(C736,Alimentos!$A$5:$A$104,0)),""))</f>
      </c>
      <c r="E736" s="21"/>
      <c r="F736" s="21"/>
      <c r="G736" s="17">
        <f>IF(OR(E736="",F736=""),"",E736-F736)</f>
      </c>
      <c r="H736" s="18">
        <f>IF(OR(G736="",E736="",E736=0),"",G736/E736)</f>
      </c>
      <c r="I736" s="19">
        <f>IF(OR(E736="",C736=""),"",IFERROR(E736*INDEX(Alimentos!$C$5:$C$104,MATCH(C736,Alimentos!$A$5:$A$104,0)),""))</f>
      </c>
      <c r="J736" s="10"/>
      <c r="K736" s="10"/>
      <c r="L736" s="10"/>
    </row>
    <row r="737" spans="1:12" x14ac:dyDescent="0.25">
      <c r="A737" s="20"/>
      <c r="B737" s="10"/>
      <c r="C737" s="10"/>
      <c r="D737" s="15">
        <f>IF(C737="","",IFERROR(INDEX(Alimentos!$B$5:$B$104,MATCH(C737,Alimentos!$A$5:$A$104,0)),""))</f>
      </c>
      <c r="E737" s="21"/>
      <c r="F737" s="21"/>
      <c r="G737" s="17">
        <f>IF(OR(E737="",F737=""),"",E737-F737)</f>
      </c>
      <c r="H737" s="18">
        <f>IF(OR(G737="",E737="",E737=0),"",G737/E737)</f>
      </c>
      <c r="I737" s="19">
        <f>IF(OR(E737="",C737=""),"",IFERROR(E737*INDEX(Alimentos!$C$5:$C$104,MATCH(C737,Alimentos!$A$5:$A$104,0)),""))</f>
      </c>
      <c r="J737" s="10"/>
      <c r="K737" s="10"/>
      <c r="L737" s="10"/>
    </row>
    <row r="738" spans="1:12" x14ac:dyDescent="0.25">
      <c r="A738" s="20"/>
      <c r="B738" s="10"/>
      <c r="C738" s="10"/>
      <c r="D738" s="15">
        <f>IF(C738="","",IFERROR(INDEX(Alimentos!$B$5:$B$104,MATCH(C738,Alimentos!$A$5:$A$104,0)),""))</f>
      </c>
      <c r="E738" s="21"/>
      <c r="F738" s="21"/>
      <c r="G738" s="17">
        <f>IF(OR(E738="",F738=""),"",E738-F738)</f>
      </c>
      <c r="H738" s="18">
        <f>IF(OR(G738="",E738="",E738=0),"",G738/E738)</f>
      </c>
      <c r="I738" s="19">
        <f>IF(OR(E738="",C738=""),"",IFERROR(E738*INDEX(Alimentos!$C$5:$C$104,MATCH(C738,Alimentos!$A$5:$A$104,0)),""))</f>
      </c>
      <c r="J738" s="10"/>
      <c r="K738" s="10"/>
      <c r="L738" s="10"/>
    </row>
    <row r="739" spans="1:12" x14ac:dyDescent="0.25">
      <c r="A739" s="20"/>
      <c r="B739" s="10"/>
      <c r="C739" s="10"/>
      <c r="D739" s="15">
        <f>IF(C739="","",IFERROR(INDEX(Alimentos!$B$5:$B$104,MATCH(C739,Alimentos!$A$5:$A$104,0)),""))</f>
      </c>
      <c r="E739" s="21"/>
      <c r="F739" s="21"/>
      <c r="G739" s="17">
        <f>IF(OR(E739="",F739=""),"",E739-F739)</f>
      </c>
      <c r="H739" s="18">
        <f>IF(OR(G739="",E739="",E739=0),"",G739/E739)</f>
      </c>
      <c r="I739" s="19">
        <f>IF(OR(E739="",C739=""),"",IFERROR(E739*INDEX(Alimentos!$C$5:$C$104,MATCH(C739,Alimentos!$A$5:$A$104,0)),""))</f>
      </c>
      <c r="J739" s="10"/>
      <c r="K739" s="10"/>
      <c r="L739" s="10"/>
    </row>
    <row r="740" spans="1:12" x14ac:dyDescent="0.25">
      <c r="A740" s="20"/>
      <c r="B740" s="10"/>
      <c r="C740" s="10"/>
      <c r="D740" s="15">
        <f>IF(C740="","",IFERROR(INDEX(Alimentos!$B$5:$B$104,MATCH(C740,Alimentos!$A$5:$A$104,0)),""))</f>
      </c>
      <c r="E740" s="21"/>
      <c r="F740" s="21"/>
      <c r="G740" s="17">
        <f>IF(OR(E740="",F740=""),"",E740-F740)</f>
      </c>
      <c r="H740" s="18">
        <f>IF(OR(G740="",E740="",E740=0),"",G740/E740)</f>
      </c>
      <c r="I740" s="19">
        <f>IF(OR(E740="",C740=""),"",IFERROR(E740*INDEX(Alimentos!$C$5:$C$104,MATCH(C740,Alimentos!$A$5:$A$104,0)),""))</f>
      </c>
      <c r="J740" s="10"/>
      <c r="K740" s="10"/>
      <c r="L740" s="10"/>
    </row>
    <row r="741" spans="1:12" x14ac:dyDescent="0.25">
      <c r="A741" s="20"/>
      <c r="B741" s="10"/>
      <c r="C741" s="10"/>
      <c r="D741" s="15">
        <f>IF(C741="","",IFERROR(INDEX(Alimentos!$B$5:$B$104,MATCH(C741,Alimentos!$A$5:$A$104,0)),""))</f>
      </c>
      <c r="E741" s="21"/>
      <c r="F741" s="21"/>
      <c r="G741" s="17">
        <f>IF(OR(E741="",F741=""),"",E741-F741)</f>
      </c>
      <c r="H741" s="18">
        <f>IF(OR(G741="",E741="",E741=0),"",G741/E741)</f>
      </c>
      <c r="I741" s="19">
        <f>IF(OR(E741="",C741=""),"",IFERROR(E741*INDEX(Alimentos!$C$5:$C$104,MATCH(C741,Alimentos!$A$5:$A$104,0)),""))</f>
      </c>
      <c r="J741" s="10"/>
      <c r="K741" s="10"/>
      <c r="L741" s="10"/>
    </row>
    <row r="742" spans="1:12" x14ac:dyDescent="0.25">
      <c r="A742" s="20"/>
      <c r="B742" s="10"/>
      <c r="C742" s="10"/>
      <c r="D742" s="15">
        <f>IF(C742="","",IFERROR(INDEX(Alimentos!$B$5:$B$104,MATCH(C742,Alimentos!$A$5:$A$104,0)),""))</f>
      </c>
      <c r="E742" s="21"/>
      <c r="F742" s="21"/>
      <c r="G742" s="17">
        <f>IF(OR(E742="",F742=""),"",E742-F742)</f>
      </c>
      <c r="H742" s="18">
        <f>IF(OR(G742="",E742="",E742=0),"",G742/E742)</f>
      </c>
      <c r="I742" s="19">
        <f>IF(OR(E742="",C742=""),"",IFERROR(E742*INDEX(Alimentos!$C$5:$C$104,MATCH(C742,Alimentos!$A$5:$A$104,0)),""))</f>
      </c>
      <c r="J742" s="10"/>
      <c r="K742" s="10"/>
      <c r="L742" s="10"/>
    </row>
    <row r="743" spans="1:12" x14ac:dyDescent="0.25">
      <c r="A743" s="20"/>
      <c r="B743" s="10"/>
      <c r="C743" s="10"/>
      <c r="D743" s="15">
        <f>IF(C743="","",IFERROR(INDEX(Alimentos!$B$5:$B$104,MATCH(C743,Alimentos!$A$5:$A$104,0)),""))</f>
      </c>
      <c r="E743" s="21"/>
      <c r="F743" s="21"/>
      <c r="G743" s="17">
        <f>IF(OR(E743="",F743=""),"",E743-F743)</f>
      </c>
      <c r="H743" s="18">
        <f>IF(OR(G743="",E743="",E743=0),"",G743/E743)</f>
      </c>
      <c r="I743" s="19">
        <f>IF(OR(E743="",C743=""),"",IFERROR(E743*INDEX(Alimentos!$C$5:$C$104,MATCH(C743,Alimentos!$A$5:$A$104,0)),""))</f>
      </c>
      <c r="J743" s="10"/>
      <c r="K743" s="10"/>
      <c r="L743" s="10"/>
    </row>
    <row r="744" spans="1:12" x14ac:dyDescent="0.25">
      <c r="A744" s="20"/>
      <c r="B744" s="10"/>
      <c r="C744" s="10"/>
      <c r="D744" s="15">
        <f>IF(C744="","",IFERROR(INDEX(Alimentos!$B$5:$B$104,MATCH(C744,Alimentos!$A$5:$A$104,0)),""))</f>
      </c>
      <c r="E744" s="21"/>
      <c r="F744" s="21"/>
      <c r="G744" s="17">
        <f>IF(OR(E744="",F744=""),"",E744-F744)</f>
      </c>
      <c r="H744" s="18">
        <f>IF(OR(G744="",E744="",E744=0),"",G744/E744)</f>
      </c>
      <c r="I744" s="19">
        <f>IF(OR(E744="",C744=""),"",IFERROR(E744*INDEX(Alimentos!$C$5:$C$104,MATCH(C744,Alimentos!$A$5:$A$104,0)),""))</f>
      </c>
      <c r="J744" s="10"/>
      <c r="K744" s="10"/>
      <c r="L744" s="10"/>
    </row>
    <row r="745" spans="1:12" x14ac:dyDescent="0.25">
      <c r="A745" s="20"/>
      <c r="B745" s="10"/>
      <c r="C745" s="10"/>
      <c r="D745" s="15">
        <f>IF(C745="","",IFERROR(INDEX(Alimentos!$B$5:$B$104,MATCH(C745,Alimentos!$A$5:$A$104,0)),""))</f>
      </c>
      <c r="E745" s="21"/>
      <c r="F745" s="21"/>
      <c r="G745" s="17">
        <f>IF(OR(E745="",F745=""),"",E745-F745)</f>
      </c>
      <c r="H745" s="18">
        <f>IF(OR(G745="",E745="",E745=0),"",G745/E745)</f>
      </c>
      <c r="I745" s="19">
        <f>IF(OR(E745="",C745=""),"",IFERROR(E745*INDEX(Alimentos!$C$5:$C$104,MATCH(C745,Alimentos!$A$5:$A$104,0)),""))</f>
      </c>
      <c r="J745" s="10"/>
      <c r="K745" s="10"/>
      <c r="L745" s="10"/>
    </row>
    <row r="746" spans="1:12" x14ac:dyDescent="0.25">
      <c r="A746" s="20"/>
      <c r="B746" s="10"/>
      <c r="C746" s="10"/>
      <c r="D746" s="15">
        <f>IF(C746="","",IFERROR(INDEX(Alimentos!$B$5:$B$104,MATCH(C746,Alimentos!$A$5:$A$104,0)),""))</f>
      </c>
      <c r="E746" s="21"/>
      <c r="F746" s="21"/>
      <c r="G746" s="17">
        <f>IF(OR(E746="",F746=""),"",E746-F746)</f>
      </c>
      <c r="H746" s="18">
        <f>IF(OR(G746="",E746="",E746=0),"",G746/E746)</f>
      </c>
      <c r="I746" s="19">
        <f>IF(OR(E746="",C746=""),"",IFERROR(E746*INDEX(Alimentos!$C$5:$C$104,MATCH(C746,Alimentos!$A$5:$A$104,0)),""))</f>
      </c>
      <c r="J746" s="10"/>
      <c r="K746" s="10"/>
      <c r="L746" s="10"/>
    </row>
    <row r="747" spans="1:12" x14ac:dyDescent="0.25">
      <c r="A747" s="20"/>
      <c r="B747" s="10"/>
      <c r="C747" s="10"/>
      <c r="D747" s="15">
        <f>IF(C747="","",IFERROR(INDEX(Alimentos!$B$5:$B$104,MATCH(C747,Alimentos!$A$5:$A$104,0)),""))</f>
      </c>
      <c r="E747" s="21"/>
      <c r="F747" s="21"/>
      <c r="G747" s="17">
        <f>IF(OR(E747="",F747=""),"",E747-F747)</f>
      </c>
      <c r="H747" s="18">
        <f>IF(OR(G747="",E747="",E747=0),"",G747/E747)</f>
      </c>
      <c r="I747" s="19">
        <f>IF(OR(E747="",C747=""),"",IFERROR(E747*INDEX(Alimentos!$C$5:$C$104,MATCH(C747,Alimentos!$A$5:$A$104,0)),""))</f>
      </c>
      <c r="J747" s="10"/>
      <c r="K747" s="10"/>
      <c r="L747" s="10"/>
    </row>
    <row r="748" spans="1:12" x14ac:dyDescent="0.25">
      <c r="A748" s="20"/>
      <c r="B748" s="10"/>
      <c r="C748" s="10"/>
      <c r="D748" s="15">
        <f>IF(C748="","",IFERROR(INDEX(Alimentos!$B$5:$B$104,MATCH(C748,Alimentos!$A$5:$A$104,0)),""))</f>
      </c>
      <c r="E748" s="21"/>
      <c r="F748" s="21"/>
      <c r="G748" s="17">
        <f>IF(OR(E748="",F748=""),"",E748-F748)</f>
      </c>
      <c r="H748" s="18">
        <f>IF(OR(G748="",E748="",E748=0),"",G748/E748)</f>
      </c>
      <c r="I748" s="19">
        <f>IF(OR(E748="",C748=""),"",IFERROR(E748*INDEX(Alimentos!$C$5:$C$104,MATCH(C748,Alimentos!$A$5:$A$104,0)),""))</f>
      </c>
      <c r="J748" s="10"/>
      <c r="K748" s="10"/>
      <c r="L748" s="10"/>
    </row>
    <row r="749" spans="1:12" x14ac:dyDescent="0.25">
      <c r="A749" s="20"/>
      <c r="B749" s="10"/>
      <c r="C749" s="10"/>
      <c r="D749" s="15">
        <f>IF(C749="","",IFERROR(INDEX(Alimentos!$B$5:$B$104,MATCH(C749,Alimentos!$A$5:$A$104,0)),""))</f>
      </c>
      <c r="E749" s="21"/>
      <c r="F749" s="21"/>
      <c r="G749" s="17">
        <f>IF(OR(E749="",F749=""),"",E749-F749)</f>
      </c>
      <c r="H749" s="18">
        <f>IF(OR(G749="",E749="",E749=0),"",G749/E749)</f>
      </c>
      <c r="I749" s="19">
        <f>IF(OR(E749="",C749=""),"",IFERROR(E749*INDEX(Alimentos!$C$5:$C$104,MATCH(C749,Alimentos!$A$5:$A$104,0)),""))</f>
      </c>
      <c r="J749" s="10"/>
      <c r="K749" s="10"/>
      <c r="L749" s="10"/>
    </row>
    <row r="750" spans="1:12" x14ac:dyDescent="0.25">
      <c r="A750" s="20"/>
      <c r="B750" s="10"/>
      <c r="C750" s="10"/>
      <c r="D750" s="15">
        <f>IF(C750="","",IFERROR(INDEX(Alimentos!$B$5:$B$104,MATCH(C750,Alimentos!$A$5:$A$104,0)),""))</f>
      </c>
      <c r="E750" s="21"/>
      <c r="F750" s="21"/>
      <c r="G750" s="17">
        <f>IF(OR(E750="",F750=""),"",E750-F750)</f>
      </c>
      <c r="H750" s="18">
        <f>IF(OR(G750="",E750="",E750=0),"",G750/E750)</f>
      </c>
      <c r="I750" s="19">
        <f>IF(OR(E750="",C750=""),"",IFERROR(E750*INDEX(Alimentos!$C$5:$C$104,MATCH(C750,Alimentos!$A$5:$A$104,0)),""))</f>
      </c>
      <c r="J750" s="10"/>
      <c r="K750" s="10"/>
      <c r="L750" s="10"/>
    </row>
    <row r="751" spans="1:12" x14ac:dyDescent="0.25">
      <c r="A751" s="20"/>
      <c r="B751" s="10"/>
      <c r="C751" s="10"/>
      <c r="D751" s="15">
        <f>IF(C751="","",IFERROR(INDEX(Alimentos!$B$5:$B$104,MATCH(C751,Alimentos!$A$5:$A$104,0)),""))</f>
      </c>
      <c r="E751" s="21"/>
      <c r="F751" s="21"/>
      <c r="G751" s="17">
        <f>IF(OR(E751="",F751=""),"",E751-F751)</f>
      </c>
      <c r="H751" s="18">
        <f>IF(OR(G751="",E751="",E751=0),"",G751/E751)</f>
      </c>
      <c r="I751" s="19">
        <f>IF(OR(E751="",C751=""),"",IFERROR(E751*INDEX(Alimentos!$C$5:$C$104,MATCH(C751,Alimentos!$A$5:$A$104,0)),""))</f>
      </c>
      <c r="J751" s="10"/>
      <c r="K751" s="10"/>
      <c r="L751" s="10"/>
    </row>
    <row r="752" spans="1:12" x14ac:dyDescent="0.25">
      <c r="A752" s="20"/>
      <c r="B752" s="10"/>
      <c r="C752" s="10"/>
      <c r="D752" s="15">
        <f>IF(C752="","",IFERROR(INDEX(Alimentos!$B$5:$B$104,MATCH(C752,Alimentos!$A$5:$A$104,0)),""))</f>
      </c>
      <c r="E752" s="21"/>
      <c r="F752" s="21"/>
      <c r="G752" s="17">
        <f>IF(OR(E752="",F752=""),"",E752-F752)</f>
      </c>
      <c r="H752" s="18">
        <f>IF(OR(G752="",E752="",E752=0),"",G752/E752)</f>
      </c>
      <c r="I752" s="19">
        <f>IF(OR(E752="",C752=""),"",IFERROR(E752*INDEX(Alimentos!$C$5:$C$104,MATCH(C752,Alimentos!$A$5:$A$104,0)),""))</f>
      </c>
      <c r="J752" s="10"/>
      <c r="K752" s="10"/>
      <c r="L752" s="10"/>
    </row>
    <row r="753" spans="1:12" x14ac:dyDescent="0.25">
      <c r="A753" s="20"/>
      <c r="B753" s="10"/>
      <c r="C753" s="10"/>
      <c r="D753" s="15">
        <f>IF(C753="","",IFERROR(INDEX(Alimentos!$B$5:$B$104,MATCH(C753,Alimentos!$A$5:$A$104,0)),""))</f>
      </c>
      <c r="E753" s="21"/>
      <c r="F753" s="21"/>
      <c r="G753" s="17">
        <f>IF(OR(E753="",F753=""),"",E753-F753)</f>
      </c>
      <c r="H753" s="18">
        <f>IF(OR(G753="",E753="",E753=0),"",G753/E753)</f>
      </c>
      <c r="I753" s="19">
        <f>IF(OR(E753="",C753=""),"",IFERROR(E753*INDEX(Alimentos!$C$5:$C$104,MATCH(C753,Alimentos!$A$5:$A$104,0)),""))</f>
      </c>
      <c r="J753" s="10"/>
      <c r="K753" s="10"/>
      <c r="L753" s="10"/>
    </row>
    <row r="754" spans="1:12" x14ac:dyDescent="0.25">
      <c r="A754" s="20"/>
      <c r="B754" s="10"/>
      <c r="C754" s="10"/>
      <c r="D754" s="15">
        <f>IF(C754="","",IFERROR(INDEX(Alimentos!$B$5:$B$104,MATCH(C754,Alimentos!$A$5:$A$104,0)),""))</f>
      </c>
      <c r="E754" s="21"/>
      <c r="F754" s="21"/>
      <c r="G754" s="17">
        <f>IF(OR(E754="",F754=""),"",E754-F754)</f>
      </c>
      <c r="H754" s="18">
        <f>IF(OR(G754="",E754="",E754=0),"",G754/E754)</f>
      </c>
      <c r="I754" s="19">
        <f>IF(OR(E754="",C754=""),"",IFERROR(E754*INDEX(Alimentos!$C$5:$C$104,MATCH(C754,Alimentos!$A$5:$A$104,0)),""))</f>
      </c>
      <c r="J754" s="10"/>
      <c r="K754" s="10"/>
      <c r="L754" s="10"/>
    </row>
    <row r="755" spans="1:12" x14ac:dyDescent="0.25">
      <c r="A755" s="20"/>
      <c r="B755" s="10"/>
      <c r="C755" s="10"/>
      <c r="D755" s="15">
        <f>IF(C755="","",IFERROR(INDEX(Alimentos!$B$5:$B$104,MATCH(C755,Alimentos!$A$5:$A$104,0)),""))</f>
      </c>
      <c r="E755" s="21"/>
      <c r="F755" s="21"/>
      <c r="G755" s="17">
        <f>IF(OR(E755="",F755=""),"",E755-F755)</f>
      </c>
      <c r="H755" s="18">
        <f>IF(OR(G755="",E755="",E755=0),"",G755/E755)</f>
      </c>
      <c r="I755" s="19">
        <f>IF(OR(E755="",C755=""),"",IFERROR(E755*INDEX(Alimentos!$C$5:$C$104,MATCH(C755,Alimentos!$A$5:$A$104,0)),""))</f>
      </c>
      <c r="J755" s="10"/>
      <c r="K755" s="10"/>
      <c r="L755" s="10"/>
    </row>
    <row r="756" spans="1:12" x14ac:dyDescent="0.25">
      <c r="A756" s="20"/>
      <c r="B756" s="10"/>
      <c r="C756" s="10"/>
      <c r="D756" s="15">
        <f>IF(C756="","",IFERROR(INDEX(Alimentos!$B$5:$B$104,MATCH(C756,Alimentos!$A$5:$A$104,0)),""))</f>
      </c>
      <c r="E756" s="21"/>
      <c r="F756" s="21"/>
      <c r="G756" s="17">
        <f>IF(OR(E756="",F756=""),"",E756-F756)</f>
      </c>
      <c r="H756" s="18">
        <f>IF(OR(G756="",E756="",E756=0),"",G756/E756)</f>
      </c>
      <c r="I756" s="19">
        <f>IF(OR(E756="",C756=""),"",IFERROR(E756*INDEX(Alimentos!$C$5:$C$104,MATCH(C756,Alimentos!$A$5:$A$104,0)),""))</f>
      </c>
      <c r="J756" s="10"/>
      <c r="K756" s="10"/>
      <c r="L756" s="10"/>
    </row>
    <row r="757" spans="1:12" x14ac:dyDescent="0.25">
      <c r="A757" s="20"/>
      <c r="B757" s="10"/>
      <c r="C757" s="10"/>
      <c r="D757" s="15">
        <f>IF(C757="","",IFERROR(INDEX(Alimentos!$B$5:$B$104,MATCH(C757,Alimentos!$A$5:$A$104,0)),""))</f>
      </c>
      <c r="E757" s="21"/>
      <c r="F757" s="21"/>
      <c r="G757" s="17">
        <f>IF(OR(E757="",F757=""),"",E757-F757)</f>
      </c>
      <c r="H757" s="18">
        <f>IF(OR(G757="",E757="",E757=0),"",G757/E757)</f>
      </c>
      <c r="I757" s="19">
        <f>IF(OR(E757="",C757=""),"",IFERROR(E757*INDEX(Alimentos!$C$5:$C$104,MATCH(C757,Alimentos!$A$5:$A$104,0)),""))</f>
      </c>
      <c r="J757" s="10"/>
      <c r="K757" s="10"/>
      <c r="L757" s="10"/>
    </row>
    <row r="758" spans="1:12" x14ac:dyDescent="0.25">
      <c r="A758" s="20"/>
      <c r="B758" s="10"/>
      <c r="C758" s="10"/>
      <c r="D758" s="15">
        <f>IF(C758="","",IFERROR(INDEX(Alimentos!$B$5:$B$104,MATCH(C758,Alimentos!$A$5:$A$104,0)),""))</f>
      </c>
      <c r="E758" s="21"/>
      <c r="F758" s="21"/>
      <c r="G758" s="17">
        <f>IF(OR(E758="",F758=""),"",E758-F758)</f>
      </c>
      <c r="H758" s="18">
        <f>IF(OR(G758="",E758="",E758=0),"",G758/E758)</f>
      </c>
      <c r="I758" s="19">
        <f>IF(OR(E758="",C758=""),"",IFERROR(E758*INDEX(Alimentos!$C$5:$C$104,MATCH(C758,Alimentos!$A$5:$A$104,0)),""))</f>
      </c>
      <c r="J758" s="10"/>
      <c r="K758" s="10"/>
      <c r="L758" s="10"/>
    </row>
    <row r="759" spans="1:12" x14ac:dyDescent="0.25">
      <c r="A759" s="20"/>
      <c r="B759" s="10"/>
      <c r="C759" s="10"/>
      <c r="D759" s="15">
        <f>IF(C759="","",IFERROR(INDEX(Alimentos!$B$5:$B$104,MATCH(C759,Alimentos!$A$5:$A$104,0)),""))</f>
      </c>
      <c r="E759" s="21"/>
      <c r="F759" s="21"/>
      <c r="G759" s="17">
        <f>IF(OR(E759="",F759=""),"",E759-F759)</f>
      </c>
      <c r="H759" s="18">
        <f>IF(OR(G759="",E759="",E759=0),"",G759/E759)</f>
      </c>
      <c r="I759" s="19">
        <f>IF(OR(E759="",C759=""),"",IFERROR(E759*INDEX(Alimentos!$C$5:$C$104,MATCH(C759,Alimentos!$A$5:$A$104,0)),""))</f>
      </c>
      <c r="J759" s="10"/>
      <c r="K759" s="10"/>
      <c r="L759" s="10"/>
    </row>
    <row r="760" spans="1:12" x14ac:dyDescent="0.25">
      <c r="A760" s="20"/>
      <c r="B760" s="10"/>
      <c r="C760" s="10"/>
      <c r="D760" s="15">
        <f>IF(C760="","",IFERROR(INDEX(Alimentos!$B$5:$B$104,MATCH(C760,Alimentos!$A$5:$A$104,0)),""))</f>
      </c>
      <c r="E760" s="21"/>
      <c r="F760" s="21"/>
      <c r="G760" s="17">
        <f>IF(OR(E760="",F760=""),"",E760-F760)</f>
      </c>
      <c r="H760" s="18">
        <f>IF(OR(G760="",E760="",E760=0),"",G760/E760)</f>
      </c>
      <c r="I760" s="19">
        <f>IF(OR(E760="",C760=""),"",IFERROR(E760*INDEX(Alimentos!$C$5:$C$104,MATCH(C760,Alimentos!$A$5:$A$104,0)),""))</f>
      </c>
      <c r="J760" s="10"/>
      <c r="K760" s="10"/>
      <c r="L760" s="10"/>
    </row>
    <row r="761" spans="1:12" x14ac:dyDescent="0.25">
      <c r="A761" s="20"/>
      <c r="B761" s="10"/>
      <c r="C761" s="10"/>
      <c r="D761" s="15">
        <f>IF(C761="","",IFERROR(INDEX(Alimentos!$B$5:$B$104,MATCH(C761,Alimentos!$A$5:$A$104,0)),""))</f>
      </c>
      <c r="E761" s="21"/>
      <c r="F761" s="21"/>
      <c r="G761" s="17">
        <f>IF(OR(E761="",F761=""),"",E761-F761)</f>
      </c>
      <c r="H761" s="18">
        <f>IF(OR(G761="",E761="",E761=0),"",G761/E761)</f>
      </c>
      <c r="I761" s="19">
        <f>IF(OR(E761="",C761=""),"",IFERROR(E761*INDEX(Alimentos!$C$5:$C$104,MATCH(C761,Alimentos!$A$5:$A$104,0)),""))</f>
      </c>
      <c r="J761" s="10"/>
      <c r="K761" s="10"/>
      <c r="L761" s="10"/>
    </row>
    <row r="762" spans="1:12" x14ac:dyDescent="0.25">
      <c r="A762" s="20"/>
      <c r="B762" s="10"/>
      <c r="C762" s="10"/>
      <c r="D762" s="15">
        <f>IF(C762="","",IFERROR(INDEX(Alimentos!$B$5:$B$104,MATCH(C762,Alimentos!$A$5:$A$104,0)),""))</f>
      </c>
      <c r="E762" s="21"/>
      <c r="F762" s="21"/>
      <c r="G762" s="17">
        <f>IF(OR(E762="",F762=""),"",E762-F762)</f>
      </c>
      <c r="H762" s="18">
        <f>IF(OR(G762="",E762="",E762=0),"",G762/E762)</f>
      </c>
      <c r="I762" s="19">
        <f>IF(OR(E762="",C762=""),"",IFERROR(E762*INDEX(Alimentos!$C$5:$C$104,MATCH(C762,Alimentos!$A$5:$A$104,0)),""))</f>
      </c>
      <c r="J762" s="10"/>
      <c r="K762" s="10"/>
      <c r="L762" s="10"/>
    </row>
    <row r="763" spans="1:12" x14ac:dyDescent="0.25">
      <c r="A763" s="20"/>
      <c r="B763" s="10"/>
      <c r="C763" s="10"/>
      <c r="D763" s="15">
        <f>IF(C763="","",IFERROR(INDEX(Alimentos!$B$5:$B$104,MATCH(C763,Alimentos!$A$5:$A$104,0)),""))</f>
      </c>
      <c r="E763" s="21"/>
      <c r="F763" s="21"/>
      <c r="G763" s="17">
        <f>IF(OR(E763="",F763=""),"",E763-F763)</f>
      </c>
      <c r="H763" s="18">
        <f>IF(OR(G763="",E763="",E763=0),"",G763/E763)</f>
      </c>
      <c r="I763" s="19">
        <f>IF(OR(E763="",C763=""),"",IFERROR(E763*INDEX(Alimentos!$C$5:$C$104,MATCH(C763,Alimentos!$A$5:$A$104,0)),""))</f>
      </c>
      <c r="J763" s="10"/>
      <c r="K763" s="10"/>
      <c r="L763" s="10"/>
    </row>
    <row r="764" spans="1:12" x14ac:dyDescent="0.25">
      <c r="A764" s="20"/>
      <c r="B764" s="10"/>
      <c r="C764" s="10"/>
      <c r="D764" s="15">
        <f>IF(C764="","",IFERROR(INDEX(Alimentos!$B$5:$B$104,MATCH(C764,Alimentos!$A$5:$A$104,0)),""))</f>
      </c>
      <c r="E764" s="21"/>
      <c r="F764" s="21"/>
      <c r="G764" s="17">
        <f>IF(OR(E764="",F764=""),"",E764-F764)</f>
      </c>
      <c r="H764" s="18">
        <f>IF(OR(G764="",E764="",E764=0),"",G764/E764)</f>
      </c>
      <c r="I764" s="19">
        <f>IF(OR(E764="",C764=""),"",IFERROR(E764*INDEX(Alimentos!$C$5:$C$104,MATCH(C764,Alimentos!$A$5:$A$104,0)),""))</f>
      </c>
      <c r="J764" s="10"/>
      <c r="K764" s="10"/>
      <c r="L764" s="10"/>
    </row>
    <row r="765" spans="1:12" x14ac:dyDescent="0.25">
      <c r="A765" s="20"/>
      <c r="B765" s="10"/>
      <c r="C765" s="10"/>
      <c r="D765" s="15">
        <f>IF(C765="","",IFERROR(INDEX(Alimentos!$B$5:$B$104,MATCH(C765,Alimentos!$A$5:$A$104,0)),""))</f>
      </c>
      <c r="E765" s="21"/>
      <c r="F765" s="21"/>
      <c r="G765" s="17">
        <f>IF(OR(E765="",F765=""),"",E765-F765)</f>
      </c>
      <c r="H765" s="18">
        <f>IF(OR(G765="",E765="",E765=0),"",G765/E765)</f>
      </c>
      <c r="I765" s="19">
        <f>IF(OR(E765="",C765=""),"",IFERROR(E765*INDEX(Alimentos!$C$5:$C$104,MATCH(C765,Alimentos!$A$5:$A$104,0)),""))</f>
      </c>
      <c r="J765" s="10"/>
      <c r="K765" s="10"/>
      <c r="L765" s="10"/>
    </row>
    <row r="766" spans="1:12" x14ac:dyDescent="0.25">
      <c r="A766" s="20"/>
      <c r="B766" s="10"/>
      <c r="C766" s="10"/>
      <c r="D766" s="15">
        <f>IF(C766="","",IFERROR(INDEX(Alimentos!$B$5:$B$104,MATCH(C766,Alimentos!$A$5:$A$104,0)),""))</f>
      </c>
      <c r="E766" s="21"/>
      <c r="F766" s="21"/>
      <c r="G766" s="17">
        <f>IF(OR(E766="",F766=""),"",E766-F766)</f>
      </c>
      <c r="H766" s="18">
        <f>IF(OR(G766="",E766="",E766=0),"",G766/E766)</f>
      </c>
      <c r="I766" s="19">
        <f>IF(OR(E766="",C766=""),"",IFERROR(E766*INDEX(Alimentos!$C$5:$C$104,MATCH(C766,Alimentos!$A$5:$A$104,0)),""))</f>
      </c>
      <c r="J766" s="10"/>
      <c r="K766" s="10"/>
      <c r="L766" s="10"/>
    </row>
    <row r="767" spans="1:12" x14ac:dyDescent="0.25">
      <c r="A767" s="20"/>
      <c r="B767" s="10"/>
      <c r="C767" s="10"/>
      <c r="D767" s="15">
        <f>IF(C767="","",IFERROR(INDEX(Alimentos!$B$5:$B$104,MATCH(C767,Alimentos!$A$5:$A$104,0)),""))</f>
      </c>
      <c r="E767" s="21"/>
      <c r="F767" s="21"/>
      <c r="G767" s="17">
        <f>IF(OR(E767="",F767=""),"",E767-F767)</f>
      </c>
      <c r="H767" s="18">
        <f>IF(OR(G767="",E767="",E767=0),"",G767/E767)</f>
      </c>
      <c r="I767" s="19">
        <f>IF(OR(E767="",C767=""),"",IFERROR(E767*INDEX(Alimentos!$C$5:$C$104,MATCH(C767,Alimentos!$A$5:$A$104,0)),""))</f>
      </c>
      <c r="J767" s="10"/>
      <c r="K767" s="10"/>
      <c r="L767" s="10"/>
    </row>
    <row r="768" spans="1:12" x14ac:dyDescent="0.25">
      <c r="A768" s="20"/>
      <c r="B768" s="10"/>
      <c r="C768" s="10"/>
      <c r="D768" s="15">
        <f>IF(C768="","",IFERROR(INDEX(Alimentos!$B$5:$B$104,MATCH(C768,Alimentos!$A$5:$A$104,0)),""))</f>
      </c>
      <c r="E768" s="21"/>
      <c r="F768" s="21"/>
      <c r="G768" s="17">
        <f>IF(OR(E768="",F768=""),"",E768-F768)</f>
      </c>
      <c r="H768" s="18">
        <f>IF(OR(G768="",E768="",E768=0),"",G768/E768)</f>
      </c>
      <c r="I768" s="19">
        <f>IF(OR(E768="",C768=""),"",IFERROR(E768*INDEX(Alimentos!$C$5:$C$104,MATCH(C768,Alimentos!$A$5:$A$104,0)),""))</f>
      </c>
      <c r="J768" s="10"/>
      <c r="K768" s="10"/>
      <c r="L768" s="10"/>
    </row>
    <row r="769" spans="1:12" x14ac:dyDescent="0.25">
      <c r="A769" s="20"/>
      <c r="B769" s="10"/>
      <c r="C769" s="10"/>
      <c r="D769" s="15">
        <f>IF(C769="","",IFERROR(INDEX(Alimentos!$B$5:$B$104,MATCH(C769,Alimentos!$A$5:$A$104,0)),""))</f>
      </c>
      <c r="E769" s="21"/>
      <c r="F769" s="21"/>
      <c r="G769" s="17">
        <f>IF(OR(E769="",F769=""),"",E769-F769)</f>
      </c>
      <c r="H769" s="18">
        <f>IF(OR(G769="",E769="",E769=0),"",G769/E769)</f>
      </c>
      <c r="I769" s="19">
        <f>IF(OR(E769="",C769=""),"",IFERROR(E769*INDEX(Alimentos!$C$5:$C$104,MATCH(C769,Alimentos!$A$5:$A$104,0)),""))</f>
      </c>
      <c r="J769" s="10"/>
      <c r="K769" s="10"/>
      <c r="L769" s="10"/>
    </row>
    <row r="770" spans="1:12" x14ac:dyDescent="0.25">
      <c r="A770" s="20"/>
      <c r="B770" s="10"/>
      <c r="C770" s="10"/>
      <c r="D770" s="15">
        <f>IF(C770="","",IFERROR(INDEX(Alimentos!$B$5:$B$104,MATCH(C770,Alimentos!$A$5:$A$104,0)),""))</f>
      </c>
      <c r="E770" s="21"/>
      <c r="F770" s="21"/>
      <c r="G770" s="17">
        <f>IF(OR(E770="",F770=""),"",E770-F770)</f>
      </c>
      <c r="H770" s="18">
        <f>IF(OR(G770="",E770="",E770=0),"",G770/E770)</f>
      </c>
      <c r="I770" s="19">
        <f>IF(OR(E770="",C770=""),"",IFERROR(E770*INDEX(Alimentos!$C$5:$C$104,MATCH(C770,Alimentos!$A$5:$A$104,0)),""))</f>
      </c>
      <c r="J770" s="10"/>
      <c r="K770" s="10"/>
      <c r="L770" s="10"/>
    </row>
    <row r="771" spans="1:12" x14ac:dyDescent="0.25">
      <c r="A771" s="20"/>
      <c r="B771" s="10"/>
      <c r="C771" s="10"/>
      <c r="D771" s="15">
        <f>IF(C771="","",IFERROR(INDEX(Alimentos!$B$5:$B$104,MATCH(C771,Alimentos!$A$5:$A$104,0)),""))</f>
      </c>
      <c r="E771" s="21"/>
      <c r="F771" s="21"/>
      <c r="G771" s="17">
        <f>IF(OR(E771="",F771=""),"",E771-F771)</f>
      </c>
      <c r="H771" s="18">
        <f>IF(OR(G771="",E771="",E771=0),"",G771/E771)</f>
      </c>
      <c r="I771" s="19">
        <f>IF(OR(E771="",C771=""),"",IFERROR(E771*INDEX(Alimentos!$C$5:$C$104,MATCH(C771,Alimentos!$A$5:$A$104,0)),""))</f>
      </c>
      <c r="J771" s="10"/>
      <c r="K771" s="10"/>
      <c r="L771" s="10"/>
    </row>
    <row r="772" spans="1:12" x14ac:dyDescent="0.25">
      <c r="A772" s="20"/>
      <c r="B772" s="10"/>
      <c r="C772" s="10"/>
      <c r="D772" s="15">
        <f>IF(C772="","",IFERROR(INDEX(Alimentos!$B$5:$B$104,MATCH(C772,Alimentos!$A$5:$A$104,0)),""))</f>
      </c>
      <c r="E772" s="21"/>
      <c r="F772" s="21"/>
      <c r="G772" s="17">
        <f>IF(OR(E772="",F772=""),"",E772-F772)</f>
      </c>
      <c r="H772" s="18">
        <f>IF(OR(G772="",E772="",E772=0),"",G772/E772)</f>
      </c>
      <c r="I772" s="19">
        <f>IF(OR(E772="",C772=""),"",IFERROR(E772*INDEX(Alimentos!$C$5:$C$104,MATCH(C772,Alimentos!$A$5:$A$104,0)),""))</f>
      </c>
      <c r="J772" s="10"/>
      <c r="K772" s="10"/>
      <c r="L772" s="10"/>
    </row>
    <row r="773" spans="1:12" x14ac:dyDescent="0.25">
      <c r="A773" s="20"/>
      <c r="B773" s="10"/>
      <c r="C773" s="10"/>
      <c r="D773" s="15">
        <f>IF(C773="","",IFERROR(INDEX(Alimentos!$B$5:$B$104,MATCH(C773,Alimentos!$A$5:$A$104,0)),""))</f>
      </c>
      <c r="E773" s="21"/>
      <c r="F773" s="21"/>
      <c r="G773" s="17">
        <f>IF(OR(E773="",F773=""),"",E773-F773)</f>
      </c>
      <c r="H773" s="18">
        <f>IF(OR(G773="",E773="",E773=0),"",G773/E773)</f>
      </c>
      <c r="I773" s="19">
        <f>IF(OR(E773="",C773=""),"",IFERROR(E773*INDEX(Alimentos!$C$5:$C$104,MATCH(C773,Alimentos!$A$5:$A$104,0)),""))</f>
      </c>
      <c r="J773" s="10"/>
      <c r="K773" s="10"/>
      <c r="L773" s="10"/>
    </row>
    <row r="774" spans="1:12" x14ac:dyDescent="0.25">
      <c r="A774" s="20"/>
      <c r="B774" s="10"/>
      <c r="C774" s="10"/>
      <c r="D774" s="15">
        <f>IF(C774="","",IFERROR(INDEX(Alimentos!$B$5:$B$104,MATCH(C774,Alimentos!$A$5:$A$104,0)),""))</f>
      </c>
      <c r="E774" s="21"/>
      <c r="F774" s="21"/>
      <c r="G774" s="17">
        <f>IF(OR(E774="",F774=""),"",E774-F774)</f>
      </c>
      <c r="H774" s="18">
        <f>IF(OR(G774="",E774="",E774=0),"",G774/E774)</f>
      </c>
      <c r="I774" s="19">
        <f>IF(OR(E774="",C774=""),"",IFERROR(E774*INDEX(Alimentos!$C$5:$C$104,MATCH(C774,Alimentos!$A$5:$A$104,0)),""))</f>
      </c>
      <c r="J774" s="10"/>
      <c r="K774" s="10"/>
      <c r="L774" s="10"/>
    </row>
    <row r="775" spans="1:12" x14ac:dyDescent="0.25">
      <c r="A775" s="20"/>
      <c r="B775" s="10"/>
      <c r="C775" s="10"/>
      <c r="D775" s="15">
        <f>IF(C775="","",IFERROR(INDEX(Alimentos!$B$5:$B$104,MATCH(C775,Alimentos!$A$5:$A$104,0)),""))</f>
      </c>
      <c r="E775" s="21"/>
      <c r="F775" s="21"/>
      <c r="G775" s="17">
        <f>IF(OR(E775="",F775=""),"",E775-F775)</f>
      </c>
      <c r="H775" s="18">
        <f>IF(OR(G775="",E775="",E775=0),"",G775/E775)</f>
      </c>
      <c r="I775" s="19">
        <f>IF(OR(E775="",C775=""),"",IFERROR(E775*INDEX(Alimentos!$C$5:$C$104,MATCH(C775,Alimentos!$A$5:$A$104,0)),""))</f>
      </c>
      <c r="J775" s="10"/>
      <c r="K775" s="10"/>
      <c r="L775" s="10"/>
    </row>
    <row r="776" spans="1:12" x14ac:dyDescent="0.25">
      <c r="A776" s="20"/>
      <c r="B776" s="10"/>
      <c r="C776" s="10"/>
      <c r="D776" s="15">
        <f>IF(C776="","",IFERROR(INDEX(Alimentos!$B$5:$B$104,MATCH(C776,Alimentos!$A$5:$A$104,0)),""))</f>
      </c>
      <c r="E776" s="21"/>
      <c r="F776" s="21"/>
      <c r="G776" s="17">
        <f>IF(OR(E776="",F776=""),"",E776-F776)</f>
      </c>
      <c r="H776" s="18">
        <f>IF(OR(G776="",E776="",E776=0),"",G776/E776)</f>
      </c>
      <c r="I776" s="19">
        <f>IF(OR(E776="",C776=""),"",IFERROR(E776*INDEX(Alimentos!$C$5:$C$104,MATCH(C776,Alimentos!$A$5:$A$104,0)),""))</f>
      </c>
      <c r="J776" s="10"/>
      <c r="K776" s="10"/>
      <c r="L776" s="10"/>
    </row>
    <row r="777" spans="1:12" x14ac:dyDescent="0.25">
      <c r="A777" s="20"/>
      <c r="B777" s="10"/>
      <c r="C777" s="10"/>
      <c r="D777" s="15">
        <f>IF(C777="","",IFERROR(INDEX(Alimentos!$B$5:$B$104,MATCH(C777,Alimentos!$A$5:$A$104,0)),""))</f>
      </c>
      <c r="E777" s="21"/>
      <c r="F777" s="21"/>
      <c r="G777" s="17">
        <f>IF(OR(E777="",F777=""),"",E777-F777)</f>
      </c>
      <c r="H777" s="18">
        <f>IF(OR(G777="",E777="",E777=0),"",G777/E777)</f>
      </c>
      <c r="I777" s="19">
        <f>IF(OR(E777="",C777=""),"",IFERROR(E777*INDEX(Alimentos!$C$5:$C$104,MATCH(C777,Alimentos!$A$5:$A$104,0)),""))</f>
      </c>
      <c r="J777" s="10"/>
      <c r="K777" s="10"/>
      <c r="L777" s="10"/>
    </row>
    <row r="778" spans="1:12" x14ac:dyDescent="0.25">
      <c r="A778" s="20"/>
      <c r="B778" s="10"/>
      <c r="C778" s="10"/>
      <c r="D778" s="15">
        <f>IF(C778="","",IFERROR(INDEX(Alimentos!$B$5:$B$104,MATCH(C778,Alimentos!$A$5:$A$104,0)),""))</f>
      </c>
      <c r="E778" s="21"/>
      <c r="F778" s="21"/>
      <c r="G778" s="17">
        <f>IF(OR(E778="",F778=""),"",E778-F778)</f>
      </c>
      <c r="H778" s="18">
        <f>IF(OR(G778="",E778="",E778=0),"",G778/E778)</f>
      </c>
      <c r="I778" s="19">
        <f>IF(OR(E778="",C778=""),"",IFERROR(E778*INDEX(Alimentos!$C$5:$C$104,MATCH(C778,Alimentos!$A$5:$A$104,0)),""))</f>
      </c>
      <c r="J778" s="10"/>
      <c r="K778" s="10"/>
      <c r="L778" s="10"/>
    </row>
    <row r="779" spans="1:12" x14ac:dyDescent="0.25">
      <c r="A779" s="20"/>
      <c r="B779" s="10"/>
      <c r="C779" s="10"/>
      <c r="D779" s="15">
        <f>IF(C779="","",IFERROR(INDEX(Alimentos!$B$5:$B$104,MATCH(C779,Alimentos!$A$5:$A$104,0)),""))</f>
      </c>
      <c r="E779" s="21"/>
      <c r="F779" s="21"/>
      <c r="G779" s="17">
        <f>IF(OR(E779="",F779=""),"",E779-F779)</f>
      </c>
      <c r="H779" s="18">
        <f>IF(OR(G779="",E779="",E779=0),"",G779/E779)</f>
      </c>
      <c r="I779" s="19">
        <f>IF(OR(E779="",C779=""),"",IFERROR(E779*INDEX(Alimentos!$C$5:$C$104,MATCH(C779,Alimentos!$A$5:$A$104,0)),""))</f>
      </c>
      <c r="J779" s="10"/>
      <c r="K779" s="10"/>
      <c r="L779" s="10"/>
    </row>
    <row r="780" spans="1:12" x14ac:dyDescent="0.25">
      <c r="A780" s="20"/>
      <c r="B780" s="10"/>
      <c r="C780" s="10"/>
      <c r="D780" s="15">
        <f>IF(C780="","",IFERROR(INDEX(Alimentos!$B$5:$B$104,MATCH(C780,Alimentos!$A$5:$A$104,0)),""))</f>
      </c>
      <c r="E780" s="21"/>
      <c r="F780" s="21"/>
      <c r="G780" s="17">
        <f>IF(OR(E780="",F780=""),"",E780-F780)</f>
      </c>
      <c r="H780" s="18">
        <f>IF(OR(G780="",E780="",E780=0),"",G780/E780)</f>
      </c>
      <c r="I780" s="19">
        <f>IF(OR(E780="",C780=""),"",IFERROR(E780*INDEX(Alimentos!$C$5:$C$104,MATCH(C780,Alimentos!$A$5:$A$104,0)),""))</f>
      </c>
      <c r="J780" s="10"/>
      <c r="K780" s="10"/>
      <c r="L780" s="10"/>
    </row>
    <row r="781" spans="1:12" x14ac:dyDescent="0.25">
      <c r="A781" s="20"/>
      <c r="B781" s="10"/>
      <c r="C781" s="10"/>
      <c r="D781" s="15">
        <f>IF(C781="","",IFERROR(INDEX(Alimentos!$B$5:$B$104,MATCH(C781,Alimentos!$A$5:$A$104,0)),""))</f>
      </c>
      <c r="E781" s="21"/>
      <c r="F781" s="21"/>
      <c r="G781" s="17">
        <f>IF(OR(E781="",F781=""),"",E781-F781)</f>
      </c>
      <c r="H781" s="18">
        <f>IF(OR(G781="",E781="",E781=0),"",G781/E781)</f>
      </c>
      <c r="I781" s="19">
        <f>IF(OR(E781="",C781=""),"",IFERROR(E781*INDEX(Alimentos!$C$5:$C$104,MATCH(C781,Alimentos!$A$5:$A$104,0)),""))</f>
      </c>
      <c r="J781" s="10"/>
      <c r="K781" s="10"/>
      <c r="L781" s="10"/>
    </row>
    <row r="782" spans="1:12" x14ac:dyDescent="0.25">
      <c r="A782" s="20"/>
      <c r="B782" s="10"/>
      <c r="C782" s="10"/>
      <c r="D782" s="15">
        <f>IF(C782="","",IFERROR(INDEX(Alimentos!$B$5:$B$104,MATCH(C782,Alimentos!$A$5:$A$104,0)),""))</f>
      </c>
      <c r="E782" s="21"/>
      <c r="F782" s="21"/>
      <c r="G782" s="17">
        <f>IF(OR(E782="",F782=""),"",E782-F782)</f>
      </c>
      <c r="H782" s="18">
        <f>IF(OR(G782="",E782="",E782=0),"",G782/E782)</f>
      </c>
      <c r="I782" s="19">
        <f>IF(OR(E782="",C782=""),"",IFERROR(E782*INDEX(Alimentos!$C$5:$C$104,MATCH(C782,Alimentos!$A$5:$A$104,0)),""))</f>
      </c>
      <c r="J782" s="10"/>
      <c r="K782" s="10"/>
      <c r="L782" s="10"/>
    </row>
    <row r="783" spans="1:12" x14ac:dyDescent="0.25">
      <c r="A783" s="20"/>
      <c r="B783" s="10"/>
      <c r="C783" s="10"/>
      <c r="D783" s="15">
        <f>IF(C783="","",IFERROR(INDEX(Alimentos!$B$5:$B$104,MATCH(C783,Alimentos!$A$5:$A$104,0)),""))</f>
      </c>
      <c r="E783" s="21"/>
      <c r="F783" s="21"/>
      <c r="G783" s="17">
        <f>IF(OR(E783="",F783=""),"",E783-F783)</f>
      </c>
      <c r="H783" s="18">
        <f>IF(OR(G783="",E783="",E783=0),"",G783/E783)</f>
      </c>
      <c r="I783" s="19">
        <f>IF(OR(E783="",C783=""),"",IFERROR(E783*INDEX(Alimentos!$C$5:$C$104,MATCH(C783,Alimentos!$A$5:$A$104,0)),""))</f>
      </c>
      <c r="J783" s="10"/>
      <c r="K783" s="10"/>
      <c r="L783" s="10"/>
    </row>
    <row r="784" spans="1:12" x14ac:dyDescent="0.25">
      <c r="A784" s="20"/>
      <c r="B784" s="10"/>
      <c r="C784" s="10"/>
      <c r="D784" s="15">
        <f>IF(C784="","",IFERROR(INDEX(Alimentos!$B$5:$B$104,MATCH(C784,Alimentos!$A$5:$A$104,0)),""))</f>
      </c>
      <c r="E784" s="21"/>
      <c r="F784" s="21"/>
      <c r="G784" s="17">
        <f>IF(OR(E784="",F784=""),"",E784-F784)</f>
      </c>
      <c r="H784" s="18">
        <f>IF(OR(G784="",E784="",E784=0),"",G784/E784)</f>
      </c>
      <c r="I784" s="19">
        <f>IF(OR(E784="",C784=""),"",IFERROR(E784*INDEX(Alimentos!$C$5:$C$104,MATCH(C784,Alimentos!$A$5:$A$104,0)),""))</f>
      </c>
      <c r="J784" s="10"/>
      <c r="K784" s="10"/>
      <c r="L784" s="10"/>
    </row>
    <row r="785" spans="1:12" x14ac:dyDescent="0.25">
      <c r="A785" s="20"/>
      <c r="B785" s="10"/>
      <c r="C785" s="10"/>
      <c r="D785" s="15">
        <f>IF(C785="","",IFERROR(INDEX(Alimentos!$B$5:$B$104,MATCH(C785,Alimentos!$A$5:$A$104,0)),""))</f>
      </c>
      <c r="E785" s="21"/>
      <c r="F785" s="21"/>
      <c r="G785" s="17">
        <f>IF(OR(E785="",F785=""),"",E785-F785)</f>
      </c>
      <c r="H785" s="18">
        <f>IF(OR(G785="",E785="",E785=0),"",G785/E785)</f>
      </c>
      <c r="I785" s="19">
        <f>IF(OR(E785="",C785=""),"",IFERROR(E785*INDEX(Alimentos!$C$5:$C$104,MATCH(C785,Alimentos!$A$5:$A$104,0)),""))</f>
      </c>
      <c r="J785" s="10"/>
      <c r="K785" s="10"/>
      <c r="L785" s="10"/>
    </row>
    <row r="786" spans="1:12" x14ac:dyDescent="0.25">
      <c r="A786" s="20"/>
      <c r="B786" s="10"/>
      <c r="C786" s="10"/>
      <c r="D786" s="15">
        <f>IF(C786="","",IFERROR(INDEX(Alimentos!$B$5:$B$104,MATCH(C786,Alimentos!$A$5:$A$104,0)),""))</f>
      </c>
      <c r="E786" s="21"/>
      <c r="F786" s="21"/>
      <c r="G786" s="17">
        <f>IF(OR(E786="",F786=""),"",E786-F786)</f>
      </c>
      <c r="H786" s="18">
        <f>IF(OR(G786="",E786="",E786=0),"",G786/E786)</f>
      </c>
      <c r="I786" s="19">
        <f>IF(OR(E786="",C786=""),"",IFERROR(E786*INDEX(Alimentos!$C$5:$C$104,MATCH(C786,Alimentos!$A$5:$A$104,0)),""))</f>
      </c>
      <c r="J786" s="10"/>
      <c r="K786" s="10"/>
      <c r="L786" s="10"/>
    </row>
    <row r="787" spans="1:12" x14ac:dyDescent="0.25">
      <c r="A787" s="20"/>
      <c r="B787" s="10"/>
      <c r="C787" s="10"/>
      <c r="D787" s="15">
        <f>IF(C787="","",IFERROR(INDEX(Alimentos!$B$5:$B$104,MATCH(C787,Alimentos!$A$5:$A$104,0)),""))</f>
      </c>
      <c r="E787" s="21"/>
      <c r="F787" s="21"/>
      <c r="G787" s="17">
        <f>IF(OR(E787="",F787=""),"",E787-F787)</f>
      </c>
      <c r="H787" s="18">
        <f>IF(OR(G787="",E787="",E787=0),"",G787/E787)</f>
      </c>
      <c r="I787" s="19">
        <f>IF(OR(E787="",C787=""),"",IFERROR(E787*INDEX(Alimentos!$C$5:$C$104,MATCH(C787,Alimentos!$A$5:$A$104,0)),""))</f>
      </c>
      <c r="J787" s="10"/>
      <c r="K787" s="10"/>
      <c r="L787" s="10"/>
    </row>
    <row r="788" spans="1:12" x14ac:dyDescent="0.25">
      <c r="A788" s="20"/>
      <c r="B788" s="10"/>
      <c r="C788" s="10"/>
      <c r="D788" s="15">
        <f>IF(C788="","",IFERROR(INDEX(Alimentos!$B$5:$B$104,MATCH(C788,Alimentos!$A$5:$A$104,0)),""))</f>
      </c>
      <c r="E788" s="21"/>
      <c r="F788" s="21"/>
      <c r="G788" s="17">
        <f>IF(OR(E788="",F788=""),"",E788-F788)</f>
      </c>
      <c r="H788" s="18">
        <f>IF(OR(G788="",E788="",E788=0),"",G788/E788)</f>
      </c>
      <c r="I788" s="19">
        <f>IF(OR(E788="",C788=""),"",IFERROR(E788*INDEX(Alimentos!$C$5:$C$104,MATCH(C788,Alimentos!$A$5:$A$104,0)),""))</f>
      </c>
      <c r="J788" s="10"/>
      <c r="K788" s="10"/>
      <c r="L788" s="10"/>
    </row>
    <row r="789" spans="1:12" x14ac:dyDescent="0.25">
      <c r="A789" s="20"/>
      <c r="B789" s="10"/>
      <c r="C789" s="10"/>
      <c r="D789" s="15">
        <f>IF(C789="","",IFERROR(INDEX(Alimentos!$B$5:$B$104,MATCH(C789,Alimentos!$A$5:$A$104,0)),""))</f>
      </c>
      <c r="E789" s="21"/>
      <c r="F789" s="21"/>
      <c r="G789" s="17">
        <f>IF(OR(E789="",F789=""),"",E789-F789)</f>
      </c>
      <c r="H789" s="18">
        <f>IF(OR(G789="",E789="",E789=0),"",G789/E789)</f>
      </c>
      <c r="I789" s="19">
        <f>IF(OR(E789="",C789=""),"",IFERROR(E789*INDEX(Alimentos!$C$5:$C$104,MATCH(C789,Alimentos!$A$5:$A$104,0)),""))</f>
      </c>
      <c r="J789" s="10"/>
      <c r="K789" s="10"/>
      <c r="L789" s="10"/>
    </row>
    <row r="790" spans="1:12" x14ac:dyDescent="0.25">
      <c r="A790" s="20"/>
      <c r="B790" s="10"/>
      <c r="C790" s="10"/>
      <c r="D790" s="15">
        <f>IF(C790="","",IFERROR(INDEX(Alimentos!$B$5:$B$104,MATCH(C790,Alimentos!$A$5:$A$104,0)),""))</f>
      </c>
      <c r="E790" s="21"/>
      <c r="F790" s="21"/>
      <c r="G790" s="17">
        <f>IF(OR(E790="",F790=""),"",E790-F790)</f>
      </c>
      <c r="H790" s="18">
        <f>IF(OR(G790="",E790="",E790=0),"",G790/E790)</f>
      </c>
      <c r="I790" s="19">
        <f>IF(OR(E790="",C790=""),"",IFERROR(E790*INDEX(Alimentos!$C$5:$C$104,MATCH(C790,Alimentos!$A$5:$A$104,0)),""))</f>
      </c>
      <c r="J790" s="10"/>
      <c r="K790" s="10"/>
      <c r="L790" s="10"/>
    </row>
    <row r="791" spans="1:12" x14ac:dyDescent="0.25">
      <c r="A791" s="20"/>
      <c r="B791" s="10"/>
      <c r="C791" s="10"/>
      <c r="D791" s="15">
        <f>IF(C791="","",IFERROR(INDEX(Alimentos!$B$5:$B$104,MATCH(C791,Alimentos!$A$5:$A$104,0)),""))</f>
      </c>
      <c r="E791" s="21"/>
      <c r="F791" s="21"/>
      <c r="G791" s="17">
        <f>IF(OR(E791="",F791=""),"",E791-F791)</f>
      </c>
      <c r="H791" s="18">
        <f>IF(OR(G791="",E791="",E791=0),"",G791/E791)</f>
      </c>
      <c r="I791" s="19">
        <f>IF(OR(E791="",C791=""),"",IFERROR(E791*INDEX(Alimentos!$C$5:$C$104,MATCH(C791,Alimentos!$A$5:$A$104,0)),""))</f>
      </c>
      <c r="J791" s="10"/>
      <c r="K791" s="10"/>
      <c r="L791" s="10"/>
    </row>
    <row r="792" spans="1:12" x14ac:dyDescent="0.25">
      <c r="A792" s="20"/>
      <c r="B792" s="10"/>
      <c r="C792" s="10"/>
      <c r="D792" s="15">
        <f>IF(C792="","",IFERROR(INDEX(Alimentos!$B$5:$B$104,MATCH(C792,Alimentos!$A$5:$A$104,0)),""))</f>
      </c>
      <c r="E792" s="21"/>
      <c r="F792" s="21"/>
      <c r="G792" s="17">
        <f>IF(OR(E792="",F792=""),"",E792-F792)</f>
      </c>
      <c r="H792" s="18">
        <f>IF(OR(G792="",E792="",E792=0),"",G792/E792)</f>
      </c>
      <c r="I792" s="19">
        <f>IF(OR(E792="",C792=""),"",IFERROR(E792*INDEX(Alimentos!$C$5:$C$104,MATCH(C792,Alimentos!$A$5:$A$104,0)),""))</f>
      </c>
      <c r="J792" s="10"/>
      <c r="K792" s="10"/>
      <c r="L792" s="10"/>
    </row>
    <row r="793" spans="1:12" x14ac:dyDescent="0.25">
      <c r="A793" s="20"/>
      <c r="B793" s="10"/>
      <c r="C793" s="10"/>
      <c r="D793" s="15">
        <f>IF(C793="","",IFERROR(INDEX(Alimentos!$B$5:$B$104,MATCH(C793,Alimentos!$A$5:$A$104,0)),""))</f>
      </c>
      <c r="E793" s="21"/>
      <c r="F793" s="21"/>
      <c r="G793" s="17">
        <f>IF(OR(E793="",F793=""),"",E793-F793)</f>
      </c>
      <c r="H793" s="18">
        <f>IF(OR(G793="",E793="",E793=0),"",G793/E793)</f>
      </c>
      <c r="I793" s="19">
        <f>IF(OR(E793="",C793=""),"",IFERROR(E793*INDEX(Alimentos!$C$5:$C$104,MATCH(C793,Alimentos!$A$5:$A$104,0)),""))</f>
      </c>
      <c r="J793" s="10"/>
      <c r="K793" s="10"/>
      <c r="L793" s="10"/>
    </row>
    <row r="794" spans="1:12" x14ac:dyDescent="0.25">
      <c r="A794" s="20"/>
      <c r="B794" s="10"/>
      <c r="C794" s="10"/>
      <c r="D794" s="15">
        <f>IF(C794="","",IFERROR(INDEX(Alimentos!$B$5:$B$104,MATCH(C794,Alimentos!$A$5:$A$104,0)),""))</f>
      </c>
      <c r="E794" s="21"/>
      <c r="F794" s="21"/>
      <c r="G794" s="17">
        <f>IF(OR(E794="",F794=""),"",E794-F794)</f>
      </c>
      <c r="H794" s="18">
        <f>IF(OR(G794="",E794="",E794=0),"",G794/E794)</f>
      </c>
      <c r="I794" s="19">
        <f>IF(OR(E794="",C794=""),"",IFERROR(E794*INDEX(Alimentos!$C$5:$C$104,MATCH(C794,Alimentos!$A$5:$A$104,0)),""))</f>
      </c>
      <c r="J794" s="10"/>
      <c r="K794" s="10"/>
      <c r="L794" s="10"/>
    </row>
    <row r="795" spans="1:12" x14ac:dyDescent="0.25">
      <c r="A795" s="20"/>
      <c r="B795" s="10"/>
      <c r="C795" s="10"/>
      <c r="D795" s="15">
        <f>IF(C795="","",IFERROR(INDEX(Alimentos!$B$5:$B$104,MATCH(C795,Alimentos!$A$5:$A$104,0)),""))</f>
      </c>
      <c r="E795" s="21"/>
      <c r="F795" s="21"/>
      <c r="G795" s="17">
        <f>IF(OR(E795="",F795=""),"",E795-F795)</f>
      </c>
      <c r="H795" s="18">
        <f>IF(OR(G795="",E795="",E795=0),"",G795/E795)</f>
      </c>
      <c r="I795" s="19">
        <f>IF(OR(E795="",C795=""),"",IFERROR(E795*INDEX(Alimentos!$C$5:$C$104,MATCH(C795,Alimentos!$A$5:$A$104,0)),""))</f>
      </c>
      <c r="J795" s="10"/>
      <c r="K795" s="10"/>
      <c r="L795" s="10"/>
    </row>
    <row r="796" spans="1:12" x14ac:dyDescent="0.25">
      <c r="A796" s="20"/>
      <c r="B796" s="10"/>
      <c r="C796" s="10"/>
      <c r="D796" s="15">
        <f>IF(C796="","",IFERROR(INDEX(Alimentos!$B$5:$B$104,MATCH(C796,Alimentos!$A$5:$A$104,0)),""))</f>
      </c>
      <c r="E796" s="21"/>
      <c r="F796" s="21"/>
      <c r="G796" s="17">
        <f>IF(OR(E796="",F796=""),"",E796-F796)</f>
      </c>
      <c r="H796" s="18">
        <f>IF(OR(G796="",E796="",E796=0),"",G796/E796)</f>
      </c>
      <c r="I796" s="19">
        <f>IF(OR(E796="",C796=""),"",IFERROR(E796*INDEX(Alimentos!$C$5:$C$104,MATCH(C796,Alimentos!$A$5:$A$104,0)),""))</f>
      </c>
      <c r="J796" s="10"/>
      <c r="K796" s="10"/>
      <c r="L796" s="10"/>
    </row>
    <row r="797" spans="1:12" x14ac:dyDescent="0.25">
      <c r="A797" s="20"/>
      <c r="B797" s="10"/>
      <c r="C797" s="10"/>
      <c r="D797" s="15">
        <f>IF(C797="","",IFERROR(INDEX(Alimentos!$B$5:$B$104,MATCH(C797,Alimentos!$A$5:$A$104,0)),""))</f>
      </c>
      <c r="E797" s="21"/>
      <c r="F797" s="21"/>
      <c r="G797" s="17">
        <f>IF(OR(E797="",F797=""),"",E797-F797)</f>
      </c>
      <c r="H797" s="18">
        <f>IF(OR(G797="",E797="",E797=0),"",G797/E797)</f>
      </c>
      <c r="I797" s="19">
        <f>IF(OR(E797="",C797=""),"",IFERROR(E797*INDEX(Alimentos!$C$5:$C$104,MATCH(C797,Alimentos!$A$5:$A$104,0)),""))</f>
      </c>
      <c r="J797" s="10"/>
      <c r="K797" s="10"/>
      <c r="L797" s="10"/>
    </row>
    <row r="798" spans="1:12" x14ac:dyDescent="0.25">
      <c r="A798" s="20"/>
      <c r="B798" s="10"/>
      <c r="C798" s="10"/>
      <c r="D798" s="15">
        <f>IF(C798="","",IFERROR(INDEX(Alimentos!$B$5:$B$104,MATCH(C798,Alimentos!$A$5:$A$104,0)),""))</f>
      </c>
      <c r="E798" s="21"/>
      <c r="F798" s="21"/>
      <c r="G798" s="17">
        <f>IF(OR(E798="",F798=""),"",E798-F798)</f>
      </c>
      <c r="H798" s="18">
        <f>IF(OR(G798="",E798="",E798=0),"",G798/E798)</f>
      </c>
      <c r="I798" s="19">
        <f>IF(OR(E798="",C798=""),"",IFERROR(E798*INDEX(Alimentos!$C$5:$C$104,MATCH(C798,Alimentos!$A$5:$A$104,0)),""))</f>
      </c>
      <c r="J798" s="10"/>
      <c r="K798" s="10"/>
      <c r="L798" s="10"/>
    </row>
    <row r="799" spans="1:12" x14ac:dyDescent="0.25">
      <c r="A799" s="20"/>
      <c r="B799" s="10"/>
      <c r="C799" s="10"/>
      <c r="D799" s="15">
        <f>IF(C799="","",IFERROR(INDEX(Alimentos!$B$5:$B$104,MATCH(C799,Alimentos!$A$5:$A$104,0)),""))</f>
      </c>
      <c r="E799" s="21"/>
      <c r="F799" s="21"/>
      <c r="G799" s="17">
        <f>IF(OR(E799="",F799=""),"",E799-F799)</f>
      </c>
      <c r="H799" s="18">
        <f>IF(OR(G799="",E799="",E799=0),"",G799/E799)</f>
      </c>
      <c r="I799" s="19">
        <f>IF(OR(E799="",C799=""),"",IFERROR(E799*INDEX(Alimentos!$C$5:$C$104,MATCH(C799,Alimentos!$A$5:$A$104,0)),""))</f>
      </c>
      <c r="J799" s="10"/>
      <c r="K799" s="10"/>
      <c r="L799" s="10"/>
    </row>
    <row r="800" spans="1:12" x14ac:dyDescent="0.25">
      <c r="A800" s="20"/>
      <c r="B800" s="10"/>
      <c r="C800" s="10"/>
      <c r="D800" s="15">
        <f>IF(C800="","",IFERROR(INDEX(Alimentos!$B$5:$B$104,MATCH(C800,Alimentos!$A$5:$A$104,0)),""))</f>
      </c>
      <c r="E800" s="21"/>
      <c r="F800" s="21"/>
      <c r="G800" s="17">
        <f>IF(OR(E800="",F800=""),"",E800-F800)</f>
      </c>
      <c r="H800" s="18">
        <f>IF(OR(G800="",E800="",E800=0),"",G800/E800)</f>
      </c>
      <c r="I800" s="19">
        <f>IF(OR(E800="",C800=""),"",IFERROR(E800*INDEX(Alimentos!$C$5:$C$104,MATCH(C800,Alimentos!$A$5:$A$104,0)),""))</f>
      </c>
      <c r="J800" s="10"/>
      <c r="K800" s="10"/>
      <c r="L800" s="10"/>
    </row>
    <row r="801" spans="1:12" x14ac:dyDescent="0.25">
      <c r="A801" s="20"/>
      <c r="B801" s="10"/>
      <c r="C801" s="10"/>
      <c r="D801" s="15">
        <f>IF(C801="","",IFERROR(INDEX(Alimentos!$B$5:$B$104,MATCH(C801,Alimentos!$A$5:$A$104,0)),""))</f>
      </c>
      <c r="E801" s="21"/>
      <c r="F801" s="21"/>
      <c r="G801" s="17">
        <f>IF(OR(E801="",F801=""),"",E801-F801)</f>
      </c>
      <c r="H801" s="18">
        <f>IF(OR(G801="",E801="",E801=0),"",G801/E801)</f>
      </c>
      <c r="I801" s="19">
        <f>IF(OR(E801="",C801=""),"",IFERROR(E801*INDEX(Alimentos!$C$5:$C$104,MATCH(C801,Alimentos!$A$5:$A$104,0)),""))</f>
      </c>
      <c r="J801" s="10"/>
      <c r="K801" s="10"/>
      <c r="L801" s="10"/>
    </row>
    <row r="802" spans="1:12" x14ac:dyDescent="0.25">
      <c r="A802" s="20"/>
      <c r="B802" s="10"/>
      <c r="C802" s="10"/>
      <c r="D802" s="15">
        <f>IF(C802="","",IFERROR(INDEX(Alimentos!$B$5:$B$104,MATCH(C802,Alimentos!$A$5:$A$104,0)),""))</f>
      </c>
      <c r="E802" s="21"/>
      <c r="F802" s="21"/>
      <c r="G802" s="17">
        <f>IF(OR(E802="",F802=""),"",E802-F802)</f>
      </c>
      <c r="H802" s="18">
        <f>IF(OR(G802="",E802="",E802=0),"",G802/E802)</f>
      </c>
      <c r="I802" s="19">
        <f>IF(OR(E802="",C802=""),"",IFERROR(E802*INDEX(Alimentos!$C$5:$C$104,MATCH(C802,Alimentos!$A$5:$A$104,0)),""))</f>
      </c>
      <c r="J802" s="10"/>
      <c r="K802" s="10"/>
      <c r="L802" s="10"/>
    </row>
    <row r="803" spans="1:12" x14ac:dyDescent="0.25">
      <c r="A803" s="20"/>
      <c r="B803" s="10"/>
      <c r="C803" s="10"/>
      <c r="D803" s="15">
        <f>IF(C803="","",IFERROR(INDEX(Alimentos!$B$5:$B$104,MATCH(C803,Alimentos!$A$5:$A$104,0)),""))</f>
      </c>
      <c r="E803" s="21"/>
      <c r="F803" s="21"/>
      <c r="G803" s="17">
        <f>IF(OR(E803="",F803=""),"",E803-F803)</f>
      </c>
      <c r="H803" s="18">
        <f>IF(OR(G803="",E803="",E803=0),"",G803/E803)</f>
      </c>
      <c r="I803" s="19">
        <f>IF(OR(E803="",C803=""),"",IFERROR(E803*INDEX(Alimentos!$C$5:$C$104,MATCH(C803,Alimentos!$A$5:$A$104,0)),""))</f>
      </c>
      <c r="J803" s="10"/>
      <c r="K803" s="10"/>
      <c r="L803" s="10"/>
    </row>
    <row r="804" spans="1:12" x14ac:dyDescent="0.25">
      <c r="A804" s="20"/>
      <c r="B804" s="10"/>
      <c r="C804" s="10"/>
      <c r="D804" s="15">
        <f>IF(C804="","",IFERROR(INDEX(Alimentos!$B$5:$B$104,MATCH(C804,Alimentos!$A$5:$A$104,0)),""))</f>
      </c>
      <c r="E804" s="21"/>
      <c r="F804" s="21"/>
      <c r="G804" s="17">
        <f>IF(OR(E804="",F804=""),"",E804-F804)</f>
      </c>
      <c r="H804" s="18">
        <f>IF(OR(G804="",E804="",E804=0),"",G804/E804)</f>
      </c>
      <c r="I804" s="19">
        <f>IF(OR(E804="",C804=""),"",IFERROR(E804*INDEX(Alimentos!$C$5:$C$104,MATCH(C804,Alimentos!$A$5:$A$104,0)),""))</f>
      </c>
      <c r="J804" s="10"/>
      <c r="K804" s="10"/>
      <c r="L804" s="10"/>
    </row>
  </sheetData>
  <autoFilter ref="A4:L804"/>
  <mergeCells count="2">
    <mergeCell ref="A1:L1"/>
    <mergeCell ref="A2:L2"/>
  </mergeCells>
  <conditionalFormatting sqref="H5:H804">
    <cfRule type="expression" dxfId="0" priority="31">
      <formula>AND(ISNUMBER($H5),$H5&lt;0.6)</formula>
    </cfRule>
  </conditionalFormatting>
  <dataValidations count="5">
    <dataValidation type="date" operator="greaterThan" allowBlank="1" promptTitle="Fecha" showErrorMessage="1" errorStyle="warning" errorTitle="Fecha" error="Escribe una fecha válida, por ejemplo 15/03/2026." sqref="A5:A804">
      <formula1>32874</formula1>
    </dataValidation>
    <dataValidation type="list" allowBlank="1" promptTitle="Recinto" showErrorMessage="1" errorStyle="warning" errorTitle="Elige de la lista" error="Elige una opción de la lista desplegable." sqref="B5:B804">
      <formula1>Recintos!$A$5:$A$54</formula1>
    </dataValidation>
    <dataValidation type="list" allowBlank="1" promptTitle="Alimento" showErrorMessage="1" errorStyle="warning" errorTitle="Elige de la lista" error="Elige una opción de la lista desplegable." sqref="C5:C804">
      <formula1>Alimentos!$A$5:$A$104</formula1>
    </dataValidation>
    <dataValidation type="decimal" allowBlank="1" promptTitle="Cantidad ofrecida" showErrorMessage="1" errorStyle="warning" errorTitle="Número" error="Escribe un número entre 0 y 10000000." sqref="E5:E804">
      <formula1>0</formula1>
      <formula2>10000000</formula2>
    </dataValidation>
    <dataValidation type="decimal" allowBlank="1" promptTitle="Cantidad sobrante" showErrorMessage="1" errorStyle="warning" errorTitle="Número" error="Escribe un número entre 0 y 10000000." sqref="F5:F804">
      <formula1>0</formula1>
      <formula2>10000000</formula2>
    </dataValidation>
  </dataValidations>
  <pageSetup paperSize="1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H27"/>
  <sheetViews>
    <sheetView workbookViewId="0" showGridLines="0"/>
  </sheetViews>
  <sheetFormatPr defaultRowHeight="15" outlineLevelRow="0" outlineLevelCol="0" x14ac:dyDescent="55"/>
  <cols>
    <col min="1" max="1" width="28" customWidth="1"/>
    <col min="2" max="5" width="14" customWidth="1"/>
    <col min="6" max="6" width="16" customWidth="1"/>
  </cols>
  <sheetData>
    <row r="1" ht="30" customHeight="1" spans="1:8" x14ac:dyDescent="0.25">
      <c r="A1" s="6" t="s">
        <v>70</v>
      </c>
      <c r="B1" s="6"/>
      <c r="C1" s="6"/>
      <c r="D1" s="6"/>
      <c r="E1" s="6"/>
      <c r="F1" s="6"/>
      <c r="G1" s="6"/>
      <c r="H1" s="6"/>
    </row>
    <row r="2" ht="22" customHeight="1" spans="1:8" x14ac:dyDescent="0.25">
      <c r="A2" s="7" t="s">
        <v>71</v>
      </c>
      <c r="B2" s="7"/>
      <c r="C2" s="7"/>
      <c r="D2" s="7"/>
      <c r="E2" s="7"/>
      <c r="F2" s="7"/>
      <c r="G2" s="7"/>
      <c r="H2" s="7"/>
    </row>
    <row r="3" spans="1:4" x14ac:dyDescent="0.25">
      <c r="A3" s="22" t="s">
        <v>72</v>
      </c>
      <c r="B3" s="23">
        <v>46307</v>
      </c>
      <c r="C3" s="22" t="s">
        <v>73</v>
      </c>
      <c r="D3" s="23">
        <v>46317</v>
      </c>
    </row>
    <row r="5" spans="1:6" x14ac:dyDescent="0.25">
      <c r="A5" s="24" t="s">
        <v>38</v>
      </c>
      <c r="B5" s="24" t="s">
        <v>74</v>
      </c>
      <c r="C5" s="24" t="s">
        <v>75</v>
      </c>
      <c r="D5" s="24" t="s">
        <v>76</v>
      </c>
      <c r="E5" s="24" t="s">
        <v>64</v>
      </c>
      <c r="F5" s="24" t="s">
        <v>65</v>
      </c>
    </row>
    <row r="6" spans="1:6" x14ac:dyDescent="0.25">
      <c r="A6" s="15">
        <f>IF(Recintos!A5="","",Recintos!A5)</f>
      </c>
      <c r="B6" s="17">
        <f>IF($A6="","",SUMIFS(Registro!$E$5:$E$804,Registro!$B$5:$B$804,$A6,Registro!$A$5:$A$804,"&gt;="&amp;$B$3,Registro!$A$5:$A$804,"&lt;="&amp;$D$3))</f>
      </c>
      <c r="C6" s="17">
        <f>IF($A6="","",SUMIFS(Registro!$F$5:$F$804,Registro!$B$5:$B$804,$A6,Registro!$A$5:$A$804,"&gt;="&amp;$B$3,Registro!$A$5:$A$804,"&lt;="&amp;$D$3))</f>
      </c>
      <c r="D6" s="17">
        <f>IF($A6="","",B6-C6)</f>
      </c>
      <c r="E6" s="18">
        <f>IF(OR($A6="",B6=0),"",D6/B6)</f>
      </c>
      <c r="F6" s="19">
        <f>IF($A6="","",SUMIFS(Registro!$I$5:$I$804,Registro!$B$5:$B$804,$A6,Registro!$A$5:$A$804,"&gt;="&amp;$B$3,Registro!$A$5:$A$804,"&lt;="&amp;$D$3))</f>
      </c>
    </row>
    <row r="7" spans="1:6" x14ac:dyDescent="0.25">
      <c r="A7" s="15">
        <f>IF(Recintos!A6="","",Recintos!A6)</f>
      </c>
      <c r="B7" s="17">
        <f>IF($A7="","",SUMIFS(Registro!$E$5:$E$804,Registro!$B$5:$B$804,$A7,Registro!$A$5:$A$804,"&gt;="&amp;$B$3,Registro!$A$5:$A$804,"&lt;="&amp;$D$3))</f>
      </c>
      <c r="C7" s="17">
        <f>IF($A7="","",SUMIFS(Registro!$F$5:$F$804,Registro!$B$5:$B$804,$A7,Registro!$A$5:$A$804,"&gt;="&amp;$B$3,Registro!$A$5:$A$804,"&lt;="&amp;$D$3))</f>
      </c>
      <c r="D7" s="17">
        <f>IF($A7="","",B7-C7)</f>
      </c>
      <c r="E7" s="18">
        <f>IF(OR($A7="",B7=0),"",D7/B7)</f>
      </c>
      <c r="F7" s="19">
        <f>IF($A7="","",SUMIFS(Registro!$I$5:$I$804,Registro!$B$5:$B$804,$A7,Registro!$A$5:$A$804,"&gt;="&amp;$B$3,Registro!$A$5:$A$804,"&lt;="&amp;$D$3))</f>
      </c>
    </row>
    <row r="8" spans="1:6" x14ac:dyDescent="0.25">
      <c r="A8" s="15">
        <f>IF(Recintos!A7="","",Recintos!A7)</f>
      </c>
      <c r="B8" s="17">
        <f>IF($A8="","",SUMIFS(Registro!$E$5:$E$804,Registro!$B$5:$B$804,$A8,Registro!$A$5:$A$804,"&gt;="&amp;$B$3,Registro!$A$5:$A$804,"&lt;="&amp;$D$3))</f>
      </c>
      <c r="C8" s="17">
        <f>IF($A8="","",SUMIFS(Registro!$F$5:$F$804,Registro!$B$5:$B$804,$A8,Registro!$A$5:$A$804,"&gt;="&amp;$B$3,Registro!$A$5:$A$804,"&lt;="&amp;$D$3))</f>
      </c>
      <c r="D8" s="17">
        <f>IF($A8="","",B8-C8)</f>
      </c>
      <c r="E8" s="18">
        <f>IF(OR($A8="",B8=0),"",D8/B8)</f>
      </c>
      <c r="F8" s="19">
        <f>IF($A8="","",SUMIFS(Registro!$I$5:$I$804,Registro!$B$5:$B$804,$A8,Registro!$A$5:$A$804,"&gt;="&amp;$B$3,Registro!$A$5:$A$804,"&lt;="&amp;$D$3))</f>
      </c>
    </row>
    <row r="9" spans="1:6" x14ac:dyDescent="0.25">
      <c r="A9" s="15">
        <f>IF(Recintos!A8="","",Recintos!A8)</f>
      </c>
      <c r="B9" s="17">
        <f>IF($A9="","",SUMIFS(Registro!$E$5:$E$804,Registro!$B$5:$B$804,$A9,Registro!$A$5:$A$804,"&gt;="&amp;$B$3,Registro!$A$5:$A$804,"&lt;="&amp;$D$3))</f>
      </c>
      <c r="C9" s="17">
        <f>IF($A9="","",SUMIFS(Registro!$F$5:$F$804,Registro!$B$5:$B$804,$A9,Registro!$A$5:$A$804,"&gt;="&amp;$B$3,Registro!$A$5:$A$804,"&lt;="&amp;$D$3))</f>
      </c>
      <c r="D9" s="17">
        <f>IF($A9="","",B9-C9)</f>
      </c>
      <c r="E9" s="18">
        <f>IF(OR($A9="",B9=0),"",D9/B9)</f>
      </c>
      <c r="F9" s="19">
        <f>IF($A9="","",SUMIFS(Registro!$I$5:$I$804,Registro!$B$5:$B$804,$A9,Registro!$A$5:$A$804,"&gt;="&amp;$B$3,Registro!$A$5:$A$804,"&lt;="&amp;$D$3))</f>
      </c>
    </row>
    <row r="10" spans="1:6" x14ac:dyDescent="0.25">
      <c r="A10" s="15">
        <f>IF(Recintos!A9="","",Recintos!A9)</f>
      </c>
      <c r="B10" s="17">
        <f>IF($A10="","",SUMIFS(Registro!$E$5:$E$804,Registro!$B$5:$B$804,$A10,Registro!$A$5:$A$804,"&gt;="&amp;$B$3,Registro!$A$5:$A$804,"&lt;="&amp;$D$3))</f>
      </c>
      <c r="C10" s="17">
        <f>IF($A10="","",SUMIFS(Registro!$F$5:$F$804,Registro!$B$5:$B$804,$A10,Registro!$A$5:$A$804,"&gt;="&amp;$B$3,Registro!$A$5:$A$804,"&lt;="&amp;$D$3))</f>
      </c>
      <c r="D10" s="17">
        <f>IF($A10="","",B10-C10)</f>
      </c>
      <c r="E10" s="18">
        <f>IF(OR($A10="",B10=0),"",D10/B10)</f>
      </c>
      <c r="F10" s="19">
        <f>IF($A10="","",SUMIFS(Registro!$I$5:$I$804,Registro!$B$5:$B$804,$A10,Registro!$A$5:$A$804,"&gt;="&amp;$B$3,Registro!$A$5:$A$804,"&lt;="&amp;$D$3))</f>
      </c>
    </row>
    <row r="11" spans="1:6" x14ac:dyDescent="0.25">
      <c r="A11" s="15">
        <f>IF(Recintos!A10="","",Recintos!A10)</f>
      </c>
      <c r="B11" s="17">
        <f>IF($A11="","",SUMIFS(Registro!$E$5:$E$804,Registro!$B$5:$B$804,$A11,Registro!$A$5:$A$804,"&gt;="&amp;$B$3,Registro!$A$5:$A$804,"&lt;="&amp;$D$3))</f>
      </c>
      <c r="C11" s="17">
        <f>IF($A11="","",SUMIFS(Registro!$F$5:$F$804,Registro!$B$5:$B$804,$A11,Registro!$A$5:$A$804,"&gt;="&amp;$B$3,Registro!$A$5:$A$804,"&lt;="&amp;$D$3))</f>
      </c>
      <c r="D11" s="17">
        <f>IF($A11="","",B11-C11)</f>
      </c>
      <c r="E11" s="18">
        <f>IF(OR($A11="",B11=0),"",D11/B11)</f>
      </c>
      <c r="F11" s="19">
        <f>IF($A11="","",SUMIFS(Registro!$I$5:$I$804,Registro!$B$5:$B$804,$A11,Registro!$A$5:$A$804,"&gt;="&amp;$B$3,Registro!$A$5:$A$804,"&lt;="&amp;$D$3))</f>
      </c>
    </row>
    <row r="12" spans="1:6" x14ac:dyDescent="0.25">
      <c r="A12" s="15">
        <f>IF(Recintos!A11="","",Recintos!A11)</f>
      </c>
      <c r="B12" s="17">
        <f>IF($A12="","",SUMIFS(Registro!$E$5:$E$804,Registro!$B$5:$B$804,$A12,Registro!$A$5:$A$804,"&gt;="&amp;$B$3,Registro!$A$5:$A$804,"&lt;="&amp;$D$3))</f>
      </c>
      <c r="C12" s="17">
        <f>IF($A12="","",SUMIFS(Registro!$F$5:$F$804,Registro!$B$5:$B$804,$A12,Registro!$A$5:$A$804,"&gt;="&amp;$B$3,Registro!$A$5:$A$804,"&lt;="&amp;$D$3))</f>
      </c>
      <c r="D12" s="17">
        <f>IF($A12="","",B12-C12)</f>
      </c>
      <c r="E12" s="18">
        <f>IF(OR($A12="",B12=0),"",D12/B12)</f>
      </c>
      <c r="F12" s="19">
        <f>IF($A12="","",SUMIFS(Registro!$I$5:$I$804,Registro!$B$5:$B$804,$A12,Registro!$A$5:$A$804,"&gt;="&amp;$B$3,Registro!$A$5:$A$804,"&lt;="&amp;$D$3))</f>
      </c>
    </row>
    <row r="13" spans="1:6" x14ac:dyDescent="0.25">
      <c r="A13" s="15">
        <f>IF(Recintos!A12="","",Recintos!A12)</f>
      </c>
      <c r="B13" s="17">
        <f>IF($A13="","",SUMIFS(Registro!$E$5:$E$804,Registro!$B$5:$B$804,$A13,Registro!$A$5:$A$804,"&gt;="&amp;$B$3,Registro!$A$5:$A$804,"&lt;="&amp;$D$3))</f>
      </c>
      <c r="C13" s="17">
        <f>IF($A13="","",SUMIFS(Registro!$F$5:$F$804,Registro!$B$5:$B$804,$A13,Registro!$A$5:$A$804,"&gt;="&amp;$B$3,Registro!$A$5:$A$804,"&lt;="&amp;$D$3))</f>
      </c>
      <c r="D13" s="17">
        <f>IF($A13="","",B13-C13)</f>
      </c>
      <c r="E13" s="18">
        <f>IF(OR($A13="",B13=0),"",D13/B13)</f>
      </c>
      <c r="F13" s="19">
        <f>IF($A13="","",SUMIFS(Registro!$I$5:$I$804,Registro!$B$5:$B$804,$A13,Registro!$A$5:$A$804,"&gt;="&amp;$B$3,Registro!$A$5:$A$804,"&lt;="&amp;$D$3))</f>
      </c>
    </row>
    <row r="14" spans="1:6" x14ac:dyDescent="0.25">
      <c r="A14" s="15">
        <f>IF(Recintos!A13="","",Recintos!A13)</f>
      </c>
      <c r="B14" s="17">
        <f>IF($A14="","",SUMIFS(Registro!$E$5:$E$804,Registro!$B$5:$B$804,$A14,Registro!$A$5:$A$804,"&gt;="&amp;$B$3,Registro!$A$5:$A$804,"&lt;="&amp;$D$3))</f>
      </c>
      <c r="C14" s="17">
        <f>IF($A14="","",SUMIFS(Registro!$F$5:$F$804,Registro!$B$5:$B$804,$A14,Registro!$A$5:$A$804,"&gt;="&amp;$B$3,Registro!$A$5:$A$804,"&lt;="&amp;$D$3))</f>
      </c>
      <c r="D14" s="17">
        <f>IF($A14="","",B14-C14)</f>
      </c>
      <c r="E14" s="18">
        <f>IF(OR($A14="",B14=0),"",D14/B14)</f>
      </c>
      <c r="F14" s="19">
        <f>IF($A14="","",SUMIFS(Registro!$I$5:$I$804,Registro!$B$5:$B$804,$A14,Registro!$A$5:$A$804,"&gt;="&amp;$B$3,Registro!$A$5:$A$804,"&lt;="&amp;$D$3))</f>
      </c>
    </row>
    <row r="15" spans="1:6" x14ac:dyDescent="0.25">
      <c r="A15" s="15">
        <f>IF(Recintos!A14="","",Recintos!A14)</f>
      </c>
      <c r="B15" s="17">
        <f>IF($A15="","",SUMIFS(Registro!$E$5:$E$804,Registro!$B$5:$B$804,$A15,Registro!$A$5:$A$804,"&gt;="&amp;$B$3,Registro!$A$5:$A$804,"&lt;="&amp;$D$3))</f>
      </c>
      <c r="C15" s="17">
        <f>IF($A15="","",SUMIFS(Registro!$F$5:$F$804,Registro!$B$5:$B$804,$A15,Registro!$A$5:$A$804,"&gt;="&amp;$B$3,Registro!$A$5:$A$804,"&lt;="&amp;$D$3))</f>
      </c>
      <c r="D15" s="17">
        <f>IF($A15="","",B15-C15)</f>
      </c>
      <c r="E15" s="18">
        <f>IF(OR($A15="",B15=0),"",D15/B15)</f>
      </c>
      <c r="F15" s="19">
        <f>IF($A15="","",SUMIFS(Registro!$I$5:$I$804,Registro!$B$5:$B$804,$A15,Registro!$A$5:$A$804,"&gt;="&amp;$B$3,Registro!$A$5:$A$804,"&lt;="&amp;$D$3))</f>
      </c>
    </row>
    <row r="16" spans="1:6" x14ac:dyDescent="0.25">
      <c r="A16" s="15">
        <f>IF(Recintos!A15="","",Recintos!A15)</f>
      </c>
      <c r="B16" s="17">
        <f>IF($A16="","",SUMIFS(Registro!$E$5:$E$804,Registro!$B$5:$B$804,$A16,Registro!$A$5:$A$804,"&gt;="&amp;$B$3,Registro!$A$5:$A$804,"&lt;="&amp;$D$3))</f>
      </c>
      <c r="C16" s="17">
        <f>IF($A16="","",SUMIFS(Registro!$F$5:$F$804,Registro!$B$5:$B$804,$A16,Registro!$A$5:$A$804,"&gt;="&amp;$B$3,Registro!$A$5:$A$804,"&lt;="&amp;$D$3))</f>
      </c>
      <c r="D16" s="17">
        <f>IF($A16="","",B16-C16)</f>
      </c>
      <c r="E16" s="18">
        <f>IF(OR($A16="",B16=0),"",D16/B16)</f>
      </c>
      <c r="F16" s="19">
        <f>IF($A16="","",SUMIFS(Registro!$I$5:$I$804,Registro!$B$5:$B$804,$A16,Registro!$A$5:$A$804,"&gt;="&amp;$B$3,Registro!$A$5:$A$804,"&lt;="&amp;$D$3))</f>
      </c>
    </row>
    <row r="17" spans="1:6" x14ac:dyDescent="0.25">
      <c r="A17" s="15">
        <f>IF(Recintos!A16="","",Recintos!A16)</f>
      </c>
      <c r="B17" s="17">
        <f>IF($A17="","",SUMIFS(Registro!$E$5:$E$804,Registro!$B$5:$B$804,$A17,Registro!$A$5:$A$804,"&gt;="&amp;$B$3,Registro!$A$5:$A$804,"&lt;="&amp;$D$3))</f>
      </c>
      <c r="C17" s="17">
        <f>IF($A17="","",SUMIFS(Registro!$F$5:$F$804,Registro!$B$5:$B$804,$A17,Registro!$A$5:$A$804,"&gt;="&amp;$B$3,Registro!$A$5:$A$804,"&lt;="&amp;$D$3))</f>
      </c>
      <c r="D17" s="17">
        <f>IF($A17="","",B17-C17)</f>
      </c>
      <c r="E17" s="18">
        <f>IF(OR($A17="",B17=0),"",D17/B17)</f>
      </c>
      <c r="F17" s="19">
        <f>IF($A17="","",SUMIFS(Registro!$I$5:$I$804,Registro!$B$5:$B$804,$A17,Registro!$A$5:$A$804,"&gt;="&amp;$B$3,Registro!$A$5:$A$804,"&lt;="&amp;$D$3))</f>
      </c>
    </row>
    <row r="18" spans="1:6" x14ac:dyDescent="0.25">
      <c r="A18" s="15">
        <f>IF(Recintos!A17="","",Recintos!A17)</f>
      </c>
      <c r="B18" s="17">
        <f>IF($A18="","",SUMIFS(Registro!$E$5:$E$804,Registro!$B$5:$B$804,$A18,Registro!$A$5:$A$804,"&gt;="&amp;$B$3,Registro!$A$5:$A$804,"&lt;="&amp;$D$3))</f>
      </c>
      <c r="C18" s="17">
        <f>IF($A18="","",SUMIFS(Registro!$F$5:$F$804,Registro!$B$5:$B$804,$A18,Registro!$A$5:$A$804,"&gt;="&amp;$B$3,Registro!$A$5:$A$804,"&lt;="&amp;$D$3))</f>
      </c>
      <c r="D18" s="17">
        <f>IF($A18="","",B18-C18)</f>
      </c>
      <c r="E18" s="18">
        <f>IF(OR($A18="",B18=0),"",D18/B18)</f>
      </c>
      <c r="F18" s="19">
        <f>IF($A18="","",SUMIFS(Registro!$I$5:$I$804,Registro!$B$5:$B$804,$A18,Registro!$A$5:$A$804,"&gt;="&amp;$B$3,Registro!$A$5:$A$804,"&lt;="&amp;$D$3))</f>
      </c>
    </row>
    <row r="19" spans="1:6" x14ac:dyDescent="0.25">
      <c r="A19" s="15">
        <f>IF(Recintos!A18="","",Recintos!A18)</f>
      </c>
      <c r="B19" s="17">
        <f>IF($A19="","",SUMIFS(Registro!$E$5:$E$804,Registro!$B$5:$B$804,$A19,Registro!$A$5:$A$804,"&gt;="&amp;$B$3,Registro!$A$5:$A$804,"&lt;="&amp;$D$3))</f>
      </c>
      <c r="C19" s="17">
        <f>IF($A19="","",SUMIFS(Registro!$F$5:$F$804,Registro!$B$5:$B$804,$A19,Registro!$A$5:$A$804,"&gt;="&amp;$B$3,Registro!$A$5:$A$804,"&lt;="&amp;$D$3))</f>
      </c>
      <c r="D19" s="17">
        <f>IF($A19="","",B19-C19)</f>
      </c>
      <c r="E19" s="18">
        <f>IF(OR($A19="",B19=0),"",D19/B19)</f>
      </c>
      <c r="F19" s="19">
        <f>IF($A19="","",SUMIFS(Registro!$I$5:$I$804,Registro!$B$5:$B$804,$A19,Registro!$A$5:$A$804,"&gt;="&amp;$B$3,Registro!$A$5:$A$804,"&lt;="&amp;$D$3))</f>
      </c>
    </row>
    <row r="20" spans="1:6" x14ac:dyDescent="0.25">
      <c r="A20" s="15">
        <f>IF(Recintos!A19="","",Recintos!A19)</f>
      </c>
      <c r="B20" s="17">
        <f>IF($A20="","",SUMIFS(Registro!$E$5:$E$804,Registro!$B$5:$B$804,$A20,Registro!$A$5:$A$804,"&gt;="&amp;$B$3,Registro!$A$5:$A$804,"&lt;="&amp;$D$3))</f>
      </c>
      <c r="C20" s="17">
        <f>IF($A20="","",SUMIFS(Registro!$F$5:$F$804,Registro!$B$5:$B$804,$A20,Registro!$A$5:$A$804,"&gt;="&amp;$B$3,Registro!$A$5:$A$804,"&lt;="&amp;$D$3))</f>
      </c>
      <c r="D20" s="17">
        <f>IF($A20="","",B20-C20)</f>
      </c>
      <c r="E20" s="18">
        <f>IF(OR($A20="",B20=0),"",D20/B20)</f>
      </c>
      <c r="F20" s="19">
        <f>IF($A20="","",SUMIFS(Registro!$I$5:$I$804,Registro!$B$5:$B$804,$A20,Registro!$A$5:$A$804,"&gt;="&amp;$B$3,Registro!$A$5:$A$804,"&lt;="&amp;$D$3))</f>
      </c>
    </row>
    <row r="21" spans="1:6" x14ac:dyDescent="0.25">
      <c r="A21" s="15">
        <f>IF(Recintos!A20="","",Recintos!A20)</f>
      </c>
      <c r="B21" s="17">
        <f>IF($A21="","",SUMIFS(Registro!$E$5:$E$804,Registro!$B$5:$B$804,$A21,Registro!$A$5:$A$804,"&gt;="&amp;$B$3,Registro!$A$5:$A$804,"&lt;="&amp;$D$3))</f>
      </c>
      <c r="C21" s="17">
        <f>IF($A21="","",SUMIFS(Registro!$F$5:$F$804,Registro!$B$5:$B$804,$A21,Registro!$A$5:$A$804,"&gt;="&amp;$B$3,Registro!$A$5:$A$804,"&lt;="&amp;$D$3))</f>
      </c>
      <c r="D21" s="17">
        <f>IF($A21="","",B21-C21)</f>
      </c>
      <c r="E21" s="18">
        <f>IF(OR($A21="",B21=0),"",D21/B21)</f>
      </c>
      <c r="F21" s="19">
        <f>IF($A21="","",SUMIFS(Registro!$I$5:$I$804,Registro!$B$5:$B$804,$A21,Registro!$A$5:$A$804,"&gt;="&amp;$B$3,Registro!$A$5:$A$804,"&lt;="&amp;$D$3))</f>
      </c>
    </row>
    <row r="22" spans="1:6" x14ac:dyDescent="0.25">
      <c r="A22" s="15">
        <f>IF(Recintos!A21="","",Recintos!A21)</f>
      </c>
      <c r="B22" s="17">
        <f>IF($A22="","",SUMIFS(Registro!$E$5:$E$804,Registro!$B$5:$B$804,$A22,Registro!$A$5:$A$804,"&gt;="&amp;$B$3,Registro!$A$5:$A$804,"&lt;="&amp;$D$3))</f>
      </c>
      <c r="C22" s="17">
        <f>IF($A22="","",SUMIFS(Registro!$F$5:$F$804,Registro!$B$5:$B$804,$A22,Registro!$A$5:$A$804,"&gt;="&amp;$B$3,Registro!$A$5:$A$804,"&lt;="&amp;$D$3))</f>
      </c>
      <c r="D22" s="17">
        <f>IF($A22="","",B22-C22)</f>
      </c>
      <c r="E22" s="18">
        <f>IF(OR($A22="",B22=0),"",D22/B22)</f>
      </c>
      <c r="F22" s="19">
        <f>IF($A22="","",SUMIFS(Registro!$I$5:$I$804,Registro!$B$5:$B$804,$A22,Registro!$A$5:$A$804,"&gt;="&amp;$B$3,Registro!$A$5:$A$804,"&lt;="&amp;$D$3))</f>
      </c>
    </row>
    <row r="23" spans="1:6" x14ac:dyDescent="0.25">
      <c r="A23" s="15">
        <f>IF(Recintos!A22="","",Recintos!A22)</f>
      </c>
      <c r="B23" s="17">
        <f>IF($A23="","",SUMIFS(Registro!$E$5:$E$804,Registro!$B$5:$B$804,$A23,Registro!$A$5:$A$804,"&gt;="&amp;$B$3,Registro!$A$5:$A$804,"&lt;="&amp;$D$3))</f>
      </c>
      <c r="C23" s="17">
        <f>IF($A23="","",SUMIFS(Registro!$F$5:$F$804,Registro!$B$5:$B$804,$A23,Registro!$A$5:$A$804,"&gt;="&amp;$B$3,Registro!$A$5:$A$804,"&lt;="&amp;$D$3))</f>
      </c>
      <c r="D23" s="17">
        <f>IF($A23="","",B23-C23)</f>
      </c>
      <c r="E23" s="18">
        <f>IF(OR($A23="",B23=0),"",D23/B23)</f>
      </c>
      <c r="F23" s="19">
        <f>IF($A23="","",SUMIFS(Registro!$I$5:$I$804,Registro!$B$5:$B$804,$A23,Registro!$A$5:$A$804,"&gt;="&amp;$B$3,Registro!$A$5:$A$804,"&lt;="&amp;$D$3))</f>
      </c>
    </row>
    <row r="24" spans="1:6" x14ac:dyDescent="0.25">
      <c r="A24" s="15">
        <f>IF(Recintos!A23="","",Recintos!A23)</f>
      </c>
      <c r="B24" s="17">
        <f>IF($A24="","",SUMIFS(Registro!$E$5:$E$804,Registro!$B$5:$B$804,$A24,Registro!$A$5:$A$804,"&gt;="&amp;$B$3,Registro!$A$5:$A$804,"&lt;="&amp;$D$3))</f>
      </c>
      <c r="C24" s="17">
        <f>IF($A24="","",SUMIFS(Registro!$F$5:$F$804,Registro!$B$5:$B$804,$A24,Registro!$A$5:$A$804,"&gt;="&amp;$B$3,Registro!$A$5:$A$804,"&lt;="&amp;$D$3))</f>
      </c>
      <c r="D24" s="17">
        <f>IF($A24="","",B24-C24)</f>
      </c>
      <c r="E24" s="18">
        <f>IF(OR($A24="",B24=0),"",D24/B24)</f>
      </c>
      <c r="F24" s="19">
        <f>IF($A24="","",SUMIFS(Registro!$I$5:$I$804,Registro!$B$5:$B$804,$A24,Registro!$A$5:$A$804,"&gt;="&amp;$B$3,Registro!$A$5:$A$804,"&lt;="&amp;$D$3))</f>
      </c>
    </row>
    <row r="25" spans="1:6" x14ac:dyDescent="0.25">
      <c r="A25" s="15">
        <f>IF(Recintos!A24="","",Recintos!A24)</f>
      </c>
      <c r="B25" s="17">
        <f>IF($A25="","",SUMIFS(Registro!$E$5:$E$804,Registro!$B$5:$B$804,$A25,Registro!$A$5:$A$804,"&gt;="&amp;$B$3,Registro!$A$5:$A$804,"&lt;="&amp;$D$3))</f>
      </c>
      <c r="C25" s="17">
        <f>IF($A25="","",SUMIFS(Registro!$F$5:$F$804,Registro!$B$5:$B$804,$A25,Registro!$A$5:$A$804,"&gt;="&amp;$B$3,Registro!$A$5:$A$804,"&lt;="&amp;$D$3))</f>
      </c>
      <c r="D25" s="17">
        <f>IF($A25="","",B25-C25)</f>
      </c>
      <c r="E25" s="18">
        <f>IF(OR($A25="",B25=0),"",D25/B25)</f>
      </c>
      <c r="F25" s="19">
        <f>IF($A25="","",SUMIFS(Registro!$I$5:$I$804,Registro!$B$5:$B$804,$A25,Registro!$A$5:$A$804,"&gt;="&amp;$B$3,Registro!$A$5:$A$804,"&lt;="&amp;$D$3))</f>
      </c>
    </row>
    <row r="27" spans="1:1" x14ac:dyDescent="0.25">
      <c r="A27" s="25" t="s">
        <v>77</v>
      </c>
    </row>
  </sheetData>
  <sheetProtection sheet="1"/>
  <mergeCells count="2">
    <mergeCell ref="A1:H1"/>
    <mergeCell ref="A2:H2"/>
  </mergeCells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Recintos</vt:lpstr>
      <vt:lpstr>Alimentos</vt:lpstr>
      <vt:lpstr>Registro</vt:lpstr>
      <vt:lpstr>Resumen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Control de alimentación por recinto</dc:title>
  <dc:subject>Registro de alimento ofrecido y sobrante por recinto con consumo y costo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