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Presupuesto" state="visible" r:id="rId5"/>
    <sheet sheetId="3" name="Real" state="visible" r:id="rId6"/>
    <sheet sheetId="4" name="Resumen" state="visible" r:id="rId7"/>
  </sheets>
  <calcPr calcId="171027" fullCalcOnLoad="1"/>
</workbook>
</file>

<file path=xl/sharedStrings.xml><?xml version="1.0" encoding="utf-8"?>
<sst xmlns="http://schemas.openxmlformats.org/spreadsheetml/2006/main" count="140" uniqueCount="79">
  <si>
    <t>Presupuesto anual de una UMA o zoológico</t>
  </si>
  <si>
    <t>Zoorigen · Club VIP · Versión 1.0 · 22 de octubre de 2026 · Material original de Zoorigen</t>
  </si>
  <si>
    <t>Para qué sirve</t>
  </si>
  <si>
    <t/>
  </si>
  <si>
    <t>Planea el año de tu unidad: alimentación, insumos, servicios, personal y mantenimiento, mes por mes. El libro suma los totales, calcula qué parte del presupuesto es cada concepto y, si capturas el gasto real, te muestra la diferencia y el porcentaje ejercido, con gráficas. Las cantidades del ejemplo son ILUSTRATIVAS: no son referencia de costos reales.</t>
  </si>
  <si>
    <t>Qué hay en cada hoja</t>
  </si>
  <si>
    <t>Presupuesto</t>
  </si>
  <si>
    <t>Tu plan: un renglón por concepto y una columna por mes.</t>
  </si>
  <si>
    <t>Real</t>
  </si>
  <si>
    <t>Lo que realmente gastaste, con la misma estructura.</t>
  </si>
  <si>
    <t>Resumen</t>
  </si>
  <si>
    <t>Totales por categoría, presupuesto contra real y gráficas.</t>
  </si>
  <si>
    <t>Cómo usarlo, paso a paso</t>
  </si>
  <si>
    <t>Paso 1</t>
  </si>
  <si>
    <t>En «Resumen» escribe el año y la moneda.</t>
  </si>
  <si>
    <t>Paso 2</t>
  </si>
  <si>
    <t>En «Presupuesto» borra los EJEMPLOS y escribe tus conceptos: elige la categoría de la lista, escribe el concepto y el monto de cada mes.</t>
  </si>
  <si>
    <t>Paso 3</t>
  </si>
  <si>
    <t>El total anual y el porcentaje del total se calculan solos. Puedes agregar tantos conceptos como necesites en las filas vacías.</t>
  </si>
  <si>
    <t>Paso 4</t>
  </si>
  <si>
    <t>Cada mes, captura lo gastado en «Real» (una fila por concepto, con su categoría).</t>
  </si>
  <si>
    <t>Paso 5</t>
  </si>
  <si>
    <t>En «Resumen» revisa la diferencia por categoría: positiva significa que gastaste menos de lo presupuestado; negativa, que te pasaste.</t>
  </si>
  <si>
    <t>Colores y celdas</t>
  </si>
  <si>
    <t>Celdas blancas</t>
  </si>
  <si>
    <t>Son para que escribas o elijas de una lista.</t>
  </si>
  <si>
    <t>Celdas grises</t>
  </si>
  <si>
    <t>Se calculan solas con fórmulas: no las borres ni escribas encima.</t>
  </si>
  <si>
    <t>Filas de EJEMPLO</t>
  </si>
  <si>
    <t>Las filas marcadas con la palabra EJEMPLO (fondo dorado claro) solo muestran cómo se llena. Bórralas antes de empezar con tus datos reales: selecciona la fila y usa «Eliminar contenido» para conservar las fórmulas.</t>
  </si>
  <si>
    <t>Ten en cuenta</t>
  </si>
  <si>
    <t>Los montos son los que tú captures. El libro no trae precios ni referencias.</t>
  </si>
  <si>
    <t>Para presupuestos que debas presentar a una autoridad, a un patronato o a un financiador, usa el formato que ellos pidan: este libro es una herramienta de planeación.</t>
  </si>
  <si>
    <t>Aviso</t>
  </si>
  <si>
    <t>Material de apoyo de Zoorigen: no sustituye el criterio profesional ni la asesoría legal. Consulta siempre la normatividad vigente.</t>
  </si>
  <si>
    <t>Presupuesto anual</t>
  </si>
  <si>
    <t>Zoorigen · Material de apoyo. Cifras de ejemplo ilustrativas: bórralas y captura las tuyas.</t>
  </si>
  <si>
    <t>Categoría</t>
  </si>
  <si>
    <t>Concepto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</si>
  <si>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</si>
  <si>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</si>
  <si>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</si>
  <si>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</si>
  <si>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</si>
  <si>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</si>
  <si>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</si>
  <si>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</si>
  <si>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</si>
  <si>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</si>
  <si>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</si>
  <si>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</si>
  <si>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anual</t>
  </si>
  <si>
    <t>% del total</t>
  </si>
  <si>
    <t>Nota</t>
  </si>
  <si>
    <t>Alimentación</t>
  </si>
  <si>
    <t>Alimento (ejemplo)</t>
  </si>
  <si>
    <t>EJEMPLO</t>
  </si>
  <si>
    <t>Insumos y material</t>
  </si>
  <si>
    <t>Material de limpieza (ejemplo)</t>
  </si>
  <si>
    <t>Servicios</t>
  </si>
  <si>
    <t>Agua y luz (ejemplo)</t>
  </si>
  <si>
    <t>Personal</t>
  </si>
  <si>
    <t>Nómina y honorarios (ejemplo)</t>
  </si>
  <si>
    <t>Mantenimiento e infraestructura</t>
  </si>
  <si>
    <t>Reparaciones (ejemplo)</t>
  </si>
  <si>
    <t>Total</t>
  </si>
  <si>
    <t>Gasto real</t>
  </si>
  <si>
    <t>Zoorigen · Material de apoyo. Captura lo realmente gastado, por concepto y por mes.</t>
  </si>
  <si>
    <t>Resumen del presupuesto</t>
  </si>
  <si>
    <t>Presupuesto contra gasto real por categoría.</t>
  </si>
  <si>
    <t>Año</t>
  </si>
  <si>
    <t>Moneda</t>
  </si>
  <si>
    <t>MXN</t>
  </si>
  <si>
    <t>Presupuestado</t>
  </si>
  <si>
    <t>Diferencia</t>
  </si>
  <si>
    <t>% ejercido</t>
  </si>
  <si>
    <t>Otros</t>
  </si>
  <si>
    <t>Por mes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</si>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</sst>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#,##0;[Red]-#,##0"/>
  </numFmts>
  <fonts count="13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6B7A70"/>
      <sz val="10"/>
      <name val="Calibri"/>
    </font>
    <font>
      <b/>
      <color rgb="FF1F5F3A"/>
      <sz val="12"/>
      <name val="Calibri"/>
    </font>
    <font>
      <b/>
      <color rgb="FF1D2A22"/>
      <sz val="11"/>
      <name val="Calibri"/>
    </font>
    <font>
      <color rgb="FF1D2A22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i/>
      <color rgb="FF1D2A22"/>
      <sz val="11"/>
      <name val="Calibri"/>
    </font>
    <font>
      <color rgb="FF6B7A70"/>
      <sz val="11"/>
      <name val="Calibri"/>
    </font>
    <font>
      <b/>
    </font>
    <font>
      <b/>
      <color rgb="FFFFFFFF"/>
    </font>
    <font>
      <b/>
      <color rgb="FF1F5F3A"/>
    </font>
  </fonts>
  <fills count="7">
    <fill>
      <patternFill patternType="none"/>
    </fill>
    <fill>
      <patternFill patternType="gray125"/>
    </fill>
    <fill>
      <patternFill patternType="solid">
        <fgColor rgb="FF1F5F3A"/>
        <bgColor rgb="FF1F5F3A"/>
      </patternFill>
    </fill>
    <fill>
      <patternFill patternType="solid">
        <fgColor rgb="FFFBF1D8"/>
        <bgColor rgb="FFFBF1D8"/>
      </patternFill>
    </fill>
    <fill>
      <patternFill patternType="solid">
        <fgColor rgb="FF2F7A4F"/>
        <bgColor rgb="FF2F7A4F"/>
      </patternFill>
    </fill>
    <fill>
      <patternFill patternType="solid">
        <fgColor rgb="FFF1F3EF"/>
        <bgColor rgb="FFF1F3E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A317"/>
      </bottom>
      <diagonal/>
    </border>
    <border>
      <left style="thin">
        <color rgb="FFD8DDD6"/>
      </left>
      <right style="thin">
        <color rgb="FFD8DDD6"/>
      </right>
      <top style="thin">
        <color rgb="FFD8DDD6"/>
      </top>
      <bottom style="thin">
        <color rgb="FFD8DDD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3" borderId="0" xfId="0" applyFont="1" applyFill="1" applyAlignment="1">
      <alignment indent="1"/>
    </xf>
    <xf numFmtId="0" fontId="3" fillId="0" borderId="1" xfId="0" applyFont="1" applyBorder="1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wrapText="1" indent="1"/>
    </xf>
    <xf numFmtId="0" fontId="7" fillId="2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 applyProtection="1">
      <alignment vertical="center"/>
      <protection locked="0"/>
    </xf>
    <xf numFmtId="3" fontId="8" fillId="3" borderId="2" xfId="0" applyNumberFormat="1" applyFont="1" applyFill="1" applyBorder="1" applyAlignment="1" applyProtection="1">
      <alignment vertical="center"/>
      <protection locked="0"/>
    </xf>
    <xf numFmtId="3" fontId="9" fillId="5" borderId="2" xfId="0" applyNumberFormat="1" applyFont="1" applyFill="1" applyBorder="1" applyAlignment="1" applyProtection="1">
      <alignment vertical="center"/>
    </xf>
    <xf numFmtId="164" fontId="9" fillId="5" borderId="2" xfId="0" applyNumberFormat="1" applyFont="1" applyFill="1" applyBorder="1" applyAlignment="1" applyProtection="1">
      <alignment vertical="center"/>
    </xf>
    <xf numFmtId="0" fontId="5" fillId="0" borderId="2" xfId="0" applyFont="1" applyBorder="1" applyAlignment="1" applyProtection="1">
      <alignment vertical="center"/>
      <protection locked="0"/>
    </xf>
    <xf numFmtId="3" fontId="5" fillId="0" borderId="2" xfId="0" applyNumberFormat="1" applyFont="1" applyBorder="1" applyAlignment="1" applyProtection="1">
      <alignment vertical="center"/>
      <protection locked="0"/>
    </xf>
    <xf numFmtId="0" fontId="10" fillId="0" borderId="0" xfId="0" applyFont="1"/>
    <xf numFmtId="3" fontId="10" fillId="5" borderId="2" xfId="0" applyNumberFormat="1" applyFont="1" applyFill="1" applyBorder="1" applyAlignment="1" applyProtection="1">
      <alignment vertical="center"/>
    </xf>
    <xf numFmtId="0" fontId="4" fillId="0" borderId="0" xfId="0" applyFont="1" applyAlignment="1">
      <alignment horizontal="left" vertical="center"/>
    </xf>
    <xf numFmtId="1" fontId="3" fillId="6" borderId="2" xfId="0" applyNumberFormat="1" applyFont="1" applyFill="1" applyBorder="1" applyAlignment="1" applyProtection="1">
      <alignment horizontal="center"/>
      <protection locked="0"/>
    </xf>
    <xf numFmtId="0" fontId="3" fillId="6" borderId="2" xfId="0" applyFont="1" applyFill="1" applyBorder="1" applyAlignment="1" applyProtection="1">
      <alignment horizontal="center"/>
      <protection locked="0"/>
    </xf>
    <xf numFmtId="0" fontId="11" fillId="2" borderId="2" xfId="0" applyFont="1" applyFill="1" applyBorder="1" applyAlignment="1">
      <alignment horizontal="center"/>
    </xf>
    <xf numFmtId="0" fontId="9" fillId="5" borderId="2" xfId="0" applyFont="1" applyFill="1" applyBorder="1" applyAlignment="1" applyProtection="1">
      <alignment vertical="center"/>
    </xf>
    <xf numFmtId="165" fontId="9" fillId="5" borderId="2" xfId="0" applyNumberFormat="1" applyFont="1" applyFill="1" applyBorder="1" applyAlignment="1" applyProtection="1">
      <alignment vertical="center"/>
    </xf>
    <xf numFmtId="165" fontId="10" fillId="5" borderId="2" xfId="0" applyNumberFormat="1" applyFont="1" applyFill="1" applyBorder="1" applyAlignment="1" applyProtection="1">
      <alignment vertical="center"/>
    </xf>
    <xf numFmtId="0" fontId="12" fillId="0" borderId="0" xfId="0" applyFont="1"/>
    <xf numFmtId="0" fontId="11" fillId="2" borderId="2" xfId="0" applyFont="1" applyFill="1" applyBorder="1"/>
  </cellXfs>
  <cellStyles count="1">
    <cellStyle name="Normal" xfId="0" builtinId="0"/>
  </cellStyles>
  <dxfs count="1">
    <dxf>
      <font>
        <b/>
        <color rgb="FFB42318"/>
      </font>
      <fill>
        <patternFill patternType="solid">
          <fgColor rgb="FFFDE7E4"/>
          <bgColor rgb="FFFDE7E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1"/>
            </a:pPr>
            <a:r>
              <a:rPr lang="es-MX" sz="1400" b="1"/>
              <a:t>Presupuestado y gasto real por categoría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Presupuestado</c:v>
          </c:tx>
          <c:spPr>
            <a:solidFill>
              <a:srgbClr val="1F5F3A"/>
            </a:solidFill>
          </c:spPr>
          <c:invertIfNegative val="0"/>
          <c:cat>
            <c:strRef>
              <c:f>Resumen!$A$6:$A$11</c:f>
            </c:strRef>
          </c:cat>
          <c:val>
            <c:numRef>
              <c:f>Resumen!$B$6:$B$11</c:f>
            </c:numRef>
          </c:val>
        </c:ser>
        <c:ser>
          <c:idx val="1"/>
          <c:order val="1"/>
          <c:tx>
            <c:v>Gasto real</c:v>
          </c:tx>
          <c:spPr>
            <a:solidFill>
              <a:srgbClr val="E8A317"/>
            </a:solidFill>
          </c:spPr>
          <c:invertIfNegative val="0"/>
          <c:cat>
            <c:strRef>
              <c:f>Resumen!$A$6:$A$11</c:f>
            </c:strRef>
          </c:cat>
          <c:val>
            <c:numRef>
              <c:f>Resumen!$C$6:$C$11</c:f>
            </c:numRef>
          </c:val>
        </c:ser>
        <c:gapWidth val="70"/>
        <c:axId val="50010"/>
        <c:axId val="50020"/>
      </c:barChart>
      <c:catAx>
        <c:axId val="500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8DDD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s-MX" sz="1000" b="0"/>
                  <a:t>Monto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10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9525">
      <a:solidFill>
        <a:srgbClr val="D8DDD6"/>
      </a:solidFill>
    </a:ln>
  </c:spPr>
  <c:txPr>
    <a:bodyPr/>
    <a:lstStyle/>
    <a:p>
      <a:pPr>
        <a:defRPr sz="1000">
          <a:latin typeface="Calibri"/>
        </a:defRPr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lstStyle/>
          <a:p>
            <a:pPr>
              <a:defRPr sz="1400" b="1"/>
            </a:pPr>
            <a:r>
              <a:rPr lang="es-MX" sz="1400" b="1"/>
              <a:t>Gasto por mes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Presupuestado</c:v>
          </c:tx>
          <c:spPr>
            <a:ln w="28575" cap="rnd">
              <a:solidFill>
                <a:srgbClr val="1F5F3A"/>
              </a:solidFill>
              <a:round/>
            </a:ln>
          </c:spPr>
          <c:marker>
            <c:symbol val="circle"/>
            <c:size val="6"/>
            <c:spPr>
              <a:solidFill>
                <a:srgbClr val="1F5F3A"/>
              </a:solidFill>
            </c:spPr>
          </c:marker>
          <c:cat>
            <c:strRef>
              <c:f>Resumen!$A$17:$A$28</c:f>
            </c:strRef>
          </c:cat>
          <c:val>
            <c:numRef>
              <c:f>Resumen!$B$17:$B$28</c:f>
            </c:numRef>
          </c:val>
          <c:smooth val="0"/>
        </c:ser>
        <c:ser>
          <c:idx val="1"/>
          <c:order val="1"/>
          <c:tx>
            <c:v>Gasto real</c:v>
          </c:tx>
          <c:spPr>
            <a:ln w="28575" cap="rnd">
              <a:solidFill>
                <a:srgbClr val="C75402"/>
              </a:solidFill>
              <a:round/>
            </a:ln>
          </c:spPr>
          <c:marker>
            <c:symbol val="circle"/>
            <c:size val="6"/>
            <c:spPr>
              <a:solidFill>
                <a:srgbClr val="C75402"/>
              </a:solidFill>
            </c:spPr>
          </c:marker>
          <c:cat>
            <c:strRef>
              <c:f>Resumen!$A$17:$A$28</c:f>
            </c:strRef>
          </c:cat>
          <c:val>
            <c:numRef>
              <c:f>Resumen!$C$17:$C$28</c:f>
            </c:numRef>
          </c:val>
          <c:smooth val="0"/>
        </c:ser>
        <c:marker val="1"/>
        <c:axId val="50010"/>
        <c:axId val="50020"/>
      </c:lineChart>
      <c:catAx>
        <c:axId val="5001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0020"/>
        <c:crosses val="autoZero"/>
        <c:auto val="1"/>
        <c:lblAlgn val="ctr"/>
        <c:lblOffset val="100"/>
        <c:noMultiLvlLbl val="0"/>
      </c:catAx>
      <c:valAx>
        <c:axId val="50020"/>
        <c:scaling>
          <c:orientation val="minMax"/>
        </c:scaling>
        <c:delete val="0"/>
        <c:axPos val="l"/>
        <c:majorGridlines>
          <c:spPr>
            <a:ln w="6350">
              <a:solidFill>
                <a:srgbClr val="D8DDD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000" b="0"/>
                </a:pPr>
                <a:r>
                  <a:rPr lang="es-MX" sz="1000" b="0"/>
                  <a:t>Monto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50010"/>
        <c:crosses val="autoZero"/>
        <c:crossBetween val="between"/>
      </c:valAx>
    </c:plotArea>
    <c:legend>
      <c:legendPos val="b"/>
      <c:overlay val="0"/>
    </c:legend>
    <c:plotVisOnly val="1"/>
    <c:dispBlanksAs val="gap"/>
  </c:chart>
  <c:spPr>
    <a:solidFill>
      <a:srgbClr val="FFFFFF"/>
    </a:solidFill>
    <a:ln w="9525">
      <a:solidFill>
        <a:srgbClr val="D8DDD6"/>
      </a:solidFill>
    </a:ln>
  </c:spPr>
  <c:txPr>
    <a:bodyPr/>
    <a:lstStyle/>
    <a:p>
      <a:pPr>
        <a:defRPr sz="1000">
          <a:latin typeface="Calibri"/>
        </a:defRPr>
      </a:pPr>
      <a:endParaRPr lang="es-MX"/>
    </a:p>
  </c:txPr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13</xdr:col>
      <xdr:colOff>0</xdr:colOff>
      <xdr:row>19</xdr:row>
      <xdr:rowOff>0</xdr:rowOff>
    </xdr:to>
    <xdr:graphicFrame macro="">
      <xdr:nvGraphicFramePr>
        <xdr:cNvPr id="2" name="Gráfico 1" descr="Presupuestado y gasto real por categorí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13</xdr:col>
      <xdr:colOff>0</xdr:colOff>
      <xdr:row>35</xdr:row>
      <xdr:rowOff>0</xdr:rowOff>
    </xdr:to>
    <xdr:graphicFrame macro="">
      <xdr:nvGraphicFramePr>
        <xdr:cNvPr id="3" name="Gráfico 2" descr="Gasto por me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C2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8" customWidth="1"/>
    <col min="3" max="3" width="100" customWidth="1"/>
  </cols>
  <sheetData>
    <row r="1" ht="34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ht="68" customHeight="1" spans="2:3" x14ac:dyDescent="0.25">
      <c r="B5" s="4" t="s">
        <v>3</v>
      </c>
      <c r="C5" s="5" t="s">
        <v>4</v>
      </c>
    </row>
    <row r="7" spans="2:3" x14ac:dyDescent="0.25">
      <c r="B7" s="3" t="s">
        <v>5</v>
      </c>
      <c r="C7" s="3"/>
    </row>
    <row r="8" ht="20" customHeight="1" spans="2:3" x14ac:dyDescent="0.25">
      <c r="B8" s="4" t="s">
        <v>6</v>
      </c>
      <c r="C8" s="5" t="s">
        <v>7</v>
      </c>
    </row>
    <row r="9" ht="20" customHeight="1" spans="2:3" x14ac:dyDescent="0.25">
      <c r="B9" s="4" t="s">
        <v>8</v>
      </c>
      <c r="C9" s="5" t="s">
        <v>9</v>
      </c>
    </row>
    <row r="10" ht="20" customHeight="1" spans="2:3" x14ac:dyDescent="0.25">
      <c r="B10" s="4" t="s">
        <v>10</v>
      </c>
      <c r="C10" s="5" t="s">
        <v>11</v>
      </c>
    </row>
    <row r="12" spans="2:3" x14ac:dyDescent="0.25">
      <c r="B12" s="3" t="s">
        <v>12</v>
      </c>
      <c r="C12" s="3"/>
    </row>
    <row r="13" ht="20" customHeight="1" spans="2:3" x14ac:dyDescent="0.25">
      <c r="B13" s="4" t="s">
        <v>13</v>
      </c>
      <c r="C13" s="5" t="s">
        <v>14</v>
      </c>
    </row>
    <row r="14" ht="36" customHeight="1" spans="2:3" x14ac:dyDescent="0.25">
      <c r="B14" s="4" t="s">
        <v>15</v>
      </c>
      <c r="C14" s="5" t="s">
        <v>16</v>
      </c>
    </row>
    <row r="15" ht="36" customHeight="1" spans="2:3" x14ac:dyDescent="0.25">
      <c r="B15" s="4" t="s">
        <v>17</v>
      </c>
      <c r="C15" s="5" t="s">
        <v>18</v>
      </c>
    </row>
    <row r="16" ht="20" customHeight="1" spans="2:3" x14ac:dyDescent="0.25">
      <c r="B16" s="4" t="s">
        <v>19</v>
      </c>
      <c r="C16" s="5" t="s">
        <v>20</v>
      </c>
    </row>
    <row r="17" ht="36" customHeight="1" spans="2:3" x14ac:dyDescent="0.25">
      <c r="B17" s="4" t="s">
        <v>21</v>
      </c>
      <c r="C17" s="5" t="s">
        <v>22</v>
      </c>
    </row>
    <row r="19" spans="2:3" x14ac:dyDescent="0.25">
      <c r="B19" s="3" t="s">
        <v>23</v>
      </c>
      <c r="C19" s="3"/>
    </row>
    <row r="20" ht="20" customHeight="1" spans="2:3" x14ac:dyDescent="0.25">
      <c r="B20" s="4" t="s">
        <v>24</v>
      </c>
      <c r="C20" s="5" t="s">
        <v>25</v>
      </c>
    </row>
    <row r="21" ht="20" customHeight="1" spans="2:3" x14ac:dyDescent="0.25">
      <c r="B21" s="4" t="s">
        <v>26</v>
      </c>
      <c r="C21" s="5" t="s">
        <v>27</v>
      </c>
    </row>
    <row r="22" ht="52" customHeight="1" spans="2:3" x14ac:dyDescent="0.25">
      <c r="B22" s="4" t="s">
        <v>28</v>
      </c>
      <c r="C22" s="5" t="s">
        <v>29</v>
      </c>
    </row>
    <row r="24" spans="2:3" x14ac:dyDescent="0.25">
      <c r="B24" s="3" t="s">
        <v>30</v>
      </c>
      <c r="C24" s="3"/>
    </row>
    <row r="25" ht="20" customHeight="1" spans="2:3" x14ac:dyDescent="0.25">
      <c r="B25" s="4" t="s">
        <v>3</v>
      </c>
      <c r="C25" s="5" t="s">
        <v>31</v>
      </c>
    </row>
    <row r="26" ht="36" customHeight="1" spans="2:3" x14ac:dyDescent="0.25">
      <c r="B26" s="4" t="s">
        <v>3</v>
      </c>
      <c r="C26" s="5" t="s">
        <v>32</v>
      </c>
    </row>
    <row r="28" spans="2:3" x14ac:dyDescent="0.25">
      <c r="B28" s="3" t="s">
        <v>33</v>
      </c>
      <c r="C28" s="3"/>
    </row>
    <row r="29" ht="36" customHeight="1" spans="2:3" x14ac:dyDescent="0.25">
      <c r="B29" s="4" t="s">
        <v>3</v>
      </c>
      <c r="C29" s="5" t="s">
        <v>34</v>
      </c>
    </row>
  </sheetData>
  <sheetProtection sheet="1"/>
  <mergeCells count="8">
    <mergeCell ref="A1:C1"/>
    <mergeCell ref="A2:C2"/>
    <mergeCell ref="B4:C4"/>
    <mergeCell ref="B7:C7"/>
    <mergeCell ref="B12:C12"/>
    <mergeCell ref="B19:C19"/>
    <mergeCell ref="B24:C24"/>
    <mergeCell ref="B28:C28"/>
  </mergeCells>
  <pageSetup paperSize="1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Q106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32" customWidth="1"/>
    <col min="3" max="14" width="11" customWidth="1"/>
    <col min="15" max="15" width="14" customWidth="1"/>
    <col min="16" max="17" width="11" customWidth="1"/>
  </cols>
  <sheetData>
    <row r="1" ht="30" customHeight="1" spans="1:15" x14ac:dyDescent="0.25">
      <c r="A1" s="6" t="s">
        <v>35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22" customHeight="1" spans="1:15" x14ac:dyDescent="0.25">
      <c r="A2" s="7" t="s">
        <v>36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ht="28" customHeight="1" spans="1:17" x14ac:dyDescent="0.25">
      <c r="A4" s="8" t="s">
        <v>37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44</v>
      </c>
      <c r="I4" s="8" t="s">
        <v>45</v>
      </c>
      <c r="J4" s="8" t="s">
        <v>46</v>
      </c>
      <c r="K4" s="8" t="s">
        <v>47</v>
      </c>
      <c r="L4" s="8" t="s">
        <v>48</v>
      </c>
      <c r="M4" s="8" t="s">
        <v>49</v>
      </c>
      <c r="N4" s="8" t="s">
        <v>50</v>
      </c>
      <c r="O4" s="9" t="s">
        <v>51</v>
      </c>
      <c r="P4" s="9" t="s">
        <v>52</v>
      </c>
      <c r="Q4" s="8" t="s">
        <v>53</v>
      </c>
    </row>
    <row r="5" spans="1:17" x14ac:dyDescent="0.25">
      <c r="A5" s="10" t="s">
        <v>54</v>
      </c>
      <c r="B5" s="10" t="s">
        <v>55</v>
      </c>
      <c r="C5" s="11">
        <v>18000</v>
      </c>
      <c r="D5" s="11">
        <v>18500</v>
      </c>
      <c r="E5" s="11">
        <v>19000</v>
      </c>
      <c r="F5" s="11">
        <v>18000</v>
      </c>
      <c r="G5" s="11">
        <v>18500</v>
      </c>
      <c r="H5" s="11">
        <v>19000</v>
      </c>
      <c r="I5" s="11">
        <v>18000</v>
      </c>
      <c r="J5" s="11">
        <v>18500</v>
      </c>
      <c r="K5" s="11">
        <v>19000</v>
      </c>
      <c r="L5" s="11">
        <v>18000</v>
      </c>
      <c r="M5" s="11">
        <v>18500</v>
      </c>
      <c r="N5" s="11">
        <v>19000</v>
      </c>
      <c r="O5" s="12">
        <f>IF(AND(A5="",B5=""),"",SUM(C5:N5))</f>
      </c>
      <c r="P5" s="13">
        <f>IF(OR(O5="",SUM($O$5:$O$104)=0),"",O5/SUM($O$5:$O$104))</f>
      </c>
      <c r="Q5" s="10" t="s">
        <v>56</v>
      </c>
    </row>
    <row r="6" spans="1:17" x14ac:dyDescent="0.25">
      <c r="A6" s="10" t="s">
        <v>57</v>
      </c>
      <c r="B6" s="10" t="s">
        <v>58</v>
      </c>
      <c r="C6" s="11">
        <v>3500</v>
      </c>
      <c r="D6" s="11">
        <v>3900</v>
      </c>
      <c r="E6" s="11">
        <v>3500</v>
      </c>
      <c r="F6" s="11">
        <v>3900</v>
      </c>
      <c r="G6" s="11">
        <v>3500</v>
      </c>
      <c r="H6" s="11">
        <v>3900</v>
      </c>
      <c r="I6" s="11">
        <v>3500</v>
      </c>
      <c r="J6" s="11">
        <v>3900</v>
      </c>
      <c r="K6" s="11">
        <v>3500</v>
      </c>
      <c r="L6" s="11">
        <v>3900</v>
      </c>
      <c r="M6" s="11">
        <v>3500</v>
      </c>
      <c r="N6" s="11">
        <v>3900</v>
      </c>
      <c r="O6" s="12">
        <f>IF(AND(A6="",B6=""),"",SUM(C6:N6))</f>
      </c>
      <c r="P6" s="13">
        <f>IF(OR(O6="",SUM($O$5:$O$104)=0),"",O6/SUM($O$5:$O$104))</f>
      </c>
      <c r="Q6" s="10" t="s">
        <v>56</v>
      </c>
    </row>
    <row r="7" spans="1:17" x14ac:dyDescent="0.25">
      <c r="A7" s="10" t="s">
        <v>59</v>
      </c>
      <c r="B7" s="10" t="s">
        <v>60</v>
      </c>
      <c r="C7" s="11">
        <v>6200</v>
      </c>
      <c r="D7" s="11">
        <v>6200</v>
      </c>
      <c r="E7" s="11">
        <v>6200</v>
      </c>
      <c r="F7" s="11">
        <v>6200</v>
      </c>
      <c r="G7" s="11">
        <v>6200</v>
      </c>
      <c r="H7" s="11">
        <v>6200</v>
      </c>
      <c r="I7" s="11">
        <v>6200</v>
      </c>
      <c r="J7" s="11">
        <v>6200</v>
      </c>
      <c r="K7" s="11">
        <v>6200</v>
      </c>
      <c r="L7" s="11">
        <v>6200</v>
      </c>
      <c r="M7" s="11">
        <v>6200</v>
      </c>
      <c r="N7" s="11">
        <v>6200</v>
      </c>
      <c r="O7" s="12">
        <f>IF(AND(A7="",B7=""),"",SUM(C7:N7))</f>
      </c>
      <c r="P7" s="13">
        <f>IF(OR(O7="",SUM($O$5:$O$104)=0),"",O7/SUM($O$5:$O$104))</f>
      </c>
      <c r="Q7" s="10" t="s">
        <v>56</v>
      </c>
    </row>
    <row r="8" spans="1:17" x14ac:dyDescent="0.25">
      <c r="A8" s="10" t="s">
        <v>61</v>
      </c>
      <c r="B8" s="10" t="s">
        <v>62</v>
      </c>
      <c r="C8" s="11">
        <v>42000</v>
      </c>
      <c r="D8" s="11">
        <v>42000</v>
      </c>
      <c r="E8" s="11">
        <v>42000</v>
      </c>
      <c r="F8" s="11">
        <v>42000</v>
      </c>
      <c r="G8" s="11">
        <v>42000</v>
      </c>
      <c r="H8" s="11">
        <v>42000</v>
      </c>
      <c r="I8" s="11">
        <v>42000</v>
      </c>
      <c r="J8" s="11">
        <v>42000</v>
      </c>
      <c r="K8" s="11">
        <v>42000</v>
      </c>
      <c r="L8" s="11">
        <v>42000</v>
      </c>
      <c r="M8" s="11">
        <v>42000</v>
      </c>
      <c r="N8" s="11">
        <v>42000</v>
      </c>
      <c r="O8" s="12">
        <f>IF(AND(A8="",B8=""),"",SUM(C8:N8))</f>
      </c>
      <c r="P8" s="13">
        <f>IF(OR(O8="",SUM($O$5:$O$104)=0),"",O8/SUM($O$5:$O$104))</f>
      </c>
      <c r="Q8" s="10" t="s">
        <v>56</v>
      </c>
    </row>
    <row r="9" spans="1:17" x14ac:dyDescent="0.25">
      <c r="A9" s="10" t="s">
        <v>63</v>
      </c>
      <c r="B9" s="10" t="s">
        <v>64</v>
      </c>
      <c r="C9" s="11">
        <v>15000</v>
      </c>
      <c r="D9" s="11">
        <v>2500</v>
      </c>
      <c r="E9" s="11">
        <v>2500</v>
      </c>
      <c r="F9" s="11">
        <v>2500</v>
      </c>
      <c r="G9" s="11">
        <v>15000</v>
      </c>
      <c r="H9" s="11">
        <v>2500</v>
      </c>
      <c r="I9" s="11">
        <v>2500</v>
      </c>
      <c r="J9" s="11">
        <v>2500</v>
      </c>
      <c r="K9" s="11">
        <v>15000</v>
      </c>
      <c r="L9" s="11">
        <v>2500</v>
      </c>
      <c r="M9" s="11">
        <v>2500</v>
      </c>
      <c r="N9" s="11">
        <v>2500</v>
      </c>
      <c r="O9" s="12">
        <f>IF(AND(A9="",B9=""),"",SUM(C9:N9))</f>
      </c>
      <c r="P9" s="13">
        <f>IF(OR(O9="",SUM($O$5:$O$104)=0),"",O9/SUM($O$5:$O$104))</f>
      </c>
      <c r="Q9" s="10" t="s">
        <v>56</v>
      </c>
    </row>
    <row r="10" spans="1:17" x14ac:dyDescent="0.25">
      <c r="A10" s="14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>IF(AND(A10="",B10=""),"",SUM(C10:N10))</f>
      </c>
      <c r="P10" s="13">
        <f>IF(OR(O10="",SUM($O$5:$O$104)=0),"",O10/SUM($O$5:$O$104))</f>
      </c>
      <c r="Q10" s="14"/>
    </row>
    <row r="11" spans="1:17" x14ac:dyDescent="0.25">
      <c r="A11" s="14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>IF(AND(A11="",B11=""),"",SUM(C11:N11))</f>
      </c>
      <c r="P11" s="13">
        <f>IF(OR(O11="",SUM($O$5:$O$104)=0),"",O11/SUM($O$5:$O$104))</f>
      </c>
      <c r="Q11" s="14"/>
    </row>
    <row r="12" spans="1:17" x14ac:dyDescent="0.25">
      <c r="A12" s="14"/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>IF(AND(A12="",B12=""),"",SUM(C12:N12))</f>
      </c>
      <c r="P12" s="13">
        <f>IF(OR(O12="",SUM($O$5:$O$104)=0),"",O12/SUM($O$5:$O$104))</f>
      </c>
      <c r="Q12" s="14"/>
    </row>
    <row r="13" spans="1:17" x14ac:dyDescent="0.25">
      <c r="A13" s="14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>IF(AND(A13="",B13=""),"",SUM(C13:N13))</f>
      </c>
      <c r="P13" s="13">
        <f>IF(OR(O13="",SUM($O$5:$O$104)=0),"",O13/SUM($O$5:$O$104))</f>
      </c>
      <c r="Q13" s="14"/>
    </row>
    <row r="14" spans="1:17" x14ac:dyDescent="0.25">
      <c r="A14" s="14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2">
        <f>IF(AND(A14="",B14=""),"",SUM(C14:N14))</f>
      </c>
      <c r="P14" s="13">
        <f>IF(OR(O14="",SUM($O$5:$O$104)=0),"",O14/SUM($O$5:$O$104))</f>
      </c>
      <c r="Q14" s="14"/>
    </row>
    <row r="15" spans="1:17" x14ac:dyDescent="0.25">
      <c r="A15" s="14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2">
        <f>IF(AND(A15="",B15=""),"",SUM(C15:N15))</f>
      </c>
      <c r="P15" s="13">
        <f>IF(OR(O15="",SUM($O$5:$O$104)=0),"",O15/SUM($O$5:$O$104))</f>
      </c>
      <c r="Q15" s="14"/>
    </row>
    <row r="16" spans="1:17" x14ac:dyDescent="0.25">
      <c r="A16" s="14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>
        <f>IF(AND(A16="",B16=""),"",SUM(C16:N16))</f>
      </c>
      <c r="P16" s="13">
        <f>IF(OR(O16="",SUM($O$5:$O$104)=0),"",O16/SUM($O$5:$O$104))</f>
      </c>
      <c r="Q16" s="14"/>
    </row>
    <row r="17" spans="1:17" x14ac:dyDescent="0.25">
      <c r="A17" s="14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>IF(AND(A17="",B17=""),"",SUM(C17:N17))</f>
      </c>
      <c r="P17" s="13">
        <f>IF(OR(O17="",SUM($O$5:$O$104)=0),"",O17/SUM($O$5:$O$104))</f>
      </c>
      <c r="Q17" s="14"/>
    </row>
    <row r="18" spans="1:17" x14ac:dyDescent="0.25">
      <c r="A18" s="14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>IF(AND(A18="",B18=""),"",SUM(C18:N18))</f>
      </c>
      <c r="P18" s="13">
        <f>IF(OR(O18="",SUM($O$5:$O$104)=0),"",O18/SUM($O$5:$O$104))</f>
      </c>
      <c r="Q18" s="14"/>
    </row>
    <row r="19" spans="1:17" x14ac:dyDescent="0.25">
      <c r="A19" s="14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>IF(AND(A19="",B19=""),"",SUM(C19:N19))</f>
      </c>
      <c r="P19" s="13">
        <f>IF(OR(O19="",SUM($O$5:$O$104)=0),"",O19/SUM($O$5:$O$104))</f>
      </c>
      <c r="Q19" s="14"/>
    </row>
    <row r="20" spans="1:17" x14ac:dyDescent="0.25">
      <c r="A20" s="14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>
        <f>IF(AND(A20="",B20=""),"",SUM(C20:N20))</f>
      </c>
      <c r="P20" s="13">
        <f>IF(OR(O20="",SUM($O$5:$O$104)=0),"",O20/SUM($O$5:$O$104))</f>
      </c>
      <c r="Q20" s="14"/>
    </row>
    <row r="21" spans="1:17" x14ac:dyDescent="0.25">
      <c r="A21" s="14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>
        <f>IF(AND(A21="",B21=""),"",SUM(C21:N21))</f>
      </c>
      <c r="P21" s="13">
        <f>IF(OR(O21="",SUM($O$5:$O$104)=0),"",O21/SUM($O$5:$O$104))</f>
      </c>
      <c r="Q21" s="14"/>
    </row>
    <row r="22" spans="1:17" x14ac:dyDescent="0.25">
      <c r="A22" s="14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2">
        <f>IF(AND(A22="",B22=""),"",SUM(C22:N22))</f>
      </c>
      <c r="P22" s="13">
        <f>IF(OR(O22="",SUM($O$5:$O$104)=0),"",O22/SUM($O$5:$O$104))</f>
      </c>
      <c r="Q22" s="14"/>
    </row>
    <row r="23" spans="1:17" x14ac:dyDescent="0.25">
      <c r="A23" s="14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2">
        <f>IF(AND(A23="",B23=""),"",SUM(C23:N23))</f>
      </c>
      <c r="P23" s="13">
        <f>IF(OR(O23="",SUM($O$5:$O$104)=0),"",O23/SUM($O$5:$O$104))</f>
      </c>
      <c r="Q23" s="14"/>
    </row>
    <row r="24" spans="1:17" x14ac:dyDescent="0.25">
      <c r="A24" s="14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>IF(AND(A24="",B24=""),"",SUM(C24:N24))</f>
      </c>
      <c r="P24" s="13">
        <f>IF(OR(O24="",SUM($O$5:$O$104)=0),"",O24/SUM($O$5:$O$104))</f>
      </c>
      <c r="Q24" s="14"/>
    </row>
    <row r="25" spans="1:17" x14ac:dyDescent="0.25">
      <c r="A25" s="14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>IF(AND(A25="",B25=""),"",SUM(C25:N25))</f>
      </c>
      <c r="P25" s="13">
        <f>IF(OR(O25="",SUM($O$5:$O$104)=0),"",O25/SUM($O$5:$O$104))</f>
      </c>
      <c r="Q25" s="14"/>
    </row>
    <row r="26" spans="1:17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>IF(AND(A26="",B26=""),"",SUM(C26:N26))</f>
      </c>
      <c r="P26" s="13">
        <f>IF(OR(O26="",SUM($O$5:$O$104)=0),"",O26/SUM($O$5:$O$104))</f>
      </c>
      <c r="Q26" s="14"/>
    </row>
    <row r="27" spans="1:17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>IF(AND(A27="",B27=""),"",SUM(C27:N27))</f>
      </c>
      <c r="P27" s="13">
        <f>IF(OR(O27="",SUM($O$5:$O$104)=0),"",O27/SUM($O$5:$O$104))</f>
      </c>
      <c r="Q27" s="14"/>
    </row>
    <row r="28" spans="1:17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>IF(AND(A28="",B28=""),"",SUM(C28:N28))</f>
      </c>
      <c r="P28" s="13">
        <f>IF(OR(O28="",SUM($O$5:$O$104)=0),"",O28/SUM($O$5:$O$104))</f>
      </c>
      <c r="Q28" s="14"/>
    </row>
    <row r="29" spans="1:17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>IF(AND(A29="",B29=""),"",SUM(C29:N29))</f>
      </c>
      <c r="P29" s="13">
        <f>IF(OR(O29="",SUM($O$5:$O$104)=0),"",O29/SUM($O$5:$O$104))</f>
      </c>
      <c r="Q29" s="14"/>
    </row>
    <row r="30" spans="1:17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>IF(AND(A30="",B30=""),"",SUM(C30:N30))</f>
      </c>
      <c r="P30" s="13">
        <f>IF(OR(O30="",SUM($O$5:$O$104)=0),"",O30/SUM($O$5:$O$104))</f>
      </c>
      <c r="Q30" s="14"/>
    </row>
    <row r="31" spans="1:17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>IF(AND(A31="",B31=""),"",SUM(C31:N31))</f>
      </c>
      <c r="P31" s="13">
        <f>IF(OR(O31="",SUM($O$5:$O$104)=0),"",O31/SUM($O$5:$O$104))</f>
      </c>
      <c r="Q31" s="14"/>
    </row>
    <row r="32" spans="1:17" x14ac:dyDescent="0.25">
      <c r="A32" s="14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>IF(AND(A32="",B32=""),"",SUM(C32:N32))</f>
      </c>
      <c r="P32" s="13">
        <f>IF(OR(O32="",SUM($O$5:$O$104)=0),"",O32/SUM($O$5:$O$104))</f>
      </c>
      <c r="Q32" s="14"/>
    </row>
    <row r="33" spans="1:17" x14ac:dyDescent="0.25">
      <c r="A33" s="14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>IF(AND(A33="",B33=""),"",SUM(C33:N33))</f>
      </c>
      <c r="P33" s="13">
        <f>IF(OR(O33="",SUM($O$5:$O$104)=0),"",O33/SUM($O$5:$O$104))</f>
      </c>
      <c r="Q33" s="14"/>
    </row>
    <row r="34" spans="1:17" x14ac:dyDescent="0.25">
      <c r="A34" s="14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>IF(AND(A34="",B34=""),"",SUM(C34:N34))</f>
      </c>
      <c r="P34" s="13">
        <f>IF(OR(O34="",SUM($O$5:$O$104)=0),"",O34/SUM($O$5:$O$104))</f>
      </c>
      <c r="Q34" s="14"/>
    </row>
    <row r="35" spans="1:17" x14ac:dyDescent="0.25">
      <c r="A35" s="14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>IF(AND(A35="",B35=""),"",SUM(C35:N35))</f>
      </c>
      <c r="P35" s="13">
        <f>IF(OR(O35="",SUM($O$5:$O$104)=0),"",O35/SUM($O$5:$O$104))</f>
      </c>
      <c r="Q35" s="14"/>
    </row>
    <row r="36" spans="1:17" x14ac:dyDescent="0.25">
      <c r="A36" s="14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>IF(AND(A36="",B36=""),"",SUM(C36:N36))</f>
      </c>
      <c r="P36" s="13">
        <f>IF(OR(O36="",SUM($O$5:$O$104)=0),"",O36/SUM($O$5:$O$104))</f>
      </c>
      <c r="Q36" s="14"/>
    </row>
    <row r="37" spans="1:17" x14ac:dyDescent="0.25">
      <c r="A37" s="14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>IF(AND(A37="",B37=""),"",SUM(C37:N37))</f>
      </c>
      <c r="P37" s="13">
        <f>IF(OR(O37="",SUM($O$5:$O$104)=0),"",O37/SUM($O$5:$O$104))</f>
      </c>
      <c r="Q37" s="14"/>
    </row>
    <row r="38" spans="1:17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>IF(AND(A38="",B38=""),"",SUM(C38:N38))</f>
      </c>
      <c r="P38" s="13">
        <f>IF(OR(O38="",SUM($O$5:$O$104)=0),"",O38/SUM($O$5:$O$104))</f>
      </c>
      <c r="Q38" s="14"/>
    </row>
    <row r="39" spans="1:17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>IF(AND(A39="",B39=""),"",SUM(C39:N39))</f>
      </c>
      <c r="P39" s="13">
        <f>IF(OR(O39="",SUM($O$5:$O$104)=0),"",O39/SUM($O$5:$O$104))</f>
      </c>
      <c r="Q39" s="14"/>
    </row>
    <row r="40" spans="1:17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>IF(AND(A40="",B40=""),"",SUM(C40:N40))</f>
      </c>
      <c r="P40" s="13">
        <f>IF(OR(O40="",SUM($O$5:$O$104)=0),"",O40/SUM($O$5:$O$104))</f>
      </c>
      <c r="Q40" s="14"/>
    </row>
    <row r="41" spans="1:17" x14ac:dyDescent="0.25">
      <c r="A41" s="14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>IF(AND(A41="",B41=""),"",SUM(C41:N41))</f>
      </c>
      <c r="P41" s="13">
        <f>IF(OR(O41="",SUM($O$5:$O$104)=0),"",O41/SUM($O$5:$O$104))</f>
      </c>
      <c r="Q41" s="14"/>
    </row>
    <row r="42" spans="1:17" x14ac:dyDescent="0.25">
      <c r="A42" s="14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>IF(AND(A42="",B42=""),"",SUM(C42:N42))</f>
      </c>
      <c r="P42" s="13">
        <f>IF(OR(O42="",SUM($O$5:$O$104)=0),"",O42/SUM($O$5:$O$104))</f>
      </c>
      <c r="Q42" s="14"/>
    </row>
    <row r="43" spans="1:17" x14ac:dyDescent="0.25">
      <c r="A43" s="14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>
        <f>IF(AND(A43="",B43=""),"",SUM(C43:N43))</f>
      </c>
      <c r="P43" s="13">
        <f>IF(OR(O43="",SUM($O$5:$O$104)=0),"",O43/SUM($O$5:$O$104))</f>
      </c>
      <c r="Q43" s="14"/>
    </row>
    <row r="44" spans="1:17" x14ac:dyDescent="0.25">
      <c r="A44" s="14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>
        <f>IF(AND(A44="",B44=""),"",SUM(C44:N44))</f>
      </c>
      <c r="P44" s="13">
        <f>IF(OR(O44="",SUM($O$5:$O$104)=0),"",O44/SUM($O$5:$O$104))</f>
      </c>
      <c r="Q44" s="14"/>
    </row>
    <row r="45" spans="1:17" x14ac:dyDescent="0.25">
      <c r="A45" s="14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>
        <f>IF(AND(A45="",B45=""),"",SUM(C45:N45))</f>
      </c>
      <c r="P45" s="13">
        <f>IF(OR(O45="",SUM($O$5:$O$104)=0),"",O45/SUM($O$5:$O$104))</f>
      </c>
      <c r="Q45" s="14"/>
    </row>
    <row r="46" spans="1:17" x14ac:dyDescent="0.25">
      <c r="A46" s="14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2">
        <f>IF(AND(A46="",B46=""),"",SUM(C46:N46))</f>
      </c>
      <c r="P46" s="13">
        <f>IF(OR(O46="",SUM($O$5:$O$104)=0),"",O46/SUM($O$5:$O$104))</f>
      </c>
      <c r="Q46" s="14"/>
    </row>
    <row r="47" spans="1:17" x14ac:dyDescent="0.25">
      <c r="A47" s="14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2">
        <f>IF(AND(A47="",B47=""),"",SUM(C47:N47))</f>
      </c>
      <c r="P47" s="13">
        <f>IF(OR(O47="",SUM($O$5:$O$104)=0),"",O47/SUM($O$5:$O$104))</f>
      </c>
      <c r="Q47" s="14"/>
    </row>
    <row r="48" spans="1:17" x14ac:dyDescent="0.25">
      <c r="A48" s="14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2">
        <f>IF(AND(A48="",B48=""),"",SUM(C48:N48))</f>
      </c>
      <c r="P48" s="13">
        <f>IF(OR(O48="",SUM($O$5:$O$104)=0),"",O48/SUM($O$5:$O$104))</f>
      </c>
      <c r="Q48" s="14"/>
    </row>
    <row r="49" spans="1:17" x14ac:dyDescent="0.25">
      <c r="A49" s="14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>IF(AND(A49="",B49=""),"",SUM(C49:N49))</f>
      </c>
      <c r="P49" s="13">
        <f>IF(OR(O49="",SUM($O$5:$O$104)=0),"",O49/SUM($O$5:$O$104))</f>
      </c>
      <c r="Q49" s="14"/>
    </row>
    <row r="50" spans="1:17" x14ac:dyDescent="0.25">
      <c r="A50" s="14"/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>IF(AND(A50="",B50=""),"",SUM(C50:N50))</f>
      </c>
      <c r="P50" s="13">
        <f>IF(OR(O50="",SUM($O$5:$O$104)=0),"",O50/SUM($O$5:$O$104))</f>
      </c>
      <c r="Q50" s="14"/>
    </row>
    <row r="51" spans="1:17" x14ac:dyDescent="0.25">
      <c r="A51" s="14"/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>IF(AND(A51="",B51=""),"",SUM(C51:N51))</f>
      </c>
      <c r="P51" s="13">
        <f>IF(OR(O51="",SUM($O$5:$O$104)=0),"",O51/SUM($O$5:$O$104))</f>
      </c>
      <c r="Q51" s="14"/>
    </row>
    <row r="52" spans="1:17" x14ac:dyDescent="0.25">
      <c r="A52" s="14"/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>IF(AND(A52="",B52=""),"",SUM(C52:N52))</f>
      </c>
      <c r="P52" s="13">
        <f>IF(OR(O52="",SUM($O$5:$O$104)=0),"",O52/SUM($O$5:$O$104))</f>
      </c>
      <c r="Q52" s="14"/>
    </row>
    <row r="53" spans="1:17" x14ac:dyDescent="0.25">
      <c r="A53" s="14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>IF(AND(A53="",B53=""),"",SUM(C53:N53))</f>
      </c>
      <c r="P53" s="13">
        <f>IF(OR(O53="",SUM($O$5:$O$104)=0),"",O53/SUM($O$5:$O$104))</f>
      </c>
      <c r="Q53" s="14"/>
    </row>
    <row r="54" spans="1:17" x14ac:dyDescent="0.25">
      <c r="A54" s="14"/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2">
        <f>IF(AND(A54="",B54=""),"",SUM(C54:N54))</f>
      </c>
      <c r="P54" s="13">
        <f>IF(OR(O54="",SUM($O$5:$O$104)=0),"",O54/SUM($O$5:$O$104))</f>
      </c>
      <c r="Q54" s="14"/>
    </row>
    <row r="55" spans="1:17" x14ac:dyDescent="0.25">
      <c r="A55" s="14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2">
        <f>IF(AND(A55="",B55=""),"",SUM(C55:N55))</f>
      </c>
      <c r="P55" s="13">
        <f>IF(OR(O55="",SUM($O$5:$O$104)=0),"",O55/SUM($O$5:$O$104))</f>
      </c>
      <c r="Q55" s="14"/>
    </row>
    <row r="56" spans="1:17" x14ac:dyDescent="0.25">
      <c r="A56" s="14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>
        <f>IF(AND(A56="",B56=""),"",SUM(C56:N56))</f>
      </c>
      <c r="P56" s="13">
        <f>IF(OR(O56="",SUM($O$5:$O$104)=0),"",O56/SUM($O$5:$O$104))</f>
      </c>
      <c r="Q56" s="14"/>
    </row>
    <row r="57" spans="1:17" x14ac:dyDescent="0.25">
      <c r="A57" s="14"/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>IF(AND(A57="",B57=""),"",SUM(C57:N57))</f>
      </c>
      <c r="P57" s="13">
        <f>IF(OR(O57="",SUM($O$5:$O$104)=0),"",O57/SUM($O$5:$O$104))</f>
      </c>
      <c r="Q57" s="14"/>
    </row>
    <row r="58" spans="1:17" x14ac:dyDescent="0.25">
      <c r="A58" s="14"/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>
        <f>IF(AND(A58="",B58=""),"",SUM(C58:N58))</f>
      </c>
      <c r="P58" s="13">
        <f>IF(OR(O58="",SUM($O$5:$O$104)=0),"",O58/SUM($O$5:$O$104))</f>
      </c>
      <c r="Q58" s="14"/>
    </row>
    <row r="59" spans="1:17" x14ac:dyDescent="0.25">
      <c r="A59" s="14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IF(AND(A59="",B59=""),"",SUM(C59:N59))</f>
      </c>
      <c r="P59" s="13">
        <f>IF(OR(O59="",SUM($O$5:$O$104)=0),"",O59/SUM($O$5:$O$104))</f>
      </c>
      <c r="Q59" s="14"/>
    </row>
    <row r="60" spans="1:17" x14ac:dyDescent="0.25">
      <c r="A60" s="14"/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>
        <f>IF(AND(A60="",B60=""),"",SUM(C60:N60))</f>
      </c>
      <c r="P60" s="13">
        <f>IF(OR(O60="",SUM($O$5:$O$104)=0),"",O60/SUM($O$5:$O$104))</f>
      </c>
      <c r="Q60" s="14"/>
    </row>
    <row r="61" spans="1:17" x14ac:dyDescent="0.25">
      <c r="A61" s="14"/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>
        <f>IF(AND(A61="",B61=""),"",SUM(C61:N61))</f>
      </c>
      <c r="P61" s="13">
        <f>IF(OR(O61="",SUM($O$5:$O$104)=0),"",O61/SUM($O$5:$O$104))</f>
      </c>
      <c r="Q61" s="14"/>
    </row>
    <row r="62" spans="1:17" x14ac:dyDescent="0.25">
      <c r="A62" s="14"/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IF(AND(A62="",B62=""),"",SUM(C62:N62))</f>
      </c>
      <c r="P62" s="13">
        <f>IF(OR(O62="",SUM($O$5:$O$104)=0),"",O62/SUM($O$5:$O$104))</f>
      </c>
      <c r="Q62" s="14"/>
    </row>
    <row r="63" spans="1:17" x14ac:dyDescent="0.25">
      <c r="A63" s="14"/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2">
        <f>IF(AND(A63="",B63=""),"",SUM(C63:N63))</f>
      </c>
      <c r="P63" s="13">
        <f>IF(OR(O63="",SUM($O$5:$O$104)=0),"",O63/SUM($O$5:$O$104))</f>
      </c>
      <c r="Q63" s="14"/>
    </row>
    <row r="64" spans="1:17" x14ac:dyDescent="0.25">
      <c r="A64" s="14"/>
      <c r="B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2">
        <f>IF(AND(A64="",B64=""),"",SUM(C64:N64))</f>
      </c>
      <c r="P64" s="13">
        <f>IF(OR(O64="",SUM($O$5:$O$104)=0),"",O64/SUM($O$5:$O$104))</f>
      </c>
      <c r="Q64" s="14"/>
    </row>
    <row r="65" spans="1:17" x14ac:dyDescent="0.25">
      <c r="A65" s="14"/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2">
        <f>IF(AND(A65="",B65=""),"",SUM(C65:N65))</f>
      </c>
      <c r="P65" s="13">
        <f>IF(OR(O65="",SUM($O$5:$O$104)=0),"",O65/SUM($O$5:$O$104))</f>
      </c>
      <c r="Q65" s="14"/>
    </row>
    <row r="66" spans="1:17" x14ac:dyDescent="0.25">
      <c r="A66" s="14"/>
      <c r="B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2">
        <f>IF(AND(A66="",B66=""),"",SUM(C66:N66))</f>
      </c>
      <c r="P66" s="13">
        <f>IF(OR(O66="",SUM($O$5:$O$104)=0),"",O66/SUM($O$5:$O$104))</f>
      </c>
      <c r="Q66" s="14"/>
    </row>
    <row r="67" spans="1:17" x14ac:dyDescent="0.25">
      <c r="A67" s="14"/>
      <c r="B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2">
        <f>IF(AND(A67="",B67=""),"",SUM(C67:N67))</f>
      </c>
      <c r="P67" s="13">
        <f>IF(OR(O67="",SUM($O$5:$O$104)=0),"",O67/SUM($O$5:$O$104))</f>
      </c>
      <c r="Q67" s="14"/>
    </row>
    <row r="68" spans="1:17" x14ac:dyDescent="0.25">
      <c r="A68" s="14"/>
      <c r="B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2">
        <f>IF(AND(A68="",B68=""),"",SUM(C68:N68))</f>
      </c>
      <c r="P68" s="13">
        <f>IF(OR(O68="",SUM($O$5:$O$104)=0),"",O68/SUM($O$5:$O$104))</f>
      </c>
      <c r="Q68" s="14"/>
    </row>
    <row r="69" spans="1:17" x14ac:dyDescent="0.25">
      <c r="A69" s="14"/>
      <c r="B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2">
        <f>IF(AND(A69="",B69=""),"",SUM(C69:N69))</f>
      </c>
      <c r="P69" s="13">
        <f>IF(OR(O69="",SUM($O$5:$O$104)=0),"",O69/SUM($O$5:$O$104))</f>
      </c>
      <c r="Q69" s="14"/>
    </row>
    <row r="70" spans="1:17" x14ac:dyDescent="0.25">
      <c r="A70" s="14"/>
      <c r="B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2">
        <f>IF(AND(A70="",B70=""),"",SUM(C70:N70))</f>
      </c>
      <c r="P70" s="13">
        <f>IF(OR(O70="",SUM($O$5:$O$104)=0),"",O70/SUM($O$5:$O$104))</f>
      </c>
      <c r="Q70" s="14"/>
    </row>
    <row r="71" spans="1:17" x14ac:dyDescent="0.25">
      <c r="A71" s="14"/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2">
        <f>IF(AND(A71="",B71=""),"",SUM(C71:N71))</f>
      </c>
      <c r="P71" s="13">
        <f>IF(OR(O71="",SUM($O$5:$O$104)=0),"",O71/SUM($O$5:$O$104))</f>
      </c>
      <c r="Q71" s="14"/>
    </row>
    <row r="72" spans="1:17" x14ac:dyDescent="0.25">
      <c r="A72" s="14"/>
      <c r="B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2">
        <f>IF(AND(A72="",B72=""),"",SUM(C72:N72))</f>
      </c>
      <c r="P72" s="13">
        <f>IF(OR(O72="",SUM($O$5:$O$104)=0),"",O72/SUM($O$5:$O$104))</f>
      </c>
      <c r="Q72" s="14"/>
    </row>
    <row r="73" spans="1:17" x14ac:dyDescent="0.25">
      <c r="A73" s="14"/>
      <c r="B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2">
        <f>IF(AND(A73="",B73=""),"",SUM(C73:N73))</f>
      </c>
      <c r="P73" s="13">
        <f>IF(OR(O73="",SUM($O$5:$O$104)=0),"",O73/SUM($O$5:$O$104))</f>
      </c>
      <c r="Q73" s="14"/>
    </row>
    <row r="74" spans="1:17" x14ac:dyDescent="0.25">
      <c r="A74" s="14"/>
      <c r="B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2">
        <f>IF(AND(A74="",B74=""),"",SUM(C74:N74))</f>
      </c>
      <c r="P74" s="13">
        <f>IF(OR(O74="",SUM($O$5:$O$104)=0),"",O74/SUM($O$5:$O$104))</f>
      </c>
      <c r="Q74" s="14"/>
    </row>
    <row r="75" spans="1:17" x14ac:dyDescent="0.25">
      <c r="A75" s="14"/>
      <c r="B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2">
        <f>IF(AND(A75="",B75=""),"",SUM(C75:N75))</f>
      </c>
      <c r="P75" s="13">
        <f>IF(OR(O75="",SUM($O$5:$O$104)=0),"",O75/SUM($O$5:$O$104))</f>
      </c>
      <c r="Q75" s="14"/>
    </row>
    <row r="76" spans="1:17" x14ac:dyDescent="0.25">
      <c r="A76" s="14"/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2">
        <f>IF(AND(A76="",B76=""),"",SUM(C76:N76))</f>
      </c>
      <c r="P76" s="13">
        <f>IF(OR(O76="",SUM($O$5:$O$104)=0),"",O76/SUM($O$5:$O$104))</f>
      </c>
      <c r="Q76" s="14"/>
    </row>
    <row r="77" spans="1:17" x14ac:dyDescent="0.25">
      <c r="A77" s="14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2">
        <f>IF(AND(A77="",B77=""),"",SUM(C77:N77))</f>
      </c>
      <c r="P77" s="13">
        <f>IF(OR(O77="",SUM($O$5:$O$104)=0),"",O77/SUM($O$5:$O$104))</f>
      </c>
      <c r="Q77" s="14"/>
    </row>
    <row r="78" spans="1:17" x14ac:dyDescent="0.25">
      <c r="A78" s="14"/>
      <c r="B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2">
        <f>IF(AND(A78="",B78=""),"",SUM(C78:N78))</f>
      </c>
      <c r="P78" s="13">
        <f>IF(OR(O78="",SUM($O$5:$O$104)=0),"",O78/SUM($O$5:$O$104))</f>
      </c>
      <c r="Q78" s="14"/>
    </row>
    <row r="79" spans="1:17" x14ac:dyDescent="0.25">
      <c r="A79" s="14"/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2">
        <f>IF(AND(A79="",B79=""),"",SUM(C79:N79))</f>
      </c>
      <c r="P79" s="13">
        <f>IF(OR(O79="",SUM($O$5:$O$104)=0),"",O79/SUM($O$5:$O$104))</f>
      </c>
      <c r="Q79" s="14"/>
    </row>
    <row r="80" spans="1:17" x14ac:dyDescent="0.25">
      <c r="A80" s="14"/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2">
        <f>IF(AND(A80="",B80=""),"",SUM(C80:N80))</f>
      </c>
      <c r="P80" s="13">
        <f>IF(OR(O80="",SUM($O$5:$O$104)=0),"",O80/SUM($O$5:$O$104))</f>
      </c>
      <c r="Q80" s="14"/>
    </row>
    <row r="81" spans="1:17" x14ac:dyDescent="0.25">
      <c r="A81" s="14"/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2">
        <f>IF(AND(A81="",B81=""),"",SUM(C81:N81))</f>
      </c>
      <c r="P81" s="13">
        <f>IF(OR(O81="",SUM($O$5:$O$104)=0),"",O81/SUM($O$5:$O$104))</f>
      </c>
      <c r="Q81" s="14"/>
    </row>
    <row r="82" spans="1:17" x14ac:dyDescent="0.25">
      <c r="A82" s="14"/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2">
        <f>IF(AND(A82="",B82=""),"",SUM(C82:N82))</f>
      </c>
      <c r="P82" s="13">
        <f>IF(OR(O82="",SUM($O$5:$O$104)=0),"",O82/SUM($O$5:$O$104))</f>
      </c>
      <c r="Q82" s="14"/>
    </row>
    <row r="83" spans="1:17" x14ac:dyDescent="0.25">
      <c r="A83" s="14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2">
        <f>IF(AND(A83="",B83=""),"",SUM(C83:N83))</f>
      </c>
      <c r="P83" s="13">
        <f>IF(OR(O83="",SUM($O$5:$O$104)=0),"",O83/SUM($O$5:$O$104))</f>
      </c>
      <c r="Q83" s="14"/>
    </row>
    <row r="84" spans="1:17" x14ac:dyDescent="0.25">
      <c r="A84" s="14"/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2">
        <f>IF(AND(A84="",B84=""),"",SUM(C84:N84))</f>
      </c>
      <c r="P84" s="13">
        <f>IF(OR(O84="",SUM($O$5:$O$104)=0),"",O84/SUM($O$5:$O$104))</f>
      </c>
      <c r="Q84" s="14"/>
    </row>
    <row r="85" spans="1:17" x14ac:dyDescent="0.25">
      <c r="A85" s="14"/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2">
        <f>IF(AND(A85="",B85=""),"",SUM(C85:N85))</f>
      </c>
      <c r="P85" s="13">
        <f>IF(OR(O85="",SUM($O$5:$O$104)=0),"",O85/SUM($O$5:$O$104))</f>
      </c>
      <c r="Q85" s="14"/>
    </row>
    <row r="86" spans="1:17" x14ac:dyDescent="0.25">
      <c r="A86" s="14"/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2">
        <f>IF(AND(A86="",B86=""),"",SUM(C86:N86))</f>
      </c>
      <c r="P86" s="13">
        <f>IF(OR(O86="",SUM($O$5:$O$104)=0),"",O86/SUM($O$5:$O$104))</f>
      </c>
      <c r="Q86" s="14"/>
    </row>
    <row r="87" spans="1:17" x14ac:dyDescent="0.25">
      <c r="A87" s="14"/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2">
        <f>IF(AND(A87="",B87=""),"",SUM(C87:N87))</f>
      </c>
      <c r="P87" s="13">
        <f>IF(OR(O87="",SUM($O$5:$O$104)=0),"",O87/SUM($O$5:$O$104))</f>
      </c>
      <c r="Q87" s="14"/>
    </row>
    <row r="88" spans="1:17" x14ac:dyDescent="0.25">
      <c r="A88" s="14"/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2">
        <f>IF(AND(A88="",B88=""),"",SUM(C88:N88))</f>
      </c>
      <c r="P88" s="13">
        <f>IF(OR(O88="",SUM($O$5:$O$104)=0),"",O88/SUM($O$5:$O$104))</f>
      </c>
      <c r="Q88" s="14"/>
    </row>
    <row r="89" spans="1:17" x14ac:dyDescent="0.25">
      <c r="A89" s="14"/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2">
        <f>IF(AND(A89="",B89=""),"",SUM(C89:N89))</f>
      </c>
      <c r="P89" s="13">
        <f>IF(OR(O89="",SUM($O$5:$O$104)=0),"",O89/SUM($O$5:$O$104))</f>
      </c>
      <c r="Q89" s="14"/>
    </row>
    <row r="90" spans="1:17" x14ac:dyDescent="0.25">
      <c r="A90" s="14"/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2">
        <f>IF(AND(A90="",B90=""),"",SUM(C90:N90))</f>
      </c>
      <c r="P90" s="13">
        <f>IF(OR(O90="",SUM($O$5:$O$104)=0),"",O90/SUM($O$5:$O$104))</f>
      </c>
      <c r="Q90" s="14"/>
    </row>
    <row r="91" spans="1:17" x14ac:dyDescent="0.25">
      <c r="A91" s="14"/>
      <c r="B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2">
        <f>IF(AND(A91="",B91=""),"",SUM(C91:N91))</f>
      </c>
      <c r="P91" s="13">
        <f>IF(OR(O91="",SUM($O$5:$O$104)=0),"",O91/SUM($O$5:$O$104))</f>
      </c>
      <c r="Q91" s="14"/>
    </row>
    <row r="92" spans="1:17" x14ac:dyDescent="0.25">
      <c r="A92" s="14"/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2">
        <f>IF(AND(A92="",B92=""),"",SUM(C92:N92))</f>
      </c>
      <c r="P92" s="13">
        <f>IF(OR(O92="",SUM($O$5:$O$104)=0),"",O92/SUM($O$5:$O$104))</f>
      </c>
      <c r="Q92" s="14"/>
    </row>
    <row r="93" spans="1:17" x14ac:dyDescent="0.25">
      <c r="A93" s="14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2">
        <f>IF(AND(A93="",B93=""),"",SUM(C93:N93))</f>
      </c>
      <c r="P93" s="13">
        <f>IF(OR(O93="",SUM($O$5:$O$104)=0),"",O93/SUM($O$5:$O$104))</f>
      </c>
      <c r="Q93" s="14"/>
    </row>
    <row r="94" spans="1:17" x14ac:dyDescent="0.25">
      <c r="A94" s="14"/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2">
        <f>IF(AND(A94="",B94=""),"",SUM(C94:N94))</f>
      </c>
      <c r="P94" s="13">
        <f>IF(OR(O94="",SUM($O$5:$O$104)=0),"",O94/SUM($O$5:$O$104))</f>
      </c>
      <c r="Q94" s="14"/>
    </row>
    <row r="95" spans="1:17" x14ac:dyDescent="0.25">
      <c r="A95" s="14"/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2">
        <f>IF(AND(A95="",B95=""),"",SUM(C95:N95))</f>
      </c>
      <c r="P95" s="13">
        <f>IF(OR(O95="",SUM($O$5:$O$104)=0),"",O95/SUM($O$5:$O$104))</f>
      </c>
      <c r="Q95" s="14"/>
    </row>
    <row r="96" spans="1:17" x14ac:dyDescent="0.25">
      <c r="A96" s="14"/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2">
        <f>IF(AND(A96="",B96=""),"",SUM(C96:N96))</f>
      </c>
      <c r="P96" s="13">
        <f>IF(OR(O96="",SUM($O$5:$O$104)=0),"",O96/SUM($O$5:$O$104))</f>
      </c>
      <c r="Q96" s="14"/>
    </row>
    <row r="97" spans="1:17" x14ac:dyDescent="0.25">
      <c r="A97" s="14"/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2">
        <f>IF(AND(A97="",B97=""),"",SUM(C97:N97))</f>
      </c>
      <c r="P97" s="13">
        <f>IF(OR(O97="",SUM($O$5:$O$104)=0),"",O97/SUM($O$5:$O$104))</f>
      </c>
      <c r="Q97" s="14"/>
    </row>
    <row r="98" spans="1:17" x14ac:dyDescent="0.25">
      <c r="A98" s="14"/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2">
        <f>IF(AND(A98="",B98=""),"",SUM(C98:N98))</f>
      </c>
      <c r="P98" s="13">
        <f>IF(OR(O98="",SUM($O$5:$O$104)=0),"",O98/SUM($O$5:$O$104))</f>
      </c>
      <c r="Q98" s="14"/>
    </row>
    <row r="99" spans="1:17" x14ac:dyDescent="0.25">
      <c r="A99" s="14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2">
        <f>IF(AND(A99="",B99=""),"",SUM(C99:N99))</f>
      </c>
      <c r="P99" s="13">
        <f>IF(OR(O99="",SUM($O$5:$O$104)=0),"",O99/SUM($O$5:$O$104))</f>
      </c>
      <c r="Q99" s="14"/>
    </row>
    <row r="100" spans="1:17" x14ac:dyDescent="0.25">
      <c r="A100" s="14"/>
      <c r="B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2">
        <f>IF(AND(A100="",B100=""),"",SUM(C100:N100))</f>
      </c>
      <c r="P100" s="13">
        <f>IF(OR(O100="",SUM($O$5:$O$104)=0),"",O100/SUM($O$5:$O$104))</f>
      </c>
      <c r="Q100" s="14"/>
    </row>
    <row r="101" spans="1:17" x14ac:dyDescent="0.25">
      <c r="A101" s="14"/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2">
        <f>IF(AND(A101="",B101=""),"",SUM(C101:N101))</f>
      </c>
      <c r="P101" s="13">
        <f>IF(OR(O101="",SUM($O$5:$O$104)=0),"",O101/SUM($O$5:$O$104))</f>
      </c>
      <c r="Q101" s="14"/>
    </row>
    <row r="102" spans="1:17" x14ac:dyDescent="0.25">
      <c r="A102" s="14"/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2">
        <f>IF(AND(A102="",B102=""),"",SUM(C102:N102))</f>
      </c>
      <c r="P102" s="13">
        <f>IF(OR(O102="",SUM($O$5:$O$104)=0),"",O102/SUM($O$5:$O$104))</f>
      </c>
      <c r="Q102" s="14"/>
    </row>
    <row r="103" spans="1:17" x14ac:dyDescent="0.25">
      <c r="A103" s="14"/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2">
        <f>IF(AND(A103="",B103=""),"",SUM(C103:N103))</f>
      </c>
      <c r="P103" s="13">
        <f>IF(OR(O103="",SUM($O$5:$O$104)=0),"",O103/SUM($O$5:$O$104))</f>
      </c>
      <c r="Q103" s="14"/>
    </row>
    <row r="104" spans="1:17" x14ac:dyDescent="0.25">
      <c r="A104" s="14"/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2">
        <f>IF(AND(A104="",B104=""),"",SUM(C104:N104))</f>
      </c>
      <c r="P104" s="13">
        <f>IF(OR(O104="",SUM($O$5:$O$104)=0),"",O104/SUM($O$5:$O$104))</f>
      </c>
      <c r="Q104" s="14"/>
    </row>
    <row r="106" spans="2:15" x14ac:dyDescent="0.25">
      <c r="B106" s="16" t="s">
        <v>65</v>
      </c>
      <c r="C106" s="17">
        <f>SUM(C5:C104)</f>
      </c>
      <c r="D106" s="17">
        <f>SUM(D5:D104)</f>
      </c>
      <c r="E106" s="17">
        <f>SUM(E5:E104)</f>
      </c>
      <c r="F106" s="17">
        <f>SUM(F5:F104)</f>
      </c>
      <c r="G106" s="17">
        <f>SUM(G5:G104)</f>
      </c>
      <c r="H106" s="17">
        <f>SUM(H5:H104)</f>
      </c>
      <c r="I106" s="17">
        <f>SUM(I5:I104)</f>
      </c>
      <c r="J106" s="17">
        <f>SUM(J5:J104)</f>
      </c>
      <c r="K106" s="17">
        <f>SUM(K5:K104)</f>
      </c>
      <c r="L106" s="17">
        <f>SUM(L5:L104)</f>
      </c>
      <c r="M106" s="17">
        <f>SUM(M5:M104)</f>
      </c>
      <c r="N106" s="17">
        <f>SUM(N5:N104)</f>
      </c>
      <c r="O106" s="17">
        <f>SUM(O5:O104)</f>
      </c>
    </row>
  </sheetData>
  <mergeCells count="2">
    <mergeCell ref="A1:O1"/>
    <mergeCell ref="A2:O2"/>
  </mergeCells>
  <dataValidations count="13">
    <dataValidation type="list" allowBlank="1" promptTitle="Categoría" showErrorMessage="1" errorStyle="warning" errorTitle="Elige de la lista" error="Elige una opción de la lista desplegable." sqref="A5:A104">
      <formula1>"Alimentación,Insumos y material,Servicios,Personal,Mantenimiento e infraestructura,Otros"</formula1>
    </dataValidation>
    <dataValidation type="decimal" allowBlank="1" promptTitle="Ene" showErrorMessage="1" errorStyle="warning" errorTitle="Número" error="Escribe un número entre 0 y 1000000000000." sqref="C5:C104">
      <formula1>0</formula1>
      <formula2>1000000000000</formula2>
    </dataValidation>
    <dataValidation type="decimal" allowBlank="1" promptTitle="Feb" showErrorMessage="1" errorStyle="warning" errorTitle="Número" error="Escribe un número entre 0 y 1000000000000." sqref="D5:D104">
      <formula1>0</formula1>
      <formula2>1000000000000</formula2>
    </dataValidation>
    <dataValidation type="decimal" allowBlank="1" promptTitle="Mar" showErrorMessage="1" errorStyle="warning" errorTitle="Número" error="Escribe un número entre 0 y 1000000000000." sqref="E5:E104">
      <formula1>0</formula1>
      <formula2>1000000000000</formula2>
    </dataValidation>
    <dataValidation type="decimal" allowBlank="1" promptTitle="Abr" showErrorMessage="1" errorStyle="warning" errorTitle="Número" error="Escribe un número entre 0 y 1000000000000." sqref="F5:F104">
      <formula1>0</formula1>
      <formula2>1000000000000</formula2>
    </dataValidation>
    <dataValidation type="decimal" allowBlank="1" promptTitle="May" showErrorMessage="1" errorStyle="warning" errorTitle="Número" error="Escribe un número entre 0 y 1000000000000." sqref="G5:G104">
      <formula1>0</formula1>
      <formula2>1000000000000</formula2>
    </dataValidation>
    <dataValidation type="decimal" allowBlank="1" promptTitle="Jun" showErrorMessage="1" errorStyle="warning" errorTitle="Número" error="Escribe un número entre 0 y 1000000000000." sqref="H5:H104">
      <formula1>0</formula1>
      <formula2>1000000000000</formula2>
    </dataValidation>
    <dataValidation type="decimal" allowBlank="1" promptTitle="Jul" showErrorMessage="1" errorStyle="warning" errorTitle="Número" error="Escribe un número entre 0 y 1000000000000." sqref="I5:I104">
      <formula1>0</formula1>
      <formula2>1000000000000</formula2>
    </dataValidation>
    <dataValidation type="decimal" allowBlank="1" promptTitle="Ago" showErrorMessage="1" errorStyle="warning" errorTitle="Número" error="Escribe un número entre 0 y 1000000000000." sqref="J5:J104">
      <formula1>0</formula1>
      <formula2>1000000000000</formula2>
    </dataValidation>
    <dataValidation type="decimal" allowBlank="1" promptTitle="Sep" showErrorMessage="1" errorStyle="warning" errorTitle="Número" error="Escribe un número entre 0 y 1000000000000." sqref="K5:K104">
      <formula1>0</formula1>
      <formula2>1000000000000</formula2>
    </dataValidation>
    <dataValidation type="decimal" allowBlank="1" promptTitle="Oct" showErrorMessage="1" errorStyle="warning" errorTitle="Número" error="Escribe un número entre 0 y 1000000000000." sqref="L5:L104">
      <formula1>0</formula1>
      <formula2>1000000000000</formula2>
    </dataValidation>
    <dataValidation type="decimal" allowBlank="1" promptTitle="Nov" showErrorMessage="1" errorStyle="warning" errorTitle="Número" error="Escribe un número entre 0 y 1000000000000." sqref="M5:M104">
      <formula1>0</formula1>
      <formula2>1000000000000</formula2>
    </dataValidation>
    <dataValidation type="decimal" allowBlank="1" promptTitle="Dic" showErrorMessage="1" errorStyle="warning" errorTitle="Número" error="Escribe un número entre 0 y 1000000000000." sqref="N5:N104">
      <formula1>0</formula1>
      <formula2>1000000000000</formula2>
    </dataValidation>
  </dataValidations>
  <pageSetup paperSize="1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5F3A"/>
    <pageSetUpPr fitToPage="1"/>
  </sheetPr>
  <dimension ref="A1:P106"/>
  <sheetViews>
    <sheetView workbookViewId="0" showGridLines="0">
      <pane xSplit="2" ySplit="4" topLeftCell="C5" activePane="bottomRight" state="frozen"/>
      <selection pane="bottomRight"/>
    </sheetView>
  </sheetViews>
  <sheetFormatPr defaultRowHeight="15" outlineLevelRow="0" outlineLevelCol="0" x14ac:dyDescent="55"/>
  <cols>
    <col min="1" max="1" width="30" customWidth="1"/>
    <col min="2" max="2" width="32" customWidth="1"/>
    <col min="3" max="14" width="11" customWidth="1"/>
    <col min="15" max="15" width="14" customWidth="1"/>
    <col min="16" max="16" width="11" customWidth="1"/>
  </cols>
  <sheetData>
    <row r="1" ht="30" customHeight="1" spans="1:15" x14ac:dyDescent="0.25">
      <c r="A1" s="6" t="s">
        <v>66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22" customHeight="1" spans="1:15" x14ac:dyDescent="0.25">
      <c r="A2" s="7" t="s">
        <v>67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ht="28" customHeight="1" spans="1:16" x14ac:dyDescent="0.25">
      <c r="A4" s="8" t="s">
        <v>37</v>
      </c>
      <c r="B4" s="8" t="s">
        <v>38</v>
      </c>
      <c r="C4" s="8" t="s">
        <v>39</v>
      </c>
      <c r="D4" s="8" t="s">
        <v>40</v>
      </c>
      <c r="E4" s="8" t="s">
        <v>41</v>
      </c>
      <c r="F4" s="8" t="s">
        <v>42</v>
      </c>
      <c r="G4" s="8" t="s">
        <v>43</v>
      </c>
      <c r="H4" s="8" t="s">
        <v>44</v>
      </c>
      <c r="I4" s="8" t="s">
        <v>45</v>
      </c>
      <c r="J4" s="8" t="s">
        <v>46</v>
      </c>
      <c r="K4" s="8" t="s">
        <v>47</v>
      </c>
      <c r="L4" s="8" t="s">
        <v>48</v>
      </c>
      <c r="M4" s="8" t="s">
        <v>49</v>
      </c>
      <c r="N4" s="8" t="s">
        <v>50</v>
      </c>
      <c r="O4" s="9" t="s">
        <v>51</v>
      </c>
      <c r="P4" s="8" t="s">
        <v>53</v>
      </c>
    </row>
    <row r="5" spans="1:16" x14ac:dyDescent="0.25">
      <c r="A5" s="10" t="s">
        <v>54</v>
      </c>
      <c r="B5" s="10" t="s">
        <v>55</v>
      </c>
      <c r="C5" s="11">
        <v>18900</v>
      </c>
      <c r="D5" s="11">
        <v>17900</v>
      </c>
      <c r="E5" s="11">
        <v>19000</v>
      </c>
      <c r="F5" s="11">
        <v>18000</v>
      </c>
      <c r="G5" s="11">
        <v>18500</v>
      </c>
      <c r="H5" s="11">
        <v>19000</v>
      </c>
      <c r="I5" s="11">
        <v>18000</v>
      </c>
      <c r="J5" s="11">
        <v>18500</v>
      </c>
      <c r="K5" s="11">
        <v>19000</v>
      </c>
      <c r="L5" s="11">
        <v>18000</v>
      </c>
      <c r="M5" s="11">
        <v>18500</v>
      </c>
      <c r="N5" s="11">
        <v>19000</v>
      </c>
      <c r="O5" s="12">
        <f>IF(AND(A5="",B5=""),"",SUM(C5:N5))</f>
      </c>
      <c r="P5" s="10" t="s">
        <v>56</v>
      </c>
    </row>
    <row r="6" spans="1:16" x14ac:dyDescent="0.25">
      <c r="A6" s="10" t="s">
        <v>57</v>
      </c>
      <c r="B6" s="10" t="s">
        <v>58</v>
      </c>
      <c r="C6" s="11">
        <v>4400</v>
      </c>
      <c r="D6" s="11">
        <v>3300</v>
      </c>
      <c r="E6" s="11">
        <v>3500</v>
      </c>
      <c r="F6" s="11">
        <v>3900</v>
      </c>
      <c r="G6" s="11">
        <v>3500</v>
      </c>
      <c r="H6" s="11">
        <v>3900</v>
      </c>
      <c r="I6" s="11">
        <v>3500</v>
      </c>
      <c r="J6" s="11">
        <v>3900</v>
      </c>
      <c r="K6" s="11">
        <v>3500</v>
      </c>
      <c r="L6" s="11">
        <v>3900</v>
      </c>
      <c r="M6" s="11">
        <v>3500</v>
      </c>
      <c r="N6" s="11">
        <v>3900</v>
      </c>
      <c r="O6" s="12">
        <f>IF(AND(A6="",B6=""),"",SUM(C6:N6))</f>
      </c>
      <c r="P6" s="10" t="s">
        <v>56</v>
      </c>
    </row>
    <row r="7" spans="1:16" x14ac:dyDescent="0.25">
      <c r="A7" s="10" t="s">
        <v>59</v>
      </c>
      <c r="B7" s="10" t="s">
        <v>60</v>
      </c>
      <c r="C7" s="11">
        <v>7100</v>
      </c>
      <c r="D7" s="11">
        <v>5600</v>
      </c>
      <c r="E7" s="11">
        <v>6200</v>
      </c>
      <c r="F7" s="11">
        <v>6200</v>
      </c>
      <c r="G7" s="11">
        <v>6200</v>
      </c>
      <c r="H7" s="11">
        <v>6200</v>
      </c>
      <c r="I7" s="11">
        <v>6200</v>
      </c>
      <c r="J7" s="11">
        <v>6200</v>
      </c>
      <c r="K7" s="11">
        <v>6200</v>
      </c>
      <c r="L7" s="11">
        <v>6200</v>
      </c>
      <c r="M7" s="11">
        <v>6200</v>
      </c>
      <c r="N7" s="11">
        <v>6200</v>
      </c>
      <c r="O7" s="12">
        <f>IF(AND(A7="",B7=""),"",SUM(C7:N7))</f>
      </c>
      <c r="P7" s="10" t="s">
        <v>56</v>
      </c>
    </row>
    <row r="8" spans="1:16" x14ac:dyDescent="0.25">
      <c r="A8" s="10" t="s">
        <v>61</v>
      </c>
      <c r="B8" s="10" t="s">
        <v>62</v>
      </c>
      <c r="C8" s="11">
        <v>42900</v>
      </c>
      <c r="D8" s="11">
        <v>41400</v>
      </c>
      <c r="E8" s="11">
        <v>42000</v>
      </c>
      <c r="F8" s="11">
        <v>42000</v>
      </c>
      <c r="G8" s="11">
        <v>42000</v>
      </c>
      <c r="H8" s="11">
        <v>42000</v>
      </c>
      <c r="I8" s="11">
        <v>42000</v>
      </c>
      <c r="J8" s="11">
        <v>42000</v>
      </c>
      <c r="K8" s="11">
        <v>42000</v>
      </c>
      <c r="L8" s="11">
        <v>42000</v>
      </c>
      <c r="M8" s="11">
        <v>42000</v>
      </c>
      <c r="N8" s="11">
        <v>42000</v>
      </c>
      <c r="O8" s="12">
        <f>IF(AND(A8="",B8=""),"",SUM(C8:N8))</f>
      </c>
      <c r="P8" s="10" t="s">
        <v>56</v>
      </c>
    </row>
    <row r="9" spans="1:16" x14ac:dyDescent="0.25">
      <c r="A9" s="10" t="s">
        <v>63</v>
      </c>
      <c r="B9" s="10" t="s">
        <v>64</v>
      </c>
      <c r="C9" s="11">
        <v>15900</v>
      </c>
      <c r="D9" s="11">
        <v>1900</v>
      </c>
      <c r="E9" s="11">
        <v>2500</v>
      </c>
      <c r="F9" s="11">
        <v>2500</v>
      </c>
      <c r="G9" s="11">
        <v>15000</v>
      </c>
      <c r="H9" s="11">
        <v>2500</v>
      </c>
      <c r="I9" s="11">
        <v>2500</v>
      </c>
      <c r="J9" s="11">
        <v>2500</v>
      </c>
      <c r="K9" s="11">
        <v>15000</v>
      </c>
      <c r="L9" s="11">
        <v>2500</v>
      </c>
      <c r="M9" s="11">
        <v>2500</v>
      </c>
      <c r="N9" s="11">
        <v>2500</v>
      </c>
      <c r="O9" s="12">
        <f>IF(AND(A9="",B9=""),"",SUM(C9:N9))</f>
      </c>
      <c r="P9" s="10" t="s">
        <v>56</v>
      </c>
    </row>
    <row r="10" spans="1:16" x14ac:dyDescent="0.25">
      <c r="A10" s="14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2">
        <f>IF(AND(A10="",B10=""),"",SUM(C10:N10))</f>
      </c>
      <c r="P10" s="14"/>
    </row>
    <row r="11" spans="1:16" x14ac:dyDescent="0.25">
      <c r="A11" s="14"/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2">
        <f>IF(AND(A11="",B11=""),"",SUM(C11:N11))</f>
      </c>
      <c r="P11" s="14"/>
    </row>
    <row r="12" spans="1:16" x14ac:dyDescent="0.25">
      <c r="A12" s="14"/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2">
        <f>IF(AND(A12="",B12=""),"",SUM(C12:N12))</f>
      </c>
      <c r="P12" s="14"/>
    </row>
    <row r="13" spans="1:16" x14ac:dyDescent="0.25">
      <c r="A13" s="14"/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2">
        <f>IF(AND(A13="",B13=""),"",SUM(C13:N13))</f>
      </c>
      <c r="P13" s="14"/>
    </row>
    <row r="14" spans="1:16" x14ac:dyDescent="0.25">
      <c r="A14" s="14"/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2">
        <f>IF(AND(A14="",B14=""),"",SUM(C14:N14))</f>
      </c>
      <c r="P14" s="14"/>
    </row>
    <row r="15" spans="1:16" x14ac:dyDescent="0.25">
      <c r="A15" s="14"/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2">
        <f>IF(AND(A15="",B15=""),"",SUM(C15:N15))</f>
      </c>
      <c r="P15" s="14"/>
    </row>
    <row r="16" spans="1:16" x14ac:dyDescent="0.25">
      <c r="A16" s="14"/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2">
        <f>IF(AND(A16="",B16=""),"",SUM(C16:N16))</f>
      </c>
      <c r="P16" s="14"/>
    </row>
    <row r="17" spans="1:16" x14ac:dyDescent="0.25">
      <c r="A17" s="14"/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2">
        <f>IF(AND(A17="",B17=""),"",SUM(C17:N17))</f>
      </c>
      <c r="P17" s="14"/>
    </row>
    <row r="18" spans="1:16" x14ac:dyDescent="0.25">
      <c r="A18" s="14"/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2">
        <f>IF(AND(A18="",B18=""),"",SUM(C18:N18))</f>
      </c>
      <c r="P18" s="14"/>
    </row>
    <row r="19" spans="1:16" x14ac:dyDescent="0.25">
      <c r="A19" s="14"/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2">
        <f>IF(AND(A19="",B19=""),"",SUM(C19:N19))</f>
      </c>
      <c r="P19" s="14"/>
    </row>
    <row r="20" spans="1:16" x14ac:dyDescent="0.25">
      <c r="A20" s="14"/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2">
        <f>IF(AND(A20="",B20=""),"",SUM(C20:N20))</f>
      </c>
      <c r="P20" s="14"/>
    </row>
    <row r="21" spans="1:16" x14ac:dyDescent="0.25">
      <c r="A21" s="14"/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2">
        <f>IF(AND(A21="",B21=""),"",SUM(C21:N21))</f>
      </c>
      <c r="P21" s="14"/>
    </row>
    <row r="22" spans="1:16" x14ac:dyDescent="0.25">
      <c r="A22" s="14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2">
        <f>IF(AND(A22="",B22=""),"",SUM(C22:N22))</f>
      </c>
      <c r="P22" s="14"/>
    </row>
    <row r="23" spans="1:16" x14ac:dyDescent="0.25">
      <c r="A23" s="14"/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2">
        <f>IF(AND(A23="",B23=""),"",SUM(C23:N23))</f>
      </c>
      <c r="P23" s="14"/>
    </row>
    <row r="24" spans="1:16" x14ac:dyDescent="0.25">
      <c r="A24" s="14"/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2">
        <f>IF(AND(A24="",B24=""),"",SUM(C24:N24))</f>
      </c>
      <c r="P24" s="14"/>
    </row>
    <row r="25" spans="1:16" x14ac:dyDescent="0.25">
      <c r="A25" s="14"/>
      <c r="B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2">
        <f>IF(AND(A25="",B25=""),"",SUM(C25:N25))</f>
      </c>
      <c r="P25" s="14"/>
    </row>
    <row r="26" spans="1:16" x14ac:dyDescent="0.25">
      <c r="A26" s="14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2">
        <f>IF(AND(A26="",B26=""),"",SUM(C26:N26))</f>
      </c>
      <c r="P26" s="14"/>
    </row>
    <row r="27" spans="1:16" x14ac:dyDescent="0.25">
      <c r="A27" s="14"/>
      <c r="B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2">
        <f>IF(AND(A27="",B27=""),"",SUM(C27:N27))</f>
      </c>
      <c r="P27" s="14"/>
    </row>
    <row r="28" spans="1:16" x14ac:dyDescent="0.25">
      <c r="A28" s="14"/>
      <c r="B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2">
        <f>IF(AND(A28="",B28=""),"",SUM(C28:N28))</f>
      </c>
      <c r="P28" s="14"/>
    </row>
    <row r="29" spans="1:16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2">
        <f>IF(AND(A29="",B29=""),"",SUM(C29:N29))</f>
      </c>
      <c r="P29" s="14"/>
    </row>
    <row r="30" spans="1:16" x14ac:dyDescent="0.25">
      <c r="A30" s="14"/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2">
        <f>IF(AND(A30="",B30=""),"",SUM(C30:N30))</f>
      </c>
      <c r="P30" s="14"/>
    </row>
    <row r="31" spans="1:16" x14ac:dyDescent="0.25">
      <c r="A31" s="14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2">
        <f>IF(AND(A31="",B31=""),"",SUM(C31:N31))</f>
      </c>
      <c r="P31" s="14"/>
    </row>
    <row r="32" spans="1:16" x14ac:dyDescent="0.25">
      <c r="A32" s="14"/>
      <c r="B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2">
        <f>IF(AND(A32="",B32=""),"",SUM(C32:N32))</f>
      </c>
      <c r="P32" s="14"/>
    </row>
    <row r="33" spans="1:16" x14ac:dyDescent="0.25">
      <c r="A33" s="14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2">
        <f>IF(AND(A33="",B33=""),"",SUM(C33:N33))</f>
      </c>
      <c r="P33" s="14"/>
    </row>
    <row r="34" spans="1:16" x14ac:dyDescent="0.25">
      <c r="A34" s="14"/>
      <c r="B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2">
        <f>IF(AND(A34="",B34=""),"",SUM(C34:N34))</f>
      </c>
      <c r="P34" s="14"/>
    </row>
    <row r="35" spans="1:16" x14ac:dyDescent="0.25">
      <c r="A35" s="14"/>
      <c r="B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2">
        <f>IF(AND(A35="",B35=""),"",SUM(C35:N35))</f>
      </c>
      <c r="P35" s="14"/>
    </row>
    <row r="36" spans="1:16" x14ac:dyDescent="0.25">
      <c r="A36" s="14"/>
      <c r="B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2">
        <f>IF(AND(A36="",B36=""),"",SUM(C36:N36))</f>
      </c>
      <c r="P36" s="14"/>
    </row>
    <row r="37" spans="1:16" x14ac:dyDescent="0.25">
      <c r="A37" s="14"/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2">
        <f>IF(AND(A37="",B37=""),"",SUM(C37:N37))</f>
      </c>
      <c r="P37" s="14"/>
    </row>
    <row r="38" spans="1:16" x14ac:dyDescent="0.25">
      <c r="A38" s="14"/>
      <c r="B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2">
        <f>IF(AND(A38="",B38=""),"",SUM(C38:N38))</f>
      </c>
      <c r="P38" s="14"/>
    </row>
    <row r="39" spans="1:16" x14ac:dyDescent="0.25">
      <c r="A39" s="14"/>
      <c r="B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2">
        <f>IF(AND(A39="",B39=""),"",SUM(C39:N39))</f>
      </c>
      <c r="P39" s="14"/>
    </row>
    <row r="40" spans="1:16" x14ac:dyDescent="0.25">
      <c r="A40" s="14"/>
      <c r="B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2">
        <f>IF(AND(A40="",B40=""),"",SUM(C40:N40))</f>
      </c>
      <c r="P40" s="14"/>
    </row>
    <row r="41" spans="1:16" x14ac:dyDescent="0.25">
      <c r="A41" s="14"/>
      <c r="B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2">
        <f>IF(AND(A41="",B41=""),"",SUM(C41:N41))</f>
      </c>
      <c r="P41" s="14"/>
    </row>
    <row r="42" spans="1:16" x14ac:dyDescent="0.25">
      <c r="A42" s="14"/>
      <c r="B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2">
        <f>IF(AND(A42="",B42=""),"",SUM(C42:N42))</f>
      </c>
      <c r="P42" s="14"/>
    </row>
    <row r="43" spans="1:16" x14ac:dyDescent="0.25">
      <c r="A43" s="14"/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2">
        <f>IF(AND(A43="",B43=""),"",SUM(C43:N43))</f>
      </c>
      <c r="P43" s="14"/>
    </row>
    <row r="44" spans="1:16" x14ac:dyDescent="0.25">
      <c r="A44" s="14"/>
      <c r="B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2">
        <f>IF(AND(A44="",B44=""),"",SUM(C44:N44))</f>
      </c>
      <c r="P44" s="14"/>
    </row>
    <row r="45" spans="1:16" x14ac:dyDescent="0.25">
      <c r="A45" s="14"/>
      <c r="B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2">
        <f>IF(AND(A45="",B45=""),"",SUM(C45:N45))</f>
      </c>
      <c r="P45" s="14"/>
    </row>
    <row r="46" spans="1:16" x14ac:dyDescent="0.25">
      <c r="A46" s="14"/>
      <c r="B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2">
        <f>IF(AND(A46="",B46=""),"",SUM(C46:N46))</f>
      </c>
      <c r="P46" s="14"/>
    </row>
    <row r="47" spans="1:16" x14ac:dyDescent="0.25">
      <c r="A47" s="14"/>
      <c r="B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2">
        <f>IF(AND(A47="",B47=""),"",SUM(C47:N47))</f>
      </c>
      <c r="P47" s="14"/>
    </row>
    <row r="48" spans="1:16" x14ac:dyDescent="0.25">
      <c r="A48" s="14"/>
      <c r="B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2">
        <f>IF(AND(A48="",B48=""),"",SUM(C48:N48))</f>
      </c>
      <c r="P48" s="14"/>
    </row>
    <row r="49" spans="1:16" x14ac:dyDescent="0.25">
      <c r="A49" s="14"/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2">
        <f>IF(AND(A49="",B49=""),"",SUM(C49:N49))</f>
      </c>
      <c r="P49" s="14"/>
    </row>
    <row r="50" spans="1:16" x14ac:dyDescent="0.25">
      <c r="A50" s="14"/>
      <c r="B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2">
        <f>IF(AND(A50="",B50=""),"",SUM(C50:N50))</f>
      </c>
      <c r="P50" s="14"/>
    </row>
    <row r="51" spans="1:16" x14ac:dyDescent="0.25">
      <c r="A51" s="14"/>
      <c r="B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2">
        <f>IF(AND(A51="",B51=""),"",SUM(C51:N51))</f>
      </c>
      <c r="P51" s="14"/>
    </row>
    <row r="52" spans="1:16" x14ac:dyDescent="0.25">
      <c r="A52" s="14"/>
      <c r="B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2">
        <f>IF(AND(A52="",B52=""),"",SUM(C52:N52))</f>
      </c>
      <c r="P52" s="14"/>
    </row>
    <row r="53" spans="1:16" x14ac:dyDescent="0.25">
      <c r="A53" s="14"/>
      <c r="B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2">
        <f>IF(AND(A53="",B53=""),"",SUM(C53:N53))</f>
      </c>
      <c r="P53" s="14"/>
    </row>
    <row r="54" spans="1:16" x14ac:dyDescent="0.25">
      <c r="A54" s="14"/>
      <c r="B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2">
        <f>IF(AND(A54="",B54=""),"",SUM(C54:N54))</f>
      </c>
      <c r="P54" s="14"/>
    </row>
    <row r="55" spans="1:16" x14ac:dyDescent="0.25">
      <c r="A55" s="14"/>
      <c r="B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2">
        <f>IF(AND(A55="",B55=""),"",SUM(C55:N55))</f>
      </c>
      <c r="P55" s="14"/>
    </row>
    <row r="56" spans="1:16" x14ac:dyDescent="0.25">
      <c r="A56" s="14"/>
      <c r="B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2">
        <f>IF(AND(A56="",B56=""),"",SUM(C56:N56))</f>
      </c>
      <c r="P56" s="14"/>
    </row>
    <row r="57" spans="1:16" x14ac:dyDescent="0.25">
      <c r="A57" s="14"/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2">
        <f>IF(AND(A57="",B57=""),"",SUM(C57:N57))</f>
      </c>
      <c r="P57" s="14"/>
    </row>
    <row r="58" spans="1:16" x14ac:dyDescent="0.25">
      <c r="A58" s="14"/>
      <c r="B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2">
        <f>IF(AND(A58="",B58=""),"",SUM(C58:N58))</f>
      </c>
      <c r="P58" s="14"/>
    </row>
    <row r="59" spans="1:16" x14ac:dyDescent="0.25">
      <c r="A59" s="14"/>
      <c r="B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2">
        <f>IF(AND(A59="",B59=""),"",SUM(C59:N59))</f>
      </c>
      <c r="P59" s="14"/>
    </row>
    <row r="60" spans="1:16" x14ac:dyDescent="0.25">
      <c r="A60" s="14"/>
      <c r="B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2">
        <f>IF(AND(A60="",B60=""),"",SUM(C60:N60))</f>
      </c>
      <c r="P60" s="14"/>
    </row>
    <row r="61" spans="1:16" x14ac:dyDescent="0.25">
      <c r="A61" s="14"/>
      <c r="B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2">
        <f>IF(AND(A61="",B61=""),"",SUM(C61:N61))</f>
      </c>
      <c r="P61" s="14"/>
    </row>
    <row r="62" spans="1:16" x14ac:dyDescent="0.25">
      <c r="A62" s="14"/>
      <c r="B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2">
        <f>IF(AND(A62="",B62=""),"",SUM(C62:N62))</f>
      </c>
      <c r="P62" s="14"/>
    </row>
    <row r="63" spans="1:16" x14ac:dyDescent="0.25">
      <c r="A63" s="14"/>
      <c r="B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2">
        <f>IF(AND(A63="",B63=""),"",SUM(C63:N63))</f>
      </c>
      <c r="P63" s="14"/>
    </row>
    <row r="64" spans="1:16" x14ac:dyDescent="0.25">
      <c r="A64" s="14"/>
      <c r="B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2">
        <f>IF(AND(A64="",B64=""),"",SUM(C64:N64))</f>
      </c>
      <c r="P64" s="14"/>
    </row>
    <row r="65" spans="1:16" x14ac:dyDescent="0.25">
      <c r="A65" s="14"/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2">
        <f>IF(AND(A65="",B65=""),"",SUM(C65:N65))</f>
      </c>
      <c r="P65" s="14"/>
    </row>
    <row r="66" spans="1:16" x14ac:dyDescent="0.25">
      <c r="A66" s="14"/>
      <c r="B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2">
        <f>IF(AND(A66="",B66=""),"",SUM(C66:N66))</f>
      </c>
      <c r="P66" s="14"/>
    </row>
    <row r="67" spans="1:16" x14ac:dyDescent="0.25">
      <c r="A67" s="14"/>
      <c r="B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2">
        <f>IF(AND(A67="",B67=""),"",SUM(C67:N67))</f>
      </c>
      <c r="P67" s="14"/>
    </row>
    <row r="68" spans="1:16" x14ac:dyDescent="0.25">
      <c r="A68" s="14"/>
      <c r="B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2">
        <f>IF(AND(A68="",B68=""),"",SUM(C68:N68))</f>
      </c>
      <c r="P68" s="14"/>
    </row>
    <row r="69" spans="1:16" x14ac:dyDescent="0.25">
      <c r="A69" s="14"/>
      <c r="B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2">
        <f>IF(AND(A69="",B69=""),"",SUM(C69:N69))</f>
      </c>
      <c r="P69" s="14"/>
    </row>
    <row r="70" spans="1:16" x14ac:dyDescent="0.25">
      <c r="A70" s="14"/>
      <c r="B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2">
        <f>IF(AND(A70="",B70=""),"",SUM(C70:N70))</f>
      </c>
      <c r="P70" s="14"/>
    </row>
    <row r="71" spans="1:16" x14ac:dyDescent="0.25">
      <c r="A71" s="14"/>
      <c r="B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2">
        <f>IF(AND(A71="",B71=""),"",SUM(C71:N71))</f>
      </c>
      <c r="P71" s="14"/>
    </row>
    <row r="72" spans="1:16" x14ac:dyDescent="0.25">
      <c r="A72" s="14"/>
      <c r="B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2">
        <f>IF(AND(A72="",B72=""),"",SUM(C72:N72))</f>
      </c>
      <c r="P72" s="14"/>
    </row>
    <row r="73" spans="1:16" x14ac:dyDescent="0.25">
      <c r="A73" s="14"/>
      <c r="B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2">
        <f>IF(AND(A73="",B73=""),"",SUM(C73:N73))</f>
      </c>
      <c r="P73" s="14"/>
    </row>
    <row r="74" spans="1:16" x14ac:dyDescent="0.25">
      <c r="A74" s="14"/>
      <c r="B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2">
        <f>IF(AND(A74="",B74=""),"",SUM(C74:N74))</f>
      </c>
      <c r="P74" s="14"/>
    </row>
    <row r="75" spans="1:16" x14ac:dyDescent="0.25">
      <c r="A75" s="14"/>
      <c r="B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2">
        <f>IF(AND(A75="",B75=""),"",SUM(C75:N75))</f>
      </c>
      <c r="P75" s="14"/>
    </row>
    <row r="76" spans="1:16" x14ac:dyDescent="0.25">
      <c r="A76" s="14"/>
      <c r="B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2">
        <f>IF(AND(A76="",B76=""),"",SUM(C76:N76))</f>
      </c>
      <c r="P76" s="14"/>
    </row>
    <row r="77" spans="1:16" x14ac:dyDescent="0.25">
      <c r="A77" s="14"/>
      <c r="B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2">
        <f>IF(AND(A77="",B77=""),"",SUM(C77:N77))</f>
      </c>
      <c r="P77" s="14"/>
    </row>
    <row r="78" spans="1:16" x14ac:dyDescent="0.25">
      <c r="A78" s="14"/>
      <c r="B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2">
        <f>IF(AND(A78="",B78=""),"",SUM(C78:N78))</f>
      </c>
      <c r="P78" s="14"/>
    </row>
    <row r="79" spans="1:16" x14ac:dyDescent="0.25">
      <c r="A79" s="14"/>
      <c r="B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2">
        <f>IF(AND(A79="",B79=""),"",SUM(C79:N79))</f>
      </c>
      <c r="P79" s="14"/>
    </row>
    <row r="80" spans="1:16" x14ac:dyDescent="0.25">
      <c r="A80" s="14"/>
      <c r="B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2">
        <f>IF(AND(A80="",B80=""),"",SUM(C80:N80))</f>
      </c>
      <c r="P80" s="14"/>
    </row>
    <row r="81" spans="1:16" x14ac:dyDescent="0.25">
      <c r="A81" s="14"/>
      <c r="B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2">
        <f>IF(AND(A81="",B81=""),"",SUM(C81:N81))</f>
      </c>
      <c r="P81" s="14"/>
    </row>
    <row r="82" spans="1:16" x14ac:dyDescent="0.25">
      <c r="A82" s="14"/>
      <c r="B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2">
        <f>IF(AND(A82="",B82=""),"",SUM(C82:N82))</f>
      </c>
      <c r="P82" s="14"/>
    </row>
    <row r="83" spans="1:16" x14ac:dyDescent="0.25">
      <c r="A83" s="14"/>
      <c r="B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2">
        <f>IF(AND(A83="",B83=""),"",SUM(C83:N83))</f>
      </c>
      <c r="P83" s="14"/>
    </row>
    <row r="84" spans="1:16" x14ac:dyDescent="0.25">
      <c r="A84" s="14"/>
      <c r="B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2">
        <f>IF(AND(A84="",B84=""),"",SUM(C84:N84))</f>
      </c>
      <c r="P84" s="14"/>
    </row>
    <row r="85" spans="1:16" x14ac:dyDescent="0.25">
      <c r="A85" s="14"/>
      <c r="B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2">
        <f>IF(AND(A85="",B85=""),"",SUM(C85:N85))</f>
      </c>
      <c r="P85" s="14"/>
    </row>
    <row r="86" spans="1:16" x14ac:dyDescent="0.25">
      <c r="A86" s="14"/>
      <c r="B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2">
        <f>IF(AND(A86="",B86=""),"",SUM(C86:N86))</f>
      </c>
      <c r="P86" s="14"/>
    </row>
    <row r="87" spans="1:16" x14ac:dyDescent="0.25">
      <c r="A87" s="14"/>
      <c r="B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2">
        <f>IF(AND(A87="",B87=""),"",SUM(C87:N87))</f>
      </c>
      <c r="P87" s="14"/>
    </row>
    <row r="88" spans="1:16" x14ac:dyDescent="0.25">
      <c r="A88" s="14"/>
      <c r="B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2">
        <f>IF(AND(A88="",B88=""),"",SUM(C88:N88))</f>
      </c>
      <c r="P88" s="14"/>
    </row>
    <row r="89" spans="1:16" x14ac:dyDescent="0.25">
      <c r="A89" s="14"/>
      <c r="B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2">
        <f>IF(AND(A89="",B89=""),"",SUM(C89:N89))</f>
      </c>
      <c r="P89" s="14"/>
    </row>
    <row r="90" spans="1:16" x14ac:dyDescent="0.25">
      <c r="A90" s="14"/>
      <c r="B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2">
        <f>IF(AND(A90="",B90=""),"",SUM(C90:N90))</f>
      </c>
      <c r="P90" s="14"/>
    </row>
    <row r="91" spans="1:16" x14ac:dyDescent="0.25">
      <c r="A91" s="14"/>
      <c r="B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2">
        <f>IF(AND(A91="",B91=""),"",SUM(C91:N91))</f>
      </c>
      <c r="P91" s="14"/>
    </row>
    <row r="92" spans="1:16" x14ac:dyDescent="0.25">
      <c r="A92" s="14"/>
      <c r="B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2">
        <f>IF(AND(A92="",B92=""),"",SUM(C92:N92))</f>
      </c>
      <c r="P92" s="14"/>
    </row>
    <row r="93" spans="1:16" x14ac:dyDescent="0.25">
      <c r="A93" s="14"/>
      <c r="B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2">
        <f>IF(AND(A93="",B93=""),"",SUM(C93:N93))</f>
      </c>
      <c r="P93" s="14"/>
    </row>
    <row r="94" spans="1:16" x14ac:dyDescent="0.25">
      <c r="A94" s="14"/>
      <c r="B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2">
        <f>IF(AND(A94="",B94=""),"",SUM(C94:N94))</f>
      </c>
      <c r="P94" s="14"/>
    </row>
    <row r="95" spans="1:16" x14ac:dyDescent="0.25">
      <c r="A95" s="14"/>
      <c r="B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2">
        <f>IF(AND(A95="",B95=""),"",SUM(C95:N95))</f>
      </c>
      <c r="P95" s="14"/>
    </row>
    <row r="96" spans="1:16" x14ac:dyDescent="0.25">
      <c r="A96" s="14"/>
      <c r="B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2">
        <f>IF(AND(A96="",B96=""),"",SUM(C96:N96))</f>
      </c>
      <c r="P96" s="14"/>
    </row>
    <row r="97" spans="1:16" x14ac:dyDescent="0.25">
      <c r="A97" s="14"/>
      <c r="B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2">
        <f>IF(AND(A97="",B97=""),"",SUM(C97:N97))</f>
      </c>
      <c r="P97" s="14"/>
    </row>
    <row r="98" spans="1:16" x14ac:dyDescent="0.25">
      <c r="A98" s="14"/>
      <c r="B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2">
        <f>IF(AND(A98="",B98=""),"",SUM(C98:N98))</f>
      </c>
      <c r="P98" s="14"/>
    </row>
    <row r="99" spans="1:16" x14ac:dyDescent="0.25">
      <c r="A99" s="14"/>
      <c r="B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2">
        <f>IF(AND(A99="",B99=""),"",SUM(C99:N99))</f>
      </c>
      <c r="P99" s="14"/>
    </row>
    <row r="100" spans="1:16" x14ac:dyDescent="0.25">
      <c r="A100" s="14"/>
      <c r="B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2">
        <f>IF(AND(A100="",B100=""),"",SUM(C100:N100))</f>
      </c>
      <c r="P100" s="14"/>
    </row>
    <row r="101" spans="1:16" x14ac:dyDescent="0.25">
      <c r="A101" s="14"/>
      <c r="B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2">
        <f>IF(AND(A101="",B101=""),"",SUM(C101:N101))</f>
      </c>
      <c r="P101" s="14"/>
    </row>
    <row r="102" spans="1:16" x14ac:dyDescent="0.25">
      <c r="A102" s="14"/>
      <c r="B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2">
        <f>IF(AND(A102="",B102=""),"",SUM(C102:N102))</f>
      </c>
      <c r="P102" s="14"/>
    </row>
    <row r="103" spans="1:16" x14ac:dyDescent="0.25">
      <c r="A103" s="14"/>
      <c r="B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2">
        <f>IF(AND(A103="",B103=""),"",SUM(C103:N103))</f>
      </c>
      <c r="P103" s="14"/>
    </row>
    <row r="104" spans="1:16" x14ac:dyDescent="0.25">
      <c r="A104" s="14"/>
      <c r="B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2">
        <f>IF(AND(A104="",B104=""),"",SUM(C104:N104))</f>
      </c>
      <c r="P104" s="14"/>
    </row>
    <row r="106" spans="2:15" x14ac:dyDescent="0.25">
      <c r="B106" s="16" t="s">
        <v>65</v>
      </c>
      <c r="C106" s="17">
        <f>SUM(C5:C104)</f>
      </c>
      <c r="D106" s="17">
        <f>SUM(D5:D104)</f>
      </c>
      <c r="E106" s="17">
        <f>SUM(E5:E104)</f>
      </c>
      <c r="F106" s="17">
        <f>SUM(F5:F104)</f>
      </c>
      <c r="G106" s="17">
        <f>SUM(G5:G104)</f>
      </c>
      <c r="H106" s="17">
        <f>SUM(H5:H104)</f>
      </c>
      <c r="I106" s="17">
        <f>SUM(I5:I104)</f>
      </c>
      <c r="J106" s="17">
        <f>SUM(J5:J104)</f>
      </c>
      <c r="K106" s="17">
        <f>SUM(K5:K104)</f>
      </c>
      <c r="L106" s="17">
        <f>SUM(L5:L104)</f>
      </c>
      <c r="M106" s="17">
        <f>SUM(M5:M104)</f>
      </c>
      <c r="N106" s="17">
        <f>SUM(N5:N104)</f>
      </c>
      <c r="O106" s="17">
        <f>SUM(O5:O104)</f>
      </c>
    </row>
  </sheetData>
  <mergeCells count="2">
    <mergeCell ref="A1:O1"/>
    <mergeCell ref="A2:O2"/>
  </mergeCells>
  <dataValidations count="13">
    <dataValidation type="list" allowBlank="1" promptTitle="Categoría" showErrorMessage="1" errorStyle="warning" errorTitle="Elige de la lista" error="Elige una opción de la lista desplegable." sqref="A5:A104">
      <formula1>"Alimentación,Insumos y material,Servicios,Personal,Mantenimiento e infraestructura,Otros"</formula1>
    </dataValidation>
    <dataValidation type="decimal" allowBlank="1" promptTitle="Ene" showErrorMessage="1" errorStyle="warning" errorTitle="Número" error="Escribe un número entre 0 y 1000000000000." sqref="C5:C104">
      <formula1>0</formula1>
      <formula2>1000000000000</formula2>
    </dataValidation>
    <dataValidation type="decimal" allowBlank="1" promptTitle="Feb" showErrorMessage="1" errorStyle="warning" errorTitle="Número" error="Escribe un número entre 0 y 1000000000000." sqref="D5:D104">
      <formula1>0</formula1>
      <formula2>1000000000000</formula2>
    </dataValidation>
    <dataValidation type="decimal" allowBlank="1" promptTitle="Mar" showErrorMessage="1" errorStyle="warning" errorTitle="Número" error="Escribe un número entre 0 y 1000000000000." sqref="E5:E104">
      <formula1>0</formula1>
      <formula2>1000000000000</formula2>
    </dataValidation>
    <dataValidation type="decimal" allowBlank="1" promptTitle="Abr" showErrorMessage="1" errorStyle="warning" errorTitle="Número" error="Escribe un número entre 0 y 1000000000000." sqref="F5:F104">
      <formula1>0</formula1>
      <formula2>1000000000000</formula2>
    </dataValidation>
    <dataValidation type="decimal" allowBlank="1" promptTitle="May" showErrorMessage="1" errorStyle="warning" errorTitle="Número" error="Escribe un número entre 0 y 1000000000000." sqref="G5:G104">
      <formula1>0</formula1>
      <formula2>1000000000000</formula2>
    </dataValidation>
    <dataValidation type="decimal" allowBlank="1" promptTitle="Jun" showErrorMessage="1" errorStyle="warning" errorTitle="Número" error="Escribe un número entre 0 y 1000000000000." sqref="H5:H104">
      <formula1>0</formula1>
      <formula2>1000000000000</formula2>
    </dataValidation>
    <dataValidation type="decimal" allowBlank="1" promptTitle="Jul" showErrorMessage="1" errorStyle="warning" errorTitle="Número" error="Escribe un número entre 0 y 1000000000000." sqref="I5:I104">
      <formula1>0</formula1>
      <formula2>1000000000000</formula2>
    </dataValidation>
    <dataValidation type="decimal" allowBlank="1" promptTitle="Ago" showErrorMessage="1" errorStyle="warning" errorTitle="Número" error="Escribe un número entre 0 y 1000000000000." sqref="J5:J104">
      <formula1>0</formula1>
      <formula2>1000000000000</formula2>
    </dataValidation>
    <dataValidation type="decimal" allowBlank="1" promptTitle="Sep" showErrorMessage="1" errorStyle="warning" errorTitle="Número" error="Escribe un número entre 0 y 1000000000000." sqref="K5:K104">
      <formula1>0</formula1>
      <formula2>1000000000000</formula2>
    </dataValidation>
    <dataValidation type="decimal" allowBlank="1" promptTitle="Oct" showErrorMessage="1" errorStyle="warning" errorTitle="Número" error="Escribe un número entre 0 y 1000000000000." sqref="L5:L104">
      <formula1>0</formula1>
      <formula2>1000000000000</formula2>
    </dataValidation>
    <dataValidation type="decimal" allowBlank="1" promptTitle="Nov" showErrorMessage="1" errorStyle="warning" errorTitle="Número" error="Escribe un número entre 0 y 1000000000000." sqref="M5:M104">
      <formula1>0</formula1>
      <formula2>1000000000000</formula2>
    </dataValidation>
    <dataValidation type="decimal" allowBlank="1" promptTitle="Dic" showErrorMessage="1" errorStyle="warning" errorTitle="Número" error="Escribe un número entre 0 y 1000000000000." sqref="N5:N104">
      <formula1>0</formula1>
      <formula2>1000000000000</formula2>
    </dataValidation>
  </dataValidations>
  <pageSetup paperSize="1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A317"/>
    <pageSetUpPr fitToPage="1"/>
  </sheetPr>
  <dimension ref="A1:L28"/>
  <sheetViews>
    <sheetView workbookViewId="0" showGridLines="0"/>
  </sheetViews>
  <sheetFormatPr defaultRowHeight="15" outlineLevelRow="0" outlineLevelCol="0" x14ac:dyDescent="55"/>
  <cols>
    <col min="1" max="1" width="32" customWidth="1"/>
    <col min="2" max="4" width="15" customWidth="1"/>
    <col min="5" max="5" width="14" customWidth="1"/>
    <col min="6" max="6" width="3" customWidth="1"/>
  </cols>
  <sheetData>
    <row r="1" ht="30" customHeight="1" spans="1:12" x14ac:dyDescent="0.25">
      <c r="A1" s="6" t="s">
        <v>68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ht="22" customHeight="1" spans="1:12" x14ac:dyDescent="0.25">
      <c r="A2" s="7" t="s">
        <v>69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4" x14ac:dyDescent="0.25">
      <c r="A3" s="18" t="s">
        <v>70</v>
      </c>
      <c r="B3" s="19">
        <v>2027</v>
      </c>
      <c r="C3" s="18" t="s">
        <v>71</v>
      </c>
      <c r="D3" s="20" t="s">
        <v>72</v>
      </c>
    </row>
    <row r="5" spans="1:5" x14ac:dyDescent="0.25">
      <c r="A5" s="21" t="s">
        <v>37</v>
      </c>
      <c r="B5" s="21" t="s">
        <v>73</v>
      </c>
      <c r="C5" s="21" t="s">
        <v>66</v>
      </c>
      <c r="D5" s="21" t="s">
        <v>74</v>
      </c>
      <c r="E5" s="21" t="s">
        <v>75</v>
      </c>
    </row>
    <row r="6" spans="1:5" x14ac:dyDescent="0.25">
      <c r="A6" s="22" t="s">
        <v>54</v>
      </c>
      <c r="B6" s="23">
        <f>SUMIF(Presupuesto!$A$5:$A$104,$A6,Presupuesto!$O$5:$O$104)</f>
      </c>
      <c r="C6" s="23">
        <f>SUMIF(Real!$A$5:$A$104,$A6,Real!$O$5:$O$104)</f>
      </c>
      <c r="D6" s="23">
        <f>B6-C6</f>
      </c>
      <c r="E6" s="13">
        <f>IF(B6=0,"",C6/B6)</f>
      </c>
    </row>
    <row r="7" spans="1:5" x14ac:dyDescent="0.25">
      <c r="A7" s="22" t="s">
        <v>57</v>
      </c>
      <c r="B7" s="23">
        <f>SUMIF(Presupuesto!$A$5:$A$104,$A7,Presupuesto!$O$5:$O$104)</f>
      </c>
      <c r="C7" s="23">
        <f>SUMIF(Real!$A$5:$A$104,$A7,Real!$O$5:$O$104)</f>
      </c>
      <c r="D7" s="23">
        <f>B7-C7</f>
      </c>
      <c r="E7" s="13">
        <f>IF(B7=0,"",C7/B7)</f>
      </c>
    </row>
    <row r="8" spans="1:5" x14ac:dyDescent="0.25">
      <c r="A8" s="22" t="s">
        <v>59</v>
      </c>
      <c r="B8" s="23">
        <f>SUMIF(Presupuesto!$A$5:$A$104,$A8,Presupuesto!$O$5:$O$104)</f>
      </c>
      <c r="C8" s="23">
        <f>SUMIF(Real!$A$5:$A$104,$A8,Real!$O$5:$O$104)</f>
      </c>
      <c r="D8" s="23">
        <f>B8-C8</f>
      </c>
      <c r="E8" s="13">
        <f>IF(B8=0,"",C8/B8)</f>
      </c>
    </row>
    <row r="9" spans="1:5" x14ac:dyDescent="0.25">
      <c r="A9" s="22" t="s">
        <v>61</v>
      </c>
      <c r="B9" s="23">
        <f>SUMIF(Presupuesto!$A$5:$A$104,$A9,Presupuesto!$O$5:$O$104)</f>
      </c>
      <c r="C9" s="23">
        <f>SUMIF(Real!$A$5:$A$104,$A9,Real!$O$5:$O$104)</f>
      </c>
      <c r="D9" s="23">
        <f>B9-C9</f>
      </c>
      <c r="E9" s="13">
        <f>IF(B9=0,"",C9/B9)</f>
      </c>
    </row>
    <row r="10" spans="1:5" x14ac:dyDescent="0.25">
      <c r="A10" s="22" t="s">
        <v>63</v>
      </c>
      <c r="B10" s="23">
        <f>SUMIF(Presupuesto!$A$5:$A$104,$A10,Presupuesto!$O$5:$O$104)</f>
      </c>
      <c r="C10" s="23">
        <f>SUMIF(Real!$A$5:$A$104,$A10,Real!$O$5:$O$104)</f>
      </c>
      <c r="D10" s="23">
        <f>B10-C10</f>
      </c>
      <c r="E10" s="13">
        <f>IF(B10=0,"",C10/B10)</f>
      </c>
    </row>
    <row r="11" spans="1:5" x14ac:dyDescent="0.25">
      <c r="A11" s="22" t="s">
        <v>76</v>
      </c>
      <c r="B11" s="23">
        <f>SUMIF(Presupuesto!$A$5:$A$104,$A11,Presupuesto!$O$5:$O$104)</f>
      </c>
      <c r="C11" s="23">
        <f>SUMIF(Real!$A$5:$A$104,$A11,Real!$O$5:$O$104)</f>
      </c>
      <c r="D11" s="23">
        <f>B11-C11</f>
      </c>
      <c r="E11" s="13">
        <f>IF(B11=0,"",C11/B11)</f>
      </c>
    </row>
    <row r="12" spans="1:5" x14ac:dyDescent="0.25">
      <c r="A12" s="16" t="s">
        <v>65</v>
      </c>
      <c r="B12" s="24">
        <f>SUM(B6:B11)</f>
      </c>
      <c r="C12" s="24">
        <f>SUM(C6:C11)</f>
      </c>
      <c r="D12" s="24">
        <f>SUM(D6:D11)</f>
      </c>
      <c r="E12" s="13">
        <f>IF(B12=0,"",C12/B12)</f>
      </c>
    </row>
    <row r="15" spans="1:1" x14ac:dyDescent="0.25">
      <c r="A15" s="25" t="s">
        <v>77</v>
      </c>
    </row>
    <row r="16" spans="1:3" x14ac:dyDescent="0.25">
      <c r="A16" s="26" t="s">
        <v>78</v>
      </c>
      <c r="B16" s="26" t="s">
        <v>73</v>
      </c>
      <c r="C16" s="26" t="s">
        <v>66</v>
      </c>
    </row>
    <row r="17" spans="1:3" x14ac:dyDescent="0.25">
      <c r="A17" s="22" t="s">
        <v>39</v>
      </c>
      <c r="B17" s="12">
        <f>SUM(Presupuesto!C$5:C$104)</f>
      </c>
      <c r="C17" s="12">
        <f>SUM(Real!C$5:C$104)</f>
      </c>
    </row>
    <row r="18" spans="1:3" x14ac:dyDescent="0.25">
      <c r="A18" s="22" t="s">
        <v>40</v>
      </c>
      <c r="B18" s="12">
        <f>SUM(Presupuesto!D$5:D$104)</f>
      </c>
      <c r="C18" s="12">
        <f>SUM(Real!D$5:D$104)</f>
      </c>
    </row>
    <row r="19" spans="1:3" x14ac:dyDescent="0.25">
      <c r="A19" s="22" t="s">
        <v>41</v>
      </c>
      <c r="B19" s="12">
        <f>SUM(Presupuesto!E$5:E$104)</f>
      </c>
      <c r="C19" s="12">
        <f>SUM(Real!E$5:E$104)</f>
      </c>
    </row>
    <row r="20" spans="1:3" x14ac:dyDescent="0.25">
      <c r="A20" s="22" t="s">
        <v>42</v>
      </c>
      <c r="B20" s="12">
        <f>SUM(Presupuesto!F$5:F$104)</f>
      </c>
      <c r="C20" s="12">
        <f>SUM(Real!F$5:F$104)</f>
      </c>
    </row>
    <row r="21" spans="1:3" x14ac:dyDescent="0.25">
      <c r="A21" s="22" t="s">
        <v>43</v>
      </c>
      <c r="B21" s="12">
        <f>SUM(Presupuesto!G$5:G$104)</f>
      </c>
      <c r="C21" s="12">
        <f>SUM(Real!G$5:G$104)</f>
      </c>
    </row>
    <row r="22" spans="1:3" x14ac:dyDescent="0.25">
      <c r="A22" s="22" t="s">
        <v>44</v>
      </c>
      <c r="B22" s="12">
        <f>SUM(Presupuesto!H$5:H$104)</f>
      </c>
      <c r="C22" s="12">
        <f>SUM(Real!H$5:H$104)</f>
      </c>
    </row>
    <row r="23" spans="1:3" x14ac:dyDescent="0.25">
      <c r="A23" s="22" t="s">
        <v>45</v>
      </c>
      <c r="B23" s="12">
        <f>SUM(Presupuesto!I$5:I$104)</f>
      </c>
      <c r="C23" s="12">
        <f>SUM(Real!I$5:I$104)</f>
      </c>
    </row>
    <row r="24" spans="1:3" x14ac:dyDescent="0.25">
      <c r="A24" s="22" t="s">
        <v>46</v>
      </c>
      <c r="B24" s="12">
        <f>SUM(Presupuesto!J$5:J$104)</f>
      </c>
      <c r="C24" s="12">
        <f>SUM(Real!J$5:J$104)</f>
      </c>
    </row>
    <row r="25" spans="1:3" x14ac:dyDescent="0.25">
      <c r="A25" s="22" t="s">
        <v>47</v>
      </c>
      <c r="B25" s="12">
        <f>SUM(Presupuesto!K$5:K$104)</f>
      </c>
      <c r="C25" s="12">
        <f>SUM(Real!K$5:K$104)</f>
      </c>
    </row>
    <row r="26" spans="1:3" x14ac:dyDescent="0.25">
      <c r="A26" s="22" t="s">
        <v>48</v>
      </c>
      <c r="B26" s="12">
        <f>SUM(Presupuesto!L$5:L$104)</f>
      </c>
      <c r="C26" s="12">
        <f>SUM(Real!L$5:L$104)</f>
      </c>
    </row>
    <row r="27" spans="1:3" x14ac:dyDescent="0.25">
      <c r="A27" s="22" t="s">
        <v>49</v>
      </c>
      <c r="B27" s="12">
        <f>SUM(Presupuesto!M$5:M$104)</f>
      </c>
      <c r="C27" s="12">
        <f>SUM(Real!M$5:M$104)</f>
      </c>
    </row>
    <row r="28" spans="1:3" x14ac:dyDescent="0.25">
      <c r="A28" s="22" t="s">
        <v>50</v>
      </c>
      <c r="B28" s="12">
        <f>SUM(Presupuesto!N$5:N$104)</f>
      </c>
      <c r="C28" s="12">
        <f>SUM(Real!N$5:N$104)</f>
      </c>
    </row>
  </sheetData>
  <sheetProtection sheet="1"/>
  <mergeCells count="2">
    <mergeCell ref="A1:L1"/>
    <mergeCell ref="A2:L2"/>
  </mergeCells>
  <conditionalFormatting sqref="E6:E12">
    <cfRule type="expression" dxfId="0" priority="26">
      <formula>AND(ISNUMBER($E6),$E6&gt;1)</formula>
    </cfRule>
  </conditionalFormatting>
  <pageSetup paperSize="1" orientation="landscape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Instrucciones</vt:lpstr>
      <vt:lpstr>Presupuesto</vt:lpstr>
      <vt:lpstr>Real</vt:lpstr>
      <vt:lpstr>Resumen</vt:lpstr>
    </vt:vector>
  </TitlesOfParts>
  <Company>Zoorigen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Zoorigen</dc:creator>
  <dc:title>Presupuesto anual de una UMA o zoológico</dc:title>
  <dc:subject>Presupuesto anual por categoría con comparación contra el gasto real y gráficas</dc:subject>
  <dc:description/>
  <cp:keywords>Zoorigen; Club VIP; material de apoyo</cp:keywords>
  <cp:category/>
  <cp:lastModifiedBy>Zoorigen</cp:lastModifiedBy>
  <dcterms:created xsi:type="dcterms:W3CDTF">2026-10-22T12:00:00Z</dcterms:created>
  <dcterms:modified xsi:type="dcterms:W3CDTF">2026-10-22T12:00:00Z</dcterms:modified>
</cp:coreProperties>
</file>