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Inventario" state="visible" r:id="rId5"/>
    <sheet sheetId="3" name="Resumen" state="visible" r:id="rId6"/>
  </sheets>
  <calcPr calcId="171027" fullCalcOnLoad="1"/>
</workbook>
</file>

<file path=xl/sharedStrings.xml><?xml version="1.0" encoding="utf-8"?>
<sst xmlns="http://schemas.openxmlformats.org/spreadsheetml/2006/main" count="121" uniqueCount="101">
  <si>
    <t>Inventario de botiquín con alerta de caducidad</t>
  </si>
  <si>
    <t>Zoorigen · Club VIP · Versión 1.0 · 22 de octubre de 2026 · Material original de Zoorigen</t>
  </si>
  <si>
    <t>Para qué sirve</t>
  </si>
  <si>
    <t/>
  </si>
  <si>
    <t>Lleva el inventario de lo que hay en el botiquín de tu unidad (curación, instrumental, material de protección, limpieza y otros) y deja que la hoja te avise qué ya caducó y qué caduca pronto. Es un registro de control interno: no indica qué usar ni cuánto.</t>
  </si>
  <si>
    <t>Qué hay en cada hoja</t>
  </si>
  <si>
    <t>Inventario</t>
  </si>
  <si>
    <t>Una fila por artículo y lote: escribe su cantidad y su fecha de caducidad.</t>
  </si>
  <si>
    <t>Resumen</t>
  </si>
  <si>
    <t>Cuenta cuántos artículos hay por estado, la próxima caducidad y el valor de los días de aviso (los puedes cambiar).</t>
  </si>
  <si>
    <t>Cómo usarlo, paso a paso</t>
  </si>
  <si>
    <t>Paso 1</t>
  </si>
  <si>
    <t>Abre la hoja «Resumen» y revisa los dos números de aviso: por defecto 30 días («Caduca pronto») y 90 días («Revisar pronto»). Cámbialos si tu unidad necesita otros plazos.</t>
  </si>
  <si>
    <t>Paso 2</t>
  </si>
  <si>
    <t>En la hoja «Inventario» borra las filas de EJEMPLO y escribe tus artículos: código, nombre, categoría, cantidad, unidad, lote y fecha de caducidad.</t>
  </si>
  <si>
    <t>Paso 3</t>
  </si>
  <si>
    <t>La columna «Días restantes» y la columna «Estado» se calculan solas. Los colores cambian conforme pasan los días, sin que tengas que hacer nada.</t>
  </si>
  <si>
    <t>Paso 4</t>
  </si>
  <si>
    <t>Cada vez que revises el botiquín, actualiza la cantidad. Si un artículo se agota, la hoja lo marca como «Agotado».</t>
  </si>
  <si>
    <t>Paso 5</t>
  </si>
  <si>
    <t>Revisa la hoja «Resumen» al empezar la semana: ahí ves de un vistazo cuántos artículos están vencidos o por vencer.</t>
  </si>
  <si>
    <t>Colores y celdas</t>
  </si>
  <si>
    <t>Celdas blancas</t>
  </si>
  <si>
    <t>Son para que escribas o elijas de una lista.</t>
  </si>
  <si>
    <t>Celdas grises</t>
  </si>
  <si>
    <t>Se calculan solas con fórmulas: no las borres ni escribas encima.</t>
  </si>
  <si>
    <t>Filas de EJEMPLO</t>
  </si>
  <si>
    <t>Las filas marcadas con la palabra EJEMPLO (fondo dorado claro) solo muestran cómo se llena. Bórralas antes de empezar con tus datos reales: selecciona la fila y usa «Eliminar contenido» para conservar las fórmulas.</t>
  </si>
  <si>
    <t>Ten en cuenta</t>
  </si>
  <si>
    <t>Los colores usan la fecha de hoy de tu computadora: al abrir el archivo se actualizan.</t>
  </si>
  <si>
    <t>Para artículos que sujetas a controles especiales (por ejemplo, medicamentos controlados), consulta la normatividad vigente y los formatos oficiales que te correspondan: este libro no los sustituye.</t>
  </si>
  <si>
    <t>Aviso</t>
  </si>
  <si>
    <t>Material de apoyo de Zoorigen: no sustituye el criterio profesional ni la asesoría legal. Consulta siempre la normatividad vigente.</t>
  </si>
  <si>
    <t>Inventario de botiquín</t>
  </si>
  <si>
    <t>Zoorigen · Club VIP · Material de apoyo (no es un formato oficial). Las filas con la palabra EJEMPLO se borran antes de empezar.</t>
  </si>
  <si>
    <t>Código</t>
  </si>
  <si>
    <t>Artículo</t>
  </si>
  <si>
    <t>Categoría</t>
  </si>
  <si>
    <t>Presentación</t>
  </si>
  <si>
    <t>Cantidad</t>
  </si>
  <si>
    <t>Unidad</t>
  </si>
  <si>
    <t>Lote</t>
  </si>
  <si>
    <t>Fecha de caducidad</t>
  </si>
  <si>
    <t>Días restantes</t>
  </si>
  <si>
    <t>Estado</t>
  </si>
  <si>
    <t>Ubicación</t>
  </si>
  <si>
    <t>Responsable</t>
  </si>
  <si>
    <t>Nota</t>
  </si>
  <si>
    <t>B-001</t>
  </si>
  <si>
    <t>Gasas estériles</t>
  </si>
  <si>
    <t>Curación</t>
  </si>
  <si>
    <t>Paquete</t>
  </si>
  <si>
    <t>paquete</t>
  </si>
  <si>
    <t>L-2026-A</t>
  </si>
  <si>
    <t>Botiquín 1</t>
  </si>
  <si>
    <t>Nombre</t>
  </si>
  <si>
    <t>EJEMPLO</t>
  </si>
  <si>
    <t>B-002</t>
  </si>
  <si>
    <t>Guantes de exploración</t>
  </si>
  <si>
    <t>Material de protección</t>
  </si>
  <si>
    <t>Caja</t>
  </si>
  <si>
    <t>caja</t>
  </si>
  <si>
    <t>L-2026-B</t>
  </si>
  <si>
    <t>B-003</t>
  </si>
  <si>
    <t>Solución para limpieza de heridas</t>
  </si>
  <si>
    <t>Limpieza y desinfección</t>
  </si>
  <si>
    <t>Frasco</t>
  </si>
  <si>
    <t>frasco</t>
  </si>
  <si>
    <t>L-2025-C</t>
  </si>
  <si>
    <t>Botiquín 2</t>
  </si>
  <si>
    <t>B-004</t>
  </si>
  <si>
    <t>Venda elástica</t>
  </si>
  <si>
    <t>Rollo</t>
  </si>
  <si>
    <t>rollo</t>
  </si>
  <si>
    <t>L-2024-D</t>
  </si>
  <si>
    <t>B-005</t>
  </si>
  <si>
    <t>Pinzas de disección</t>
  </si>
  <si>
    <t>Instrumental</t>
  </si>
  <si>
    <t>Pieza</t>
  </si>
  <si>
    <t>pieza</t>
  </si>
  <si>
    <t>Estuche A</t>
  </si>
  <si>
    <t>B-006</t>
  </si>
  <si>
    <t>Cubrebocas</t>
  </si>
  <si>
    <t>L-2026-F</t>
  </si>
  <si>
    <t>Almacén</t>
  </si>
  <si>
    <t>Resumen del botiquín</t>
  </si>
  <si>
    <t>Zoorigen · Club VIP · Versión 1.0 · 22 de octubre de 2026</t>
  </si>
  <si>
    <t>Plazos de aviso (los puedes cambiar)</t>
  </si>
  <si>
    <t>«Caduca pronto» cuando faltan (días) o menos</t>
  </si>
  <si>
    <t>«Revisar pronto» cuando faltan (días) o menos</t>
  </si>
  <si>
    <t>Artículos por estado</t>
  </si>
  <si>
    <t>Artículos</t>
  </si>
  <si>
    <t>Vencido</t>
  </si>
  <si>
    <t>Caduca pronto</t>
  </si>
  <si>
    <t>Revisar pronto</t>
  </si>
  <si>
    <t>Vigente</t>
  </si>
  <si>
    <t>Agotado</t>
  </si>
  <si>
    <t>Sin fecha</t>
  </si>
  <si>
    <t>Total de artículos registrados</t>
  </si>
  <si>
    <t>Próxima fecha de caducidad (de lo que aún no vence)</t>
  </si>
  <si>
    <t>Fecha de 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</si>
</sst>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"/>
    <numFmt numFmtId="165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A70"/>
      <sz val="10"/>
      <name val="Calibri"/>
    </font>
    <font>
      <b/>
      <color rgb="FF1F5F3A"/>
      <sz val="12"/>
      <name val="Calibri"/>
    </font>
    <font>
      <b/>
      <color rgb="FF1D2A22"/>
      <sz val="11"/>
      <name val="Calibri"/>
    </font>
    <font>
      <color rgb="FF1D2A22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i/>
      <color rgb="FF1D2A22"/>
      <sz val="11"/>
      <name val="Calibri"/>
    </font>
    <font>
      <color rgb="FF6B7A70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5F3A"/>
        <bgColor rgb="FF1F5F3A"/>
      </patternFill>
    </fill>
    <fill>
      <patternFill patternType="solid">
        <fgColor rgb="FFFBF1D8"/>
        <bgColor rgb="FFFBF1D8"/>
      </patternFill>
    </fill>
    <fill>
      <patternFill patternType="solid">
        <fgColor rgb="FF2F7A4F"/>
        <bgColor rgb="FF2F7A4F"/>
      </patternFill>
    </fill>
    <fill>
      <patternFill patternType="solid">
        <fgColor rgb="FFF1F3EF"/>
        <bgColor rgb="FFF1F3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A317"/>
      </bottom>
      <diagonal/>
    </border>
    <border>
      <left style="thin">
        <color rgb="FFD8DDD6"/>
      </left>
      <right style="thin">
        <color rgb="FFD8DDD6"/>
      </right>
      <top style="thin">
        <color rgb="FFD8DDD6"/>
      </top>
      <bottom style="thin">
        <color rgb="FFD8DDD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vertical="center"/>
      <protection locked="0"/>
    </xf>
    <xf numFmtId="164" fontId="8" fillId="3" borderId="2" xfId="0" applyNumberFormat="1" applyFont="1" applyFill="1" applyBorder="1" applyAlignment="1" applyProtection="1">
      <alignment vertical="center"/>
      <protection locked="0"/>
    </xf>
    <xf numFmtId="165" fontId="8" fillId="3" borderId="2" xfId="0" applyNumberFormat="1" applyFont="1" applyFill="1" applyBorder="1" applyAlignment="1" applyProtection="1">
      <alignment vertical="center"/>
      <protection locked="0"/>
    </xf>
    <xf numFmtId="1" fontId="9" fillId="5" borderId="2" xfId="0" applyNumberFormat="1" applyFont="1" applyFill="1" applyBorder="1" applyAlignment="1" applyProtection="1">
      <alignment vertical="center"/>
    </xf>
    <xf numFmtId="0" fontId="9" fillId="5" borderId="2" xfId="0" applyFont="1" applyFill="1" applyBorder="1" applyAlignment="1" applyProtection="1">
      <alignment vertical="center"/>
    </xf>
    <xf numFmtId="0" fontId="5" fillId="0" borderId="2" xfId="0" applyFont="1" applyBorder="1" applyAlignment="1" applyProtection="1">
      <alignment vertical="center"/>
      <protection locked="0"/>
    </xf>
    <xf numFmtId="164" fontId="5" fillId="0" borderId="2" xfId="0" applyNumberFormat="1" applyFont="1" applyBorder="1" applyAlignment="1" applyProtection="1">
      <alignment vertical="center"/>
      <protection locked="0"/>
    </xf>
    <xf numFmtId="165" fontId="5" fillId="0" borderId="2" xfId="0" applyNumberFormat="1" applyFont="1" applyBorder="1" applyAlignment="1" applyProtection="1">
      <alignment vertical="center"/>
      <protection locked="0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3" fillId="6" borderId="2" xfId="0" applyNumberFormat="1" applyFont="1" applyFill="1" applyBorder="1" applyAlignment="1" applyProtection="1">
      <alignment horizontal="center"/>
      <protection locked="0"/>
    </xf>
    <xf numFmtId="0" fontId="10" fillId="2" borderId="2" xfId="0" applyFont="1" applyFill="1" applyBorder="1"/>
    <xf numFmtId="165" fontId="9" fillId="5" borderId="2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7">
    <dxf>
      <font>
        <b/>
        <color rgb="FFB42318"/>
      </font>
      <fill>
        <patternFill patternType="solid">
          <fgColor rgb="FFFDE7E4"/>
          <bgColor rgb="FFFDE7E4"/>
        </patternFill>
      </fill>
    </dxf>
    <dxf>
      <font>
        <b/>
        <color rgb="FF8A3F00"/>
      </font>
      <fill>
        <patternFill patternType="solid">
          <fgColor rgb="FFFDE3C8"/>
          <bgColor rgb="FFFDE3C8"/>
        </patternFill>
      </fill>
    </dxf>
    <dxf>
      <font>
        <b/>
        <color rgb="FF7A5200"/>
      </font>
      <fill>
        <patternFill patternType="solid">
          <fgColor rgb="FFFDEFD0"/>
          <bgColor rgb="FFFDEFD0"/>
        </patternFill>
      </fill>
    </dxf>
    <dxf>
      <font>
        <b/>
        <color rgb="FF1F5F3A"/>
      </font>
      <fill>
        <patternFill patternType="solid">
          <fgColor rgb="FFE7F0E9"/>
          <bgColor rgb="FFE7F0E9"/>
        </patternFill>
      </fill>
    </dxf>
    <dxf>
      <font>
        <b/>
        <color rgb="FF6B7A70"/>
      </font>
      <fill>
        <patternFill patternType="solid">
          <fgColor rgb="FFE9ECEF"/>
          <bgColor rgb="FFE9ECEF"/>
        </patternFill>
      </fill>
    </dxf>
    <dxf>
      <font>
        <b/>
        <color rgb="FFB42318"/>
      </font>
      <fill>
        <patternFill patternType="solid">
          <fgColor rgb="FFFDE7E4"/>
          <bgColor rgb="FFFDE7E4"/>
        </patternFill>
      </fill>
    </dxf>
    <dxf>
      <font>
        <b/>
        <color rgb="FF8A3F00"/>
      </font>
      <fill>
        <patternFill patternType="solid">
          <fgColor rgb="FFFDE3C8"/>
          <bgColor rgb="FFFDE3C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MX" sz="1400" b="1"/>
              <a:t>Artículos por estado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Artículos</c:v>
          </c:tx>
          <c:spPr>
            <a:solidFill>
              <a:srgbClr val="1F5F3A"/>
            </a:solidFill>
          </c:spPr>
          <c:invertIfNegative val="0"/>
          <c:cat>
            <c:strRef>
              <c:f>Resumen!$A$10:$A$15</c:f>
            </c:strRef>
          </c:cat>
          <c:val>
            <c:numRef>
              <c:f>Resumen!$B$10:$B$15</c:f>
            </c:numRef>
          </c:val>
        </c:ser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8DDD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Artículos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D8DDD6"/>
      </a:solidFill>
    </a:ln>
  </c:spPr>
  <c:txPr>
    <a:bodyPr/>
    <a:lstStyle/>
    <a:p>
      <a:pPr>
        <a:defRPr sz="1000">
          <a:latin typeface="Calibri"/>
        </a:defRPr>
      </a:pPr>
      <a:endParaRPr lang="es-MX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9</xdr:col>
      <xdr:colOff>0</xdr:colOff>
      <xdr:row>21</xdr:row>
      <xdr:rowOff>0</xdr:rowOff>
    </xdr:to>
    <xdr:graphicFrame macro="">
      <xdr:nvGraphicFramePr>
        <xdr:cNvPr id="2" name="Gráfico 1" descr="Artículos por esta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C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1" ht="3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ht="52" customHeight="1" spans="2:3" x14ac:dyDescent="0.25">
      <c r="B5" s="4" t="s">
        <v>3</v>
      </c>
      <c r="C5" s="5" t="s">
        <v>4</v>
      </c>
    </row>
    <row r="7" spans="2:3" x14ac:dyDescent="0.25">
      <c r="B7" s="3" t="s">
        <v>5</v>
      </c>
      <c r="C7" s="3"/>
    </row>
    <row r="8" ht="20" customHeight="1" spans="2:3" x14ac:dyDescent="0.25">
      <c r="B8" s="4" t="s">
        <v>6</v>
      </c>
      <c r="C8" s="5" t="s">
        <v>7</v>
      </c>
    </row>
    <row r="9" ht="36" customHeight="1" spans="2:3" x14ac:dyDescent="0.25">
      <c r="B9" s="4" t="s">
        <v>8</v>
      </c>
      <c r="C9" s="5" t="s">
        <v>9</v>
      </c>
    </row>
    <row r="11" spans="2:3" x14ac:dyDescent="0.25">
      <c r="B11" s="3" t="s">
        <v>10</v>
      </c>
      <c r="C11" s="3"/>
    </row>
    <row r="12" ht="36" customHeight="1" spans="2:3" x14ac:dyDescent="0.25">
      <c r="B12" s="4" t="s">
        <v>11</v>
      </c>
      <c r="C12" s="5" t="s">
        <v>12</v>
      </c>
    </row>
    <row r="13" ht="36" customHeight="1" spans="2:3" x14ac:dyDescent="0.25">
      <c r="B13" s="4" t="s">
        <v>13</v>
      </c>
      <c r="C13" s="5" t="s">
        <v>14</v>
      </c>
    </row>
    <row r="14" ht="36" customHeight="1" spans="2:3" x14ac:dyDescent="0.25">
      <c r="B14" s="4" t="s">
        <v>15</v>
      </c>
      <c r="C14" s="5" t="s">
        <v>16</v>
      </c>
    </row>
    <row r="15" ht="36" customHeight="1" spans="2:3" x14ac:dyDescent="0.25">
      <c r="B15" s="4" t="s">
        <v>17</v>
      </c>
      <c r="C15" s="5" t="s">
        <v>18</v>
      </c>
    </row>
    <row r="16" ht="36" customHeight="1" spans="2:3" x14ac:dyDescent="0.25">
      <c r="B16" s="4" t="s">
        <v>19</v>
      </c>
      <c r="C16" s="5" t="s">
        <v>20</v>
      </c>
    </row>
    <row r="18" spans="2:3" x14ac:dyDescent="0.25">
      <c r="B18" s="3" t="s">
        <v>21</v>
      </c>
      <c r="C18" s="3"/>
    </row>
    <row r="19" ht="20" customHeight="1" spans="2:3" x14ac:dyDescent="0.25">
      <c r="B19" s="4" t="s">
        <v>22</v>
      </c>
      <c r="C19" s="5" t="s">
        <v>23</v>
      </c>
    </row>
    <row r="20" ht="20" customHeight="1" spans="2:3" x14ac:dyDescent="0.25">
      <c r="B20" s="4" t="s">
        <v>24</v>
      </c>
      <c r="C20" s="5" t="s">
        <v>25</v>
      </c>
    </row>
    <row r="21" ht="52" customHeight="1" spans="2:3" x14ac:dyDescent="0.25">
      <c r="B21" s="4" t="s">
        <v>26</v>
      </c>
      <c r="C21" s="5" t="s">
        <v>27</v>
      </c>
    </row>
    <row r="23" spans="2:3" x14ac:dyDescent="0.25">
      <c r="B23" s="3" t="s">
        <v>28</v>
      </c>
      <c r="C23" s="3"/>
    </row>
    <row r="24" ht="20" customHeight="1" spans="2:3" x14ac:dyDescent="0.25">
      <c r="B24" s="4" t="s">
        <v>3</v>
      </c>
      <c r="C24" s="5" t="s">
        <v>29</v>
      </c>
    </row>
    <row r="25" ht="52" customHeight="1" spans="2:3" x14ac:dyDescent="0.25">
      <c r="B25" s="4" t="s">
        <v>3</v>
      </c>
      <c r="C25" s="5" t="s">
        <v>30</v>
      </c>
    </row>
    <row r="27" spans="2:3" x14ac:dyDescent="0.25">
      <c r="B27" s="3" t="s">
        <v>31</v>
      </c>
      <c r="C27" s="3"/>
    </row>
    <row r="28" ht="36" customHeight="1" spans="2:3" x14ac:dyDescent="0.25">
      <c r="B28" s="4" t="s">
        <v>3</v>
      </c>
      <c r="C28" s="5" t="s">
        <v>32</v>
      </c>
    </row>
  </sheetData>
  <sheetProtection sheet="1"/>
  <mergeCells count="8">
    <mergeCell ref="A1:C1"/>
    <mergeCell ref="A2:C2"/>
    <mergeCell ref="B4:C4"/>
    <mergeCell ref="B7:C7"/>
    <mergeCell ref="B11:C11"/>
    <mergeCell ref="B18:C18"/>
    <mergeCell ref="B23:C23"/>
    <mergeCell ref="B27:C27"/>
  </mergeCells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M204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24" customWidth="1"/>
    <col min="4" max="4" width="16" customWidth="1"/>
    <col min="5" max="5" width="10" customWidth="1"/>
    <col min="6" max="6" width="11" customWidth="1"/>
    <col min="7" max="7" width="14" customWidth="1"/>
    <col min="8" max="8" width="15" customWidth="1"/>
    <col min="9" max="9" width="11" customWidth="1"/>
    <col min="10" max="10" width="19" customWidth="1"/>
    <col min="11" max="12" width="18" customWidth="1"/>
    <col min="13" max="13" width="11" customWidth="1"/>
  </cols>
  <sheetData>
    <row r="1" ht="30" customHeight="1" spans="1:13" x14ac:dyDescent="0.25">
      <c r="A1" s="6" t="s">
        <v>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22" customHeight="1" spans="1:13" x14ac:dyDescent="0.25">
      <c r="A2" s="7" t="s">
        <v>34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ht="34" customHeight="1" spans="1:13" x14ac:dyDescent="0.25">
      <c r="A4" s="8" t="s">
        <v>35</v>
      </c>
      <c r="B4" s="8" t="s">
        <v>36</v>
      </c>
      <c r="C4" s="8" t="s">
        <v>37</v>
      </c>
      <c r="D4" s="8" t="s">
        <v>38</v>
      </c>
      <c r="E4" s="8" t="s">
        <v>39</v>
      </c>
      <c r="F4" s="8" t="s">
        <v>40</v>
      </c>
      <c r="G4" s="8" t="s">
        <v>41</v>
      </c>
      <c r="H4" s="8" t="s">
        <v>42</v>
      </c>
      <c r="I4" s="9" t="s">
        <v>43</v>
      </c>
      <c r="J4" s="9" t="s">
        <v>44</v>
      </c>
      <c r="K4" s="8" t="s">
        <v>45</v>
      </c>
      <c r="L4" s="8" t="s">
        <v>46</v>
      </c>
      <c r="M4" s="8" t="s">
        <v>47</v>
      </c>
    </row>
    <row r="5" spans="1:13" x14ac:dyDescent="0.25">
      <c r="A5" s="10" t="s">
        <v>48</v>
      </c>
      <c r="B5" s="10" t="s">
        <v>49</v>
      </c>
      <c r="C5" s="10" t="s">
        <v>50</v>
      </c>
      <c r="D5" s="10" t="s">
        <v>51</v>
      </c>
      <c r="E5" s="11">
        <v>12</v>
      </c>
      <c r="F5" s="10" t="s">
        <v>52</v>
      </c>
      <c r="G5" s="10" t="s">
        <v>53</v>
      </c>
      <c r="H5" s="12">
        <v>46737</v>
      </c>
      <c r="I5" s="13">
        <f>IF(H5="","",H5-TODAY())</f>
      </c>
      <c r="J5" s="14">
        <f>IF(AND(A5="",B5=""),"",IF(AND(E5&lt;&gt;"",E5&lt;=0),"Agotado",IF(H5="","Sin fecha",IF(I5&lt;0,"Vencido",IF(I5&lt;=Resumen!$C$5,"Caduca pronto",IF(I5&lt;=Resumen!$C$6,"Revisar pronto","Vigente"))))))</f>
      </c>
      <c r="K5" s="10" t="s">
        <v>54</v>
      </c>
      <c r="L5" s="10" t="s">
        <v>55</v>
      </c>
      <c r="M5" s="10" t="s">
        <v>56</v>
      </c>
    </row>
    <row r="6" spans="1:13" x14ac:dyDescent="0.25">
      <c r="A6" s="10" t="s">
        <v>57</v>
      </c>
      <c r="B6" s="10" t="s">
        <v>58</v>
      </c>
      <c r="C6" s="10" t="s">
        <v>59</v>
      </c>
      <c r="D6" s="10" t="s">
        <v>60</v>
      </c>
      <c r="E6" s="11">
        <v>3</v>
      </c>
      <c r="F6" s="10" t="s">
        <v>61</v>
      </c>
      <c r="G6" s="10" t="s">
        <v>62</v>
      </c>
      <c r="H6" s="12">
        <v>46392</v>
      </c>
      <c r="I6" s="13">
        <f>IF(H6="","",H6-TODAY())</f>
      </c>
      <c r="J6" s="14">
        <f>IF(AND(A6="",B6=""),"",IF(AND(E6&lt;&gt;"",E6&lt;=0),"Agotado",IF(H6="","Sin fecha",IF(I6&lt;0,"Vencido",IF(I6&lt;=Resumen!$C$5,"Caduca pronto",IF(I6&lt;=Resumen!$C$6,"Revisar pronto","Vigente"))))))</f>
      </c>
      <c r="K6" s="10" t="s">
        <v>54</v>
      </c>
      <c r="L6" s="10" t="s">
        <v>55</v>
      </c>
      <c r="M6" s="10" t="s">
        <v>56</v>
      </c>
    </row>
    <row r="7" spans="1:13" x14ac:dyDescent="0.25">
      <c r="A7" s="10" t="s">
        <v>63</v>
      </c>
      <c r="B7" s="10" t="s">
        <v>64</v>
      </c>
      <c r="C7" s="10" t="s">
        <v>65</v>
      </c>
      <c r="D7" s="10" t="s">
        <v>66</v>
      </c>
      <c r="E7" s="11">
        <v>2</v>
      </c>
      <c r="F7" s="10" t="s">
        <v>67</v>
      </c>
      <c r="G7" s="10" t="s">
        <v>68</v>
      </c>
      <c r="H7" s="12">
        <v>46335</v>
      </c>
      <c r="I7" s="13">
        <f>IF(H7="","",H7-TODAY())</f>
      </c>
      <c r="J7" s="14">
        <f>IF(AND(A7="",B7=""),"",IF(AND(E7&lt;&gt;"",E7&lt;=0),"Agotado",IF(H7="","Sin fecha",IF(I7&lt;0,"Vencido",IF(I7&lt;=Resumen!$C$5,"Caduca pronto",IF(I7&lt;=Resumen!$C$6,"Revisar pronto","Vigente"))))))</f>
      </c>
      <c r="K7" s="10" t="s">
        <v>69</v>
      </c>
      <c r="L7" s="10" t="s">
        <v>55</v>
      </c>
      <c r="M7" s="10" t="s">
        <v>56</v>
      </c>
    </row>
    <row r="8" spans="1:13" x14ac:dyDescent="0.25">
      <c r="A8" s="10" t="s">
        <v>70</v>
      </c>
      <c r="B8" s="10" t="s">
        <v>71</v>
      </c>
      <c r="C8" s="10" t="s">
        <v>50</v>
      </c>
      <c r="D8" s="10" t="s">
        <v>72</v>
      </c>
      <c r="E8" s="11">
        <v>6</v>
      </c>
      <c r="F8" s="10" t="s">
        <v>73</v>
      </c>
      <c r="G8" s="10" t="s">
        <v>74</v>
      </c>
      <c r="H8" s="12">
        <v>46305</v>
      </c>
      <c r="I8" s="13">
        <f>IF(H8="","",H8-TODAY())</f>
      </c>
      <c r="J8" s="14">
        <f>IF(AND(A8="",B8=""),"",IF(AND(E8&lt;&gt;"",E8&lt;=0),"Agotado",IF(H8="","Sin fecha",IF(I8&lt;0,"Vencido",IF(I8&lt;=Resumen!$C$5,"Caduca pronto",IF(I8&lt;=Resumen!$C$6,"Revisar pronto","Vigente"))))))</f>
      </c>
      <c r="K8" s="10" t="s">
        <v>69</v>
      </c>
      <c r="L8" s="10" t="s">
        <v>55</v>
      </c>
      <c r="M8" s="10" t="s">
        <v>56</v>
      </c>
    </row>
    <row r="9" spans="1:13" x14ac:dyDescent="0.25">
      <c r="A9" s="10" t="s">
        <v>75</v>
      </c>
      <c r="B9" s="10" t="s">
        <v>76</v>
      </c>
      <c r="C9" s="10" t="s">
        <v>77</v>
      </c>
      <c r="D9" s="10" t="s">
        <v>78</v>
      </c>
      <c r="E9" s="11">
        <v>4</v>
      </c>
      <c r="F9" s="10" t="s">
        <v>79</v>
      </c>
      <c r="G9" s="10"/>
      <c r="H9" s="12"/>
      <c r="I9" s="13">
        <f>IF(H9="","",H9-TODAY())</f>
      </c>
      <c r="J9" s="14">
        <f>IF(AND(A9="",B9=""),"",IF(AND(E9&lt;&gt;"",E9&lt;=0),"Agotado",IF(H9="","Sin fecha",IF(I9&lt;0,"Vencido",IF(I9&lt;=Resumen!$C$5,"Caduca pronto",IF(I9&lt;=Resumen!$C$6,"Revisar pronto","Vigente"))))))</f>
      </c>
      <c r="K9" s="10" t="s">
        <v>80</v>
      </c>
      <c r="L9" s="10" t="s">
        <v>55</v>
      </c>
      <c r="M9" s="10" t="s">
        <v>56</v>
      </c>
    </row>
    <row r="10" spans="1:13" x14ac:dyDescent="0.25">
      <c r="A10" s="10" t="s">
        <v>81</v>
      </c>
      <c r="B10" s="10" t="s">
        <v>82</v>
      </c>
      <c r="C10" s="10" t="s">
        <v>59</v>
      </c>
      <c r="D10" s="10" t="s">
        <v>60</v>
      </c>
      <c r="E10" s="11">
        <v>0</v>
      </c>
      <c r="F10" s="10" t="s">
        <v>61</v>
      </c>
      <c r="G10" s="10" t="s">
        <v>83</v>
      </c>
      <c r="H10" s="12">
        <v>46617</v>
      </c>
      <c r="I10" s="13">
        <f>IF(H10="","",H10-TODAY())</f>
      </c>
      <c r="J10" s="14">
        <f>IF(AND(A10="",B10=""),"",IF(AND(E10&lt;&gt;"",E10&lt;=0),"Agotado",IF(H10="","Sin fecha",IF(I10&lt;0,"Vencido",IF(I10&lt;=Resumen!$C$5,"Caduca pronto",IF(I10&lt;=Resumen!$C$6,"Revisar pronto","Vigente"))))))</f>
      </c>
      <c r="K10" s="10" t="s">
        <v>84</v>
      </c>
      <c r="L10" s="10" t="s">
        <v>55</v>
      </c>
      <c r="M10" s="10" t="s">
        <v>56</v>
      </c>
    </row>
    <row r="11" spans="1:13" x14ac:dyDescent="0.25">
      <c r="A11" s="15"/>
      <c r="B11" s="15"/>
      <c r="C11" s="15"/>
      <c r="D11" s="15"/>
      <c r="E11" s="16"/>
      <c r="F11" s="15"/>
      <c r="G11" s="15"/>
      <c r="H11" s="17"/>
      <c r="I11" s="13">
        <f>IF(H11="","",H11-TODAY())</f>
      </c>
      <c r="J11" s="14">
        <f>IF(AND(A11="",B11=""),"",IF(AND(E11&lt;&gt;"",E11&lt;=0),"Agotado",IF(H11="","Sin fecha",IF(I11&lt;0,"Vencido",IF(I11&lt;=Resumen!$C$5,"Caduca pronto",IF(I11&lt;=Resumen!$C$6,"Revisar pronto","Vigente"))))))</f>
      </c>
      <c r="K11" s="15"/>
      <c r="L11" s="15"/>
      <c r="M11" s="15"/>
    </row>
    <row r="12" spans="1:13" x14ac:dyDescent="0.25">
      <c r="A12" s="15"/>
      <c r="B12" s="15"/>
      <c r="C12" s="15"/>
      <c r="D12" s="15"/>
      <c r="E12" s="16"/>
      <c r="F12" s="15"/>
      <c r="G12" s="15"/>
      <c r="H12" s="17"/>
      <c r="I12" s="13">
        <f>IF(H12="","",H12-TODAY())</f>
      </c>
      <c r="J12" s="14">
        <f>IF(AND(A12="",B12=""),"",IF(AND(E12&lt;&gt;"",E12&lt;=0),"Agotado",IF(H12="","Sin fecha",IF(I12&lt;0,"Vencido",IF(I12&lt;=Resumen!$C$5,"Caduca pronto",IF(I12&lt;=Resumen!$C$6,"Revisar pronto","Vigente"))))))</f>
      </c>
      <c r="K12" s="15"/>
      <c r="L12" s="15"/>
      <c r="M12" s="15"/>
    </row>
    <row r="13" spans="1:13" x14ac:dyDescent="0.25">
      <c r="A13" s="15"/>
      <c r="B13" s="15"/>
      <c r="C13" s="15"/>
      <c r="D13" s="15"/>
      <c r="E13" s="16"/>
      <c r="F13" s="15"/>
      <c r="G13" s="15"/>
      <c r="H13" s="17"/>
      <c r="I13" s="13">
        <f>IF(H13="","",H13-TODAY())</f>
      </c>
      <c r="J13" s="14">
        <f>IF(AND(A13="",B13=""),"",IF(AND(E13&lt;&gt;"",E13&lt;=0),"Agotado",IF(H13="","Sin fecha",IF(I13&lt;0,"Vencido",IF(I13&lt;=Resumen!$C$5,"Caduca pronto",IF(I13&lt;=Resumen!$C$6,"Revisar pronto","Vigente"))))))</f>
      </c>
      <c r="K13" s="15"/>
      <c r="L13" s="15"/>
      <c r="M13" s="15"/>
    </row>
    <row r="14" spans="1:13" x14ac:dyDescent="0.25">
      <c r="A14" s="15"/>
      <c r="B14" s="15"/>
      <c r="C14" s="15"/>
      <c r="D14" s="15"/>
      <c r="E14" s="16"/>
      <c r="F14" s="15"/>
      <c r="G14" s="15"/>
      <c r="H14" s="17"/>
      <c r="I14" s="13">
        <f>IF(H14="","",H14-TODAY())</f>
      </c>
      <c r="J14" s="14">
        <f>IF(AND(A14="",B14=""),"",IF(AND(E14&lt;&gt;"",E14&lt;=0),"Agotado",IF(H14="","Sin fecha",IF(I14&lt;0,"Vencido",IF(I14&lt;=Resumen!$C$5,"Caduca pronto",IF(I14&lt;=Resumen!$C$6,"Revisar pronto","Vigente"))))))</f>
      </c>
      <c r="K14" s="15"/>
      <c r="L14" s="15"/>
      <c r="M14" s="15"/>
    </row>
    <row r="15" spans="1:13" x14ac:dyDescent="0.25">
      <c r="A15" s="15"/>
      <c r="B15" s="15"/>
      <c r="C15" s="15"/>
      <c r="D15" s="15"/>
      <c r="E15" s="16"/>
      <c r="F15" s="15"/>
      <c r="G15" s="15"/>
      <c r="H15" s="17"/>
      <c r="I15" s="13">
        <f>IF(H15="","",H15-TODAY())</f>
      </c>
      <c r="J15" s="14">
        <f>IF(AND(A15="",B15=""),"",IF(AND(E15&lt;&gt;"",E15&lt;=0),"Agotado",IF(H15="","Sin fecha",IF(I15&lt;0,"Vencido",IF(I15&lt;=Resumen!$C$5,"Caduca pronto",IF(I15&lt;=Resumen!$C$6,"Revisar pronto","Vigente"))))))</f>
      </c>
      <c r="K15" s="15"/>
      <c r="L15" s="15"/>
      <c r="M15" s="15"/>
    </row>
    <row r="16" spans="1:13" x14ac:dyDescent="0.25">
      <c r="A16" s="15"/>
      <c r="B16" s="15"/>
      <c r="C16" s="15"/>
      <c r="D16" s="15"/>
      <c r="E16" s="16"/>
      <c r="F16" s="15"/>
      <c r="G16" s="15"/>
      <c r="H16" s="17"/>
      <c r="I16" s="13">
        <f>IF(H16="","",H16-TODAY())</f>
      </c>
      <c r="J16" s="14">
        <f>IF(AND(A16="",B16=""),"",IF(AND(E16&lt;&gt;"",E16&lt;=0),"Agotado",IF(H16="","Sin fecha",IF(I16&lt;0,"Vencido",IF(I16&lt;=Resumen!$C$5,"Caduca pronto",IF(I16&lt;=Resumen!$C$6,"Revisar pronto","Vigente"))))))</f>
      </c>
      <c r="K16" s="15"/>
      <c r="L16" s="15"/>
      <c r="M16" s="15"/>
    </row>
    <row r="17" spans="1:13" x14ac:dyDescent="0.25">
      <c r="A17" s="15"/>
      <c r="B17" s="15"/>
      <c r="C17" s="15"/>
      <c r="D17" s="15"/>
      <c r="E17" s="16"/>
      <c r="F17" s="15"/>
      <c r="G17" s="15"/>
      <c r="H17" s="17"/>
      <c r="I17" s="13">
        <f>IF(H17="","",H17-TODAY())</f>
      </c>
      <c r="J17" s="14">
        <f>IF(AND(A17="",B17=""),"",IF(AND(E17&lt;&gt;"",E17&lt;=0),"Agotado",IF(H17="","Sin fecha",IF(I17&lt;0,"Vencido",IF(I17&lt;=Resumen!$C$5,"Caduca pronto",IF(I17&lt;=Resumen!$C$6,"Revisar pronto","Vigente"))))))</f>
      </c>
      <c r="K17" s="15"/>
      <c r="L17" s="15"/>
      <c r="M17" s="15"/>
    </row>
    <row r="18" spans="1:13" x14ac:dyDescent="0.25">
      <c r="A18" s="15"/>
      <c r="B18" s="15"/>
      <c r="C18" s="15"/>
      <c r="D18" s="15"/>
      <c r="E18" s="16"/>
      <c r="F18" s="15"/>
      <c r="G18" s="15"/>
      <c r="H18" s="17"/>
      <c r="I18" s="13">
        <f>IF(H18="","",H18-TODAY())</f>
      </c>
      <c r="J18" s="14">
        <f>IF(AND(A18="",B18=""),"",IF(AND(E18&lt;&gt;"",E18&lt;=0),"Agotado",IF(H18="","Sin fecha",IF(I18&lt;0,"Vencido",IF(I18&lt;=Resumen!$C$5,"Caduca pronto",IF(I18&lt;=Resumen!$C$6,"Revisar pronto","Vigente"))))))</f>
      </c>
      <c r="K18" s="15"/>
      <c r="L18" s="15"/>
      <c r="M18" s="15"/>
    </row>
    <row r="19" spans="1:13" x14ac:dyDescent="0.25">
      <c r="A19" s="15"/>
      <c r="B19" s="15"/>
      <c r="C19" s="15"/>
      <c r="D19" s="15"/>
      <c r="E19" s="16"/>
      <c r="F19" s="15"/>
      <c r="G19" s="15"/>
      <c r="H19" s="17"/>
      <c r="I19" s="13">
        <f>IF(H19="","",H19-TODAY())</f>
      </c>
      <c r="J19" s="14">
        <f>IF(AND(A19="",B19=""),"",IF(AND(E19&lt;&gt;"",E19&lt;=0),"Agotado",IF(H19="","Sin fecha",IF(I19&lt;0,"Vencido",IF(I19&lt;=Resumen!$C$5,"Caduca pronto",IF(I19&lt;=Resumen!$C$6,"Revisar pronto","Vigente"))))))</f>
      </c>
      <c r="K19" s="15"/>
      <c r="L19" s="15"/>
      <c r="M19" s="15"/>
    </row>
    <row r="20" spans="1:13" x14ac:dyDescent="0.25">
      <c r="A20" s="15"/>
      <c r="B20" s="15"/>
      <c r="C20" s="15"/>
      <c r="D20" s="15"/>
      <c r="E20" s="16"/>
      <c r="F20" s="15"/>
      <c r="G20" s="15"/>
      <c r="H20" s="17"/>
      <c r="I20" s="13">
        <f>IF(H20="","",H20-TODAY())</f>
      </c>
      <c r="J20" s="14">
        <f>IF(AND(A20="",B20=""),"",IF(AND(E20&lt;&gt;"",E20&lt;=0),"Agotado",IF(H20="","Sin fecha",IF(I20&lt;0,"Vencido",IF(I20&lt;=Resumen!$C$5,"Caduca pronto",IF(I20&lt;=Resumen!$C$6,"Revisar pronto","Vigente"))))))</f>
      </c>
      <c r="K20" s="15"/>
      <c r="L20" s="15"/>
      <c r="M20" s="15"/>
    </row>
    <row r="21" spans="1:13" x14ac:dyDescent="0.25">
      <c r="A21" s="15"/>
      <c r="B21" s="15"/>
      <c r="C21" s="15"/>
      <c r="D21" s="15"/>
      <c r="E21" s="16"/>
      <c r="F21" s="15"/>
      <c r="G21" s="15"/>
      <c r="H21" s="17"/>
      <c r="I21" s="13">
        <f>IF(H21="","",H21-TODAY())</f>
      </c>
      <c r="J21" s="14">
        <f>IF(AND(A21="",B21=""),"",IF(AND(E21&lt;&gt;"",E21&lt;=0),"Agotado",IF(H21="","Sin fecha",IF(I21&lt;0,"Vencido",IF(I21&lt;=Resumen!$C$5,"Caduca pronto",IF(I21&lt;=Resumen!$C$6,"Revisar pronto","Vigente"))))))</f>
      </c>
      <c r="K21" s="15"/>
      <c r="L21" s="15"/>
      <c r="M21" s="15"/>
    </row>
    <row r="22" spans="1:13" x14ac:dyDescent="0.25">
      <c r="A22" s="15"/>
      <c r="B22" s="15"/>
      <c r="C22" s="15"/>
      <c r="D22" s="15"/>
      <c r="E22" s="16"/>
      <c r="F22" s="15"/>
      <c r="G22" s="15"/>
      <c r="H22" s="17"/>
      <c r="I22" s="13">
        <f>IF(H22="","",H22-TODAY())</f>
      </c>
      <c r="J22" s="14">
        <f>IF(AND(A22="",B22=""),"",IF(AND(E22&lt;&gt;"",E22&lt;=0),"Agotado",IF(H22="","Sin fecha",IF(I22&lt;0,"Vencido",IF(I22&lt;=Resumen!$C$5,"Caduca pronto",IF(I22&lt;=Resumen!$C$6,"Revisar pronto","Vigente"))))))</f>
      </c>
      <c r="K22" s="15"/>
      <c r="L22" s="15"/>
      <c r="M22" s="15"/>
    </row>
    <row r="23" spans="1:13" x14ac:dyDescent="0.25">
      <c r="A23" s="15"/>
      <c r="B23" s="15"/>
      <c r="C23" s="15"/>
      <c r="D23" s="15"/>
      <c r="E23" s="16"/>
      <c r="F23" s="15"/>
      <c r="G23" s="15"/>
      <c r="H23" s="17"/>
      <c r="I23" s="13">
        <f>IF(H23="","",H23-TODAY())</f>
      </c>
      <c r="J23" s="14">
        <f>IF(AND(A23="",B23=""),"",IF(AND(E23&lt;&gt;"",E23&lt;=0),"Agotado",IF(H23="","Sin fecha",IF(I23&lt;0,"Vencido",IF(I23&lt;=Resumen!$C$5,"Caduca pronto",IF(I23&lt;=Resumen!$C$6,"Revisar pronto","Vigente"))))))</f>
      </c>
      <c r="K23" s="15"/>
      <c r="L23" s="15"/>
      <c r="M23" s="15"/>
    </row>
    <row r="24" spans="1:13" x14ac:dyDescent="0.25">
      <c r="A24" s="15"/>
      <c r="B24" s="15"/>
      <c r="C24" s="15"/>
      <c r="D24" s="15"/>
      <c r="E24" s="16"/>
      <c r="F24" s="15"/>
      <c r="G24" s="15"/>
      <c r="H24" s="17"/>
      <c r="I24" s="13">
        <f>IF(H24="","",H24-TODAY())</f>
      </c>
      <c r="J24" s="14">
        <f>IF(AND(A24="",B24=""),"",IF(AND(E24&lt;&gt;"",E24&lt;=0),"Agotado",IF(H24="","Sin fecha",IF(I24&lt;0,"Vencido",IF(I24&lt;=Resumen!$C$5,"Caduca pronto",IF(I24&lt;=Resumen!$C$6,"Revisar pronto","Vigente"))))))</f>
      </c>
      <c r="K24" s="15"/>
      <c r="L24" s="15"/>
      <c r="M24" s="15"/>
    </row>
    <row r="25" spans="1:13" x14ac:dyDescent="0.25">
      <c r="A25" s="15"/>
      <c r="B25" s="15"/>
      <c r="C25" s="15"/>
      <c r="D25" s="15"/>
      <c r="E25" s="16"/>
      <c r="F25" s="15"/>
      <c r="G25" s="15"/>
      <c r="H25" s="17"/>
      <c r="I25" s="13">
        <f>IF(H25="","",H25-TODAY())</f>
      </c>
      <c r="J25" s="14">
        <f>IF(AND(A25="",B25=""),"",IF(AND(E25&lt;&gt;"",E25&lt;=0),"Agotado",IF(H25="","Sin fecha",IF(I25&lt;0,"Vencido",IF(I25&lt;=Resumen!$C$5,"Caduca pronto",IF(I25&lt;=Resumen!$C$6,"Revisar pronto","Vigente"))))))</f>
      </c>
      <c r="K25" s="15"/>
      <c r="L25" s="15"/>
      <c r="M25" s="15"/>
    </row>
    <row r="26" spans="1:13" x14ac:dyDescent="0.25">
      <c r="A26" s="15"/>
      <c r="B26" s="15"/>
      <c r="C26" s="15"/>
      <c r="D26" s="15"/>
      <c r="E26" s="16"/>
      <c r="F26" s="15"/>
      <c r="G26" s="15"/>
      <c r="H26" s="17"/>
      <c r="I26" s="13">
        <f>IF(H26="","",H26-TODAY())</f>
      </c>
      <c r="J26" s="14">
        <f>IF(AND(A26="",B26=""),"",IF(AND(E26&lt;&gt;"",E26&lt;=0),"Agotado",IF(H26="","Sin fecha",IF(I26&lt;0,"Vencido",IF(I26&lt;=Resumen!$C$5,"Caduca pronto",IF(I26&lt;=Resumen!$C$6,"Revisar pronto","Vigente"))))))</f>
      </c>
      <c r="K26" s="15"/>
      <c r="L26" s="15"/>
      <c r="M26" s="15"/>
    </row>
    <row r="27" spans="1:13" x14ac:dyDescent="0.25">
      <c r="A27" s="15"/>
      <c r="B27" s="15"/>
      <c r="C27" s="15"/>
      <c r="D27" s="15"/>
      <c r="E27" s="16"/>
      <c r="F27" s="15"/>
      <c r="G27" s="15"/>
      <c r="H27" s="17"/>
      <c r="I27" s="13">
        <f>IF(H27="","",H27-TODAY())</f>
      </c>
      <c r="J27" s="14">
        <f>IF(AND(A27="",B27=""),"",IF(AND(E27&lt;&gt;"",E27&lt;=0),"Agotado",IF(H27="","Sin fecha",IF(I27&lt;0,"Vencido",IF(I27&lt;=Resumen!$C$5,"Caduca pronto",IF(I27&lt;=Resumen!$C$6,"Revisar pronto","Vigente"))))))</f>
      </c>
      <c r="K27" s="15"/>
      <c r="L27" s="15"/>
      <c r="M27" s="15"/>
    </row>
    <row r="28" spans="1:13" x14ac:dyDescent="0.25">
      <c r="A28" s="15"/>
      <c r="B28" s="15"/>
      <c r="C28" s="15"/>
      <c r="D28" s="15"/>
      <c r="E28" s="16"/>
      <c r="F28" s="15"/>
      <c r="G28" s="15"/>
      <c r="H28" s="17"/>
      <c r="I28" s="13">
        <f>IF(H28="","",H28-TODAY())</f>
      </c>
      <c r="J28" s="14">
        <f>IF(AND(A28="",B28=""),"",IF(AND(E28&lt;&gt;"",E28&lt;=0),"Agotado",IF(H28="","Sin fecha",IF(I28&lt;0,"Vencido",IF(I28&lt;=Resumen!$C$5,"Caduca pronto",IF(I28&lt;=Resumen!$C$6,"Revisar pronto","Vigente"))))))</f>
      </c>
      <c r="K28" s="15"/>
      <c r="L28" s="15"/>
      <c r="M28" s="15"/>
    </row>
    <row r="29" spans="1:13" x14ac:dyDescent="0.25">
      <c r="A29" s="15"/>
      <c r="B29" s="15"/>
      <c r="C29" s="15"/>
      <c r="D29" s="15"/>
      <c r="E29" s="16"/>
      <c r="F29" s="15"/>
      <c r="G29" s="15"/>
      <c r="H29" s="17"/>
      <c r="I29" s="13">
        <f>IF(H29="","",H29-TODAY())</f>
      </c>
      <c r="J29" s="14">
        <f>IF(AND(A29="",B29=""),"",IF(AND(E29&lt;&gt;"",E29&lt;=0),"Agotado",IF(H29="","Sin fecha",IF(I29&lt;0,"Vencido",IF(I29&lt;=Resumen!$C$5,"Caduca pronto",IF(I29&lt;=Resumen!$C$6,"Revisar pronto","Vigente"))))))</f>
      </c>
      <c r="K29" s="15"/>
      <c r="L29" s="15"/>
      <c r="M29" s="15"/>
    </row>
    <row r="30" spans="1:13" x14ac:dyDescent="0.25">
      <c r="A30" s="15"/>
      <c r="B30" s="15"/>
      <c r="C30" s="15"/>
      <c r="D30" s="15"/>
      <c r="E30" s="16"/>
      <c r="F30" s="15"/>
      <c r="G30" s="15"/>
      <c r="H30" s="17"/>
      <c r="I30" s="13">
        <f>IF(H30="","",H30-TODAY())</f>
      </c>
      <c r="J30" s="14">
        <f>IF(AND(A30="",B30=""),"",IF(AND(E30&lt;&gt;"",E30&lt;=0),"Agotado",IF(H30="","Sin fecha",IF(I30&lt;0,"Vencido",IF(I30&lt;=Resumen!$C$5,"Caduca pronto",IF(I30&lt;=Resumen!$C$6,"Revisar pronto","Vigente"))))))</f>
      </c>
      <c r="K30" s="15"/>
      <c r="L30" s="15"/>
      <c r="M30" s="15"/>
    </row>
    <row r="31" spans="1:13" x14ac:dyDescent="0.25">
      <c r="A31" s="15"/>
      <c r="B31" s="15"/>
      <c r="C31" s="15"/>
      <c r="D31" s="15"/>
      <c r="E31" s="16"/>
      <c r="F31" s="15"/>
      <c r="G31" s="15"/>
      <c r="H31" s="17"/>
      <c r="I31" s="13">
        <f>IF(H31="","",H31-TODAY())</f>
      </c>
      <c r="J31" s="14">
        <f>IF(AND(A31="",B31=""),"",IF(AND(E31&lt;&gt;"",E31&lt;=0),"Agotado",IF(H31="","Sin fecha",IF(I31&lt;0,"Vencido",IF(I31&lt;=Resumen!$C$5,"Caduca pronto",IF(I31&lt;=Resumen!$C$6,"Revisar pronto","Vigente"))))))</f>
      </c>
      <c r="K31" s="15"/>
      <c r="L31" s="15"/>
      <c r="M31" s="15"/>
    </row>
    <row r="32" spans="1:13" x14ac:dyDescent="0.25">
      <c r="A32" s="15"/>
      <c r="B32" s="15"/>
      <c r="C32" s="15"/>
      <c r="D32" s="15"/>
      <c r="E32" s="16"/>
      <c r="F32" s="15"/>
      <c r="G32" s="15"/>
      <c r="H32" s="17"/>
      <c r="I32" s="13">
        <f>IF(H32="","",H32-TODAY())</f>
      </c>
      <c r="J32" s="14">
        <f>IF(AND(A32="",B32=""),"",IF(AND(E32&lt;&gt;"",E32&lt;=0),"Agotado",IF(H32="","Sin fecha",IF(I32&lt;0,"Vencido",IF(I32&lt;=Resumen!$C$5,"Caduca pronto",IF(I32&lt;=Resumen!$C$6,"Revisar pronto","Vigente"))))))</f>
      </c>
      <c r="K32" s="15"/>
      <c r="L32" s="15"/>
      <c r="M32" s="15"/>
    </row>
    <row r="33" spans="1:13" x14ac:dyDescent="0.25">
      <c r="A33" s="15"/>
      <c r="B33" s="15"/>
      <c r="C33" s="15"/>
      <c r="D33" s="15"/>
      <c r="E33" s="16"/>
      <c r="F33" s="15"/>
      <c r="G33" s="15"/>
      <c r="H33" s="17"/>
      <c r="I33" s="13">
        <f>IF(H33="","",H33-TODAY())</f>
      </c>
      <c r="J33" s="14">
        <f>IF(AND(A33="",B33=""),"",IF(AND(E33&lt;&gt;"",E33&lt;=0),"Agotado",IF(H33="","Sin fecha",IF(I33&lt;0,"Vencido",IF(I33&lt;=Resumen!$C$5,"Caduca pronto",IF(I33&lt;=Resumen!$C$6,"Revisar pronto","Vigente"))))))</f>
      </c>
      <c r="K33" s="15"/>
      <c r="L33" s="15"/>
      <c r="M33" s="15"/>
    </row>
    <row r="34" spans="1:13" x14ac:dyDescent="0.25">
      <c r="A34" s="15"/>
      <c r="B34" s="15"/>
      <c r="C34" s="15"/>
      <c r="D34" s="15"/>
      <c r="E34" s="16"/>
      <c r="F34" s="15"/>
      <c r="G34" s="15"/>
      <c r="H34" s="17"/>
      <c r="I34" s="13">
        <f>IF(H34="","",H34-TODAY())</f>
      </c>
      <c r="J34" s="14">
        <f>IF(AND(A34="",B34=""),"",IF(AND(E34&lt;&gt;"",E34&lt;=0),"Agotado",IF(H34="","Sin fecha",IF(I34&lt;0,"Vencido",IF(I34&lt;=Resumen!$C$5,"Caduca pronto",IF(I34&lt;=Resumen!$C$6,"Revisar pronto","Vigente"))))))</f>
      </c>
      <c r="K34" s="15"/>
      <c r="L34" s="15"/>
      <c r="M34" s="15"/>
    </row>
    <row r="35" spans="1:13" x14ac:dyDescent="0.25">
      <c r="A35" s="15"/>
      <c r="B35" s="15"/>
      <c r="C35" s="15"/>
      <c r="D35" s="15"/>
      <c r="E35" s="16"/>
      <c r="F35" s="15"/>
      <c r="G35" s="15"/>
      <c r="H35" s="17"/>
      <c r="I35" s="13">
        <f>IF(H35="","",H35-TODAY())</f>
      </c>
      <c r="J35" s="14">
        <f>IF(AND(A35="",B35=""),"",IF(AND(E35&lt;&gt;"",E35&lt;=0),"Agotado",IF(H35="","Sin fecha",IF(I35&lt;0,"Vencido",IF(I35&lt;=Resumen!$C$5,"Caduca pronto",IF(I35&lt;=Resumen!$C$6,"Revisar pronto","Vigente"))))))</f>
      </c>
      <c r="K35" s="15"/>
      <c r="L35" s="15"/>
      <c r="M35" s="15"/>
    </row>
    <row r="36" spans="1:13" x14ac:dyDescent="0.25">
      <c r="A36" s="15"/>
      <c r="B36" s="15"/>
      <c r="C36" s="15"/>
      <c r="D36" s="15"/>
      <c r="E36" s="16"/>
      <c r="F36" s="15"/>
      <c r="G36" s="15"/>
      <c r="H36" s="17"/>
      <c r="I36" s="13">
        <f>IF(H36="","",H36-TODAY())</f>
      </c>
      <c r="J36" s="14">
        <f>IF(AND(A36="",B36=""),"",IF(AND(E36&lt;&gt;"",E36&lt;=0),"Agotado",IF(H36="","Sin fecha",IF(I36&lt;0,"Vencido",IF(I36&lt;=Resumen!$C$5,"Caduca pronto",IF(I36&lt;=Resumen!$C$6,"Revisar pronto","Vigente"))))))</f>
      </c>
      <c r="K36" s="15"/>
      <c r="L36" s="15"/>
      <c r="M36" s="15"/>
    </row>
    <row r="37" spans="1:13" x14ac:dyDescent="0.25">
      <c r="A37" s="15"/>
      <c r="B37" s="15"/>
      <c r="C37" s="15"/>
      <c r="D37" s="15"/>
      <c r="E37" s="16"/>
      <c r="F37" s="15"/>
      <c r="G37" s="15"/>
      <c r="H37" s="17"/>
      <c r="I37" s="13">
        <f>IF(H37="","",H37-TODAY())</f>
      </c>
      <c r="J37" s="14">
        <f>IF(AND(A37="",B37=""),"",IF(AND(E37&lt;&gt;"",E37&lt;=0),"Agotado",IF(H37="","Sin fecha",IF(I37&lt;0,"Vencido",IF(I37&lt;=Resumen!$C$5,"Caduca pronto",IF(I37&lt;=Resumen!$C$6,"Revisar pronto","Vigente"))))))</f>
      </c>
      <c r="K37" s="15"/>
      <c r="L37" s="15"/>
      <c r="M37" s="15"/>
    </row>
    <row r="38" spans="1:13" x14ac:dyDescent="0.25">
      <c r="A38" s="15"/>
      <c r="B38" s="15"/>
      <c r="C38" s="15"/>
      <c r="D38" s="15"/>
      <c r="E38" s="16"/>
      <c r="F38" s="15"/>
      <c r="G38" s="15"/>
      <c r="H38" s="17"/>
      <c r="I38" s="13">
        <f>IF(H38="","",H38-TODAY())</f>
      </c>
      <c r="J38" s="14">
        <f>IF(AND(A38="",B38=""),"",IF(AND(E38&lt;&gt;"",E38&lt;=0),"Agotado",IF(H38="","Sin fecha",IF(I38&lt;0,"Vencido",IF(I38&lt;=Resumen!$C$5,"Caduca pronto",IF(I38&lt;=Resumen!$C$6,"Revisar pronto","Vigente"))))))</f>
      </c>
      <c r="K38" s="15"/>
      <c r="L38" s="15"/>
      <c r="M38" s="15"/>
    </row>
    <row r="39" spans="1:13" x14ac:dyDescent="0.25">
      <c r="A39" s="15"/>
      <c r="B39" s="15"/>
      <c r="C39" s="15"/>
      <c r="D39" s="15"/>
      <c r="E39" s="16"/>
      <c r="F39" s="15"/>
      <c r="G39" s="15"/>
      <c r="H39" s="17"/>
      <c r="I39" s="13">
        <f>IF(H39="","",H39-TODAY())</f>
      </c>
      <c r="J39" s="14">
        <f>IF(AND(A39="",B39=""),"",IF(AND(E39&lt;&gt;"",E39&lt;=0),"Agotado",IF(H39="","Sin fecha",IF(I39&lt;0,"Vencido",IF(I39&lt;=Resumen!$C$5,"Caduca pronto",IF(I39&lt;=Resumen!$C$6,"Revisar pronto","Vigente"))))))</f>
      </c>
      <c r="K39" s="15"/>
      <c r="L39" s="15"/>
      <c r="M39" s="15"/>
    </row>
    <row r="40" spans="1:13" x14ac:dyDescent="0.25">
      <c r="A40" s="15"/>
      <c r="B40" s="15"/>
      <c r="C40" s="15"/>
      <c r="D40" s="15"/>
      <c r="E40" s="16"/>
      <c r="F40" s="15"/>
      <c r="G40" s="15"/>
      <c r="H40" s="17"/>
      <c r="I40" s="13">
        <f>IF(H40="","",H40-TODAY())</f>
      </c>
      <c r="J40" s="14">
        <f>IF(AND(A40="",B40=""),"",IF(AND(E40&lt;&gt;"",E40&lt;=0),"Agotado",IF(H40="","Sin fecha",IF(I40&lt;0,"Vencido",IF(I40&lt;=Resumen!$C$5,"Caduca pronto",IF(I40&lt;=Resumen!$C$6,"Revisar pronto","Vigente"))))))</f>
      </c>
      <c r="K40" s="15"/>
      <c r="L40" s="15"/>
      <c r="M40" s="15"/>
    </row>
    <row r="41" spans="1:13" x14ac:dyDescent="0.25">
      <c r="A41" s="15"/>
      <c r="B41" s="15"/>
      <c r="C41" s="15"/>
      <c r="D41" s="15"/>
      <c r="E41" s="16"/>
      <c r="F41" s="15"/>
      <c r="G41" s="15"/>
      <c r="H41" s="17"/>
      <c r="I41" s="13">
        <f>IF(H41="","",H41-TODAY())</f>
      </c>
      <c r="J41" s="14">
        <f>IF(AND(A41="",B41=""),"",IF(AND(E41&lt;&gt;"",E41&lt;=0),"Agotado",IF(H41="","Sin fecha",IF(I41&lt;0,"Vencido",IF(I41&lt;=Resumen!$C$5,"Caduca pronto",IF(I41&lt;=Resumen!$C$6,"Revisar pronto","Vigente"))))))</f>
      </c>
      <c r="K41" s="15"/>
      <c r="L41" s="15"/>
      <c r="M41" s="15"/>
    </row>
    <row r="42" spans="1:13" x14ac:dyDescent="0.25">
      <c r="A42" s="15"/>
      <c r="B42" s="15"/>
      <c r="C42" s="15"/>
      <c r="D42" s="15"/>
      <c r="E42" s="16"/>
      <c r="F42" s="15"/>
      <c r="G42" s="15"/>
      <c r="H42" s="17"/>
      <c r="I42" s="13">
        <f>IF(H42="","",H42-TODAY())</f>
      </c>
      <c r="J42" s="14">
        <f>IF(AND(A42="",B42=""),"",IF(AND(E42&lt;&gt;"",E42&lt;=0),"Agotado",IF(H42="","Sin fecha",IF(I42&lt;0,"Vencido",IF(I42&lt;=Resumen!$C$5,"Caduca pronto",IF(I42&lt;=Resumen!$C$6,"Revisar pronto","Vigente"))))))</f>
      </c>
      <c r="K42" s="15"/>
      <c r="L42" s="15"/>
      <c r="M42" s="15"/>
    </row>
    <row r="43" spans="1:13" x14ac:dyDescent="0.25">
      <c r="A43" s="15"/>
      <c r="B43" s="15"/>
      <c r="C43" s="15"/>
      <c r="D43" s="15"/>
      <c r="E43" s="16"/>
      <c r="F43" s="15"/>
      <c r="G43" s="15"/>
      <c r="H43" s="17"/>
      <c r="I43" s="13">
        <f>IF(H43="","",H43-TODAY())</f>
      </c>
      <c r="J43" s="14">
        <f>IF(AND(A43="",B43=""),"",IF(AND(E43&lt;&gt;"",E43&lt;=0),"Agotado",IF(H43="","Sin fecha",IF(I43&lt;0,"Vencido",IF(I43&lt;=Resumen!$C$5,"Caduca pronto",IF(I43&lt;=Resumen!$C$6,"Revisar pronto","Vigente"))))))</f>
      </c>
      <c r="K43" s="15"/>
      <c r="L43" s="15"/>
      <c r="M43" s="15"/>
    </row>
    <row r="44" spans="1:13" x14ac:dyDescent="0.25">
      <c r="A44" s="15"/>
      <c r="B44" s="15"/>
      <c r="C44" s="15"/>
      <c r="D44" s="15"/>
      <c r="E44" s="16"/>
      <c r="F44" s="15"/>
      <c r="G44" s="15"/>
      <c r="H44" s="17"/>
      <c r="I44" s="13">
        <f>IF(H44="","",H44-TODAY())</f>
      </c>
      <c r="J44" s="14">
        <f>IF(AND(A44="",B44=""),"",IF(AND(E44&lt;&gt;"",E44&lt;=0),"Agotado",IF(H44="","Sin fecha",IF(I44&lt;0,"Vencido",IF(I44&lt;=Resumen!$C$5,"Caduca pronto",IF(I44&lt;=Resumen!$C$6,"Revisar pronto","Vigente"))))))</f>
      </c>
      <c r="K44" s="15"/>
      <c r="L44" s="15"/>
      <c r="M44" s="15"/>
    </row>
    <row r="45" spans="1:13" x14ac:dyDescent="0.25">
      <c r="A45" s="15"/>
      <c r="B45" s="15"/>
      <c r="C45" s="15"/>
      <c r="D45" s="15"/>
      <c r="E45" s="16"/>
      <c r="F45" s="15"/>
      <c r="G45" s="15"/>
      <c r="H45" s="17"/>
      <c r="I45" s="13">
        <f>IF(H45="","",H45-TODAY())</f>
      </c>
      <c r="J45" s="14">
        <f>IF(AND(A45="",B45=""),"",IF(AND(E45&lt;&gt;"",E45&lt;=0),"Agotado",IF(H45="","Sin fecha",IF(I45&lt;0,"Vencido",IF(I45&lt;=Resumen!$C$5,"Caduca pronto",IF(I45&lt;=Resumen!$C$6,"Revisar pronto","Vigente"))))))</f>
      </c>
      <c r="K45" s="15"/>
      <c r="L45" s="15"/>
      <c r="M45" s="15"/>
    </row>
    <row r="46" spans="1:13" x14ac:dyDescent="0.25">
      <c r="A46" s="15"/>
      <c r="B46" s="15"/>
      <c r="C46" s="15"/>
      <c r="D46" s="15"/>
      <c r="E46" s="16"/>
      <c r="F46" s="15"/>
      <c r="G46" s="15"/>
      <c r="H46" s="17"/>
      <c r="I46" s="13">
        <f>IF(H46="","",H46-TODAY())</f>
      </c>
      <c r="J46" s="14">
        <f>IF(AND(A46="",B46=""),"",IF(AND(E46&lt;&gt;"",E46&lt;=0),"Agotado",IF(H46="","Sin fecha",IF(I46&lt;0,"Vencido",IF(I46&lt;=Resumen!$C$5,"Caduca pronto",IF(I46&lt;=Resumen!$C$6,"Revisar pronto","Vigente"))))))</f>
      </c>
      <c r="K46" s="15"/>
      <c r="L46" s="15"/>
      <c r="M46" s="15"/>
    </row>
    <row r="47" spans="1:13" x14ac:dyDescent="0.25">
      <c r="A47" s="15"/>
      <c r="B47" s="15"/>
      <c r="C47" s="15"/>
      <c r="D47" s="15"/>
      <c r="E47" s="16"/>
      <c r="F47" s="15"/>
      <c r="G47" s="15"/>
      <c r="H47" s="17"/>
      <c r="I47" s="13">
        <f>IF(H47="","",H47-TODAY())</f>
      </c>
      <c r="J47" s="14">
        <f>IF(AND(A47="",B47=""),"",IF(AND(E47&lt;&gt;"",E47&lt;=0),"Agotado",IF(H47="","Sin fecha",IF(I47&lt;0,"Vencido",IF(I47&lt;=Resumen!$C$5,"Caduca pronto",IF(I47&lt;=Resumen!$C$6,"Revisar pronto","Vigente"))))))</f>
      </c>
      <c r="K47" s="15"/>
      <c r="L47" s="15"/>
      <c r="M47" s="15"/>
    </row>
    <row r="48" spans="1:13" x14ac:dyDescent="0.25">
      <c r="A48" s="15"/>
      <c r="B48" s="15"/>
      <c r="C48" s="15"/>
      <c r="D48" s="15"/>
      <c r="E48" s="16"/>
      <c r="F48" s="15"/>
      <c r="G48" s="15"/>
      <c r="H48" s="17"/>
      <c r="I48" s="13">
        <f>IF(H48="","",H48-TODAY())</f>
      </c>
      <c r="J48" s="14">
        <f>IF(AND(A48="",B48=""),"",IF(AND(E48&lt;&gt;"",E48&lt;=0),"Agotado",IF(H48="","Sin fecha",IF(I48&lt;0,"Vencido",IF(I48&lt;=Resumen!$C$5,"Caduca pronto",IF(I48&lt;=Resumen!$C$6,"Revisar pronto","Vigente"))))))</f>
      </c>
      <c r="K48" s="15"/>
      <c r="L48" s="15"/>
      <c r="M48" s="15"/>
    </row>
    <row r="49" spans="1:13" x14ac:dyDescent="0.25">
      <c r="A49" s="15"/>
      <c r="B49" s="15"/>
      <c r="C49" s="15"/>
      <c r="D49" s="15"/>
      <c r="E49" s="16"/>
      <c r="F49" s="15"/>
      <c r="G49" s="15"/>
      <c r="H49" s="17"/>
      <c r="I49" s="13">
        <f>IF(H49="","",H49-TODAY())</f>
      </c>
      <c r="J49" s="14">
        <f>IF(AND(A49="",B49=""),"",IF(AND(E49&lt;&gt;"",E49&lt;=0),"Agotado",IF(H49="","Sin fecha",IF(I49&lt;0,"Vencido",IF(I49&lt;=Resumen!$C$5,"Caduca pronto",IF(I49&lt;=Resumen!$C$6,"Revisar pronto","Vigente"))))))</f>
      </c>
      <c r="K49" s="15"/>
      <c r="L49" s="15"/>
      <c r="M49" s="15"/>
    </row>
    <row r="50" spans="1:13" x14ac:dyDescent="0.25">
      <c r="A50" s="15"/>
      <c r="B50" s="15"/>
      <c r="C50" s="15"/>
      <c r="D50" s="15"/>
      <c r="E50" s="16"/>
      <c r="F50" s="15"/>
      <c r="G50" s="15"/>
      <c r="H50" s="17"/>
      <c r="I50" s="13">
        <f>IF(H50="","",H50-TODAY())</f>
      </c>
      <c r="J50" s="14">
        <f>IF(AND(A50="",B50=""),"",IF(AND(E50&lt;&gt;"",E50&lt;=0),"Agotado",IF(H50="","Sin fecha",IF(I50&lt;0,"Vencido",IF(I50&lt;=Resumen!$C$5,"Caduca pronto",IF(I50&lt;=Resumen!$C$6,"Revisar pronto","Vigente"))))))</f>
      </c>
      <c r="K50" s="15"/>
      <c r="L50" s="15"/>
      <c r="M50" s="15"/>
    </row>
    <row r="51" spans="1:13" x14ac:dyDescent="0.25">
      <c r="A51" s="15"/>
      <c r="B51" s="15"/>
      <c r="C51" s="15"/>
      <c r="D51" s="15"/>
      <c r="E51" s="16"/>
      <c r="F51" s="15"/>
      <c r="G51" s="15"/>
      <c r="H51" s="17"/>
      <c r="I51" s="13">
        <f>IF(H51="","",H51-TODAY())</f>
      </c>
      <c r="J51" s="14">
        <f>IF(AND(A51="",B51=""),"",IF(AND(E51&lt;&gt;"",E51&lt;=0),"Agotado",IF(H51="","Sin fecha",IF(I51&lt;0,"Vencido",IF(I51&lt;=Resumen!$C$5,"Caduca pronto",IF(I51&lt;=Resumen!$C$6,"Revisar pronto","Vigente"))))))</f>
      </c>
      <c r="K51" s="15"/>
      <c r="L51" s="15"/>
      <c r="M51" s="15"/>
    </row>
    <row r="52" spans="1:13" x14ac:dyDescent="0.25">
      <c r="A52" s="15"/>
      <c r="B52" s="15"/>
      <c r="C52" s="15"/>
      <c r="D52" s="15"/>
      <c r="E52" s="16"/>
      <c r="F52" s="15"/>
      <c r="G52" s="15"/>
      <c r="H52" s="17"/>
      <c r="I52" s="13">
        <f>IF(H52="","",H52-TODAY())</f>
      </c>
      <c r="J52" s="14">
        <f>IF(AND(A52="",B52=""),"",IF(AND(E52&lt;&gt;"",E52&lt;=0),"Agotado",IF(H52="","Sin fecha",IF(I52&lt;0,"Vencido",IF(I52&lt;=Resumen!$C$5,"Caduca pronto",IF(I52&lt;=Resumen!$C$6,"Revisar pronto","Vigente"))))))</f>
      </c>
      <c r="K52" s="15"/>
      <c r="L52" s="15"/>
      <c r="M52" s="15"/>
    </row>
    <row r="53" spans="1:13" x14ac:dyDescent="0.25">
      <c r="A53" s="15"/>
      <c r="B53" s="15"/>
      <c r="C53" s="15"/>
      <c r="D53" s="15"/>
      <c r="E53" s="16"/>
      <c r="F53" s="15"/>
      <c r="G53" s="15"/>
      <c r="H53" s="17"/>
      <c r="I53" s="13">
        <f>IF(H53="","",H53-TODAY())</f>
      </c>
      <c r="J53" s="14">
        <f>IF(AND(A53="",B53=""),"",IF(AND(E53&lt;&gt;"",E53&lt;=0),"Agotado",IF(H53="","Sin fecha",IF(I53&lt;0,"Vencido",IF(I53&lt;=Resumen!$C$5,"Caduca pronto",IF(I53&lt;=Resumen!$C$6,"Revisar pronto","Vigente"))))))</f>
      </c>
      <c r="K53" s="15"/>
      <c r="L53" s="15"/>
      <c r="M53" s="15"/>
    </row>
    <row r="54" spans="1:13" x14ac:dyDescent="0.25">
      <c r="A54" s="15"/>
      <c r="B54" s="15"/>
      <c r="C54" s="15"/>
      <c r="D54" s="15"/>
      <c r="E54" s="16"/>
      <c r="F54" s="15"/>
      <c r="G54" s="15"/>
      <c r="H54" s="17"/>
      <c r="I54" s="13">
        <f>IF(H54="","",H54-TODAY())</f>
      </c>
      <c r="J54" s="14">
        <f>IF(AND(A54="",B54=""),"",IF(AND(E54&lt;&gt;"",E54&lt;=0),"Agotado",IF(H54="","Sin fecha",IF(I54&lt;0,"Vencido",IF(I54&lt;=Resumen!$C$5,"Caduca pronto",IF(I54&lt;=Resumen!$C$6,"Revisar pronto","Vigente"))))))</f>
      </c>
      <c r="K54" s="15"/>
      <c r="L54" s="15"/>
      <c r="M54" s="15"/>
    </row>
    <row r="55" spans="1:13" x14ac:dyDescent="0.25">
      <c r="A55" s="15"/>
      <c r="B55" s="15"/>
      <c r="C55" s="15"/>
      <c r="D55" s="15"/>
      <c r="E55" s="16"/>
      <c r="F55" s="15"/>
      <c r="G55" s="15"/>
      <c r="H55" s="17"/>
      <c r="I55" s="13">
        <f>IF(H55="","",H55-TODAY())</f>
      </c>
      <c r="J55" s="14">
        <f>IF(AND(A55="",B55=""),"",IF(AND(E55&lt;&gt;"",E55&lt;=0),"Agotado",IF(H55="","Sin fecha",IF(I55&lt;0,"Vencido",IF(I55&lt;=Resumen!$C$5,"Caduca pronto",IF(I55&lt;=Resumen!$C$6,"Revisar pronto","Vigente"))))))</f>
      </c>
      <c r="K55" s="15"/>
      <c r="L55" s="15"/>
      <c r="M55" s="15"/>
    </row>
    <row r="56" spans="1:13" x14ac:dyDescent="0.25">
      <c r="A56" s="15"/>
      <c r="B56" s="15"/>
      <c r="C56" s="15"/>
      <c r="D56" s="15"/>
      <c r="E56" s="16"/>
      <c r="F56" s="15"/>
      <c r="G56" s="15"/>
      <c r="H56" s="17"/>
      <c r="I56" s="13">
        <f>IF(H56="","",H56-TODAY())</f>
      </c>
      <c r="J56" s="14">
        <f>IF(AND(A56="",B56=""),"",IF(AND(E56&lt;&gt;"",E56&lt;=0),"Agotado",IF(H56="","Sin fecha",IF(I56&lt;0,"Vencido",IF(I56&lt;=Resumen!$C$5,"Caduca pronto",IF(I56&lt;=Resumen!$C$6,"Revisar pronto","Vigente"))))))</f>
      </c>
      <c r="K56" s="15"/>
      <c r="L56" s="15"/>
      <c r="M56" s="15"/>
    </row>
    <row r="57" spans="1:13" x14ac:dyDescent="0.25">
      <c r="A57" s="15"/>
      <c r="B57" s="15"/>
      <c r="C57" s="15"/>
      <c r="D57" s="15"/>
      <c r="E57" s="16"/>
      <c r="F57" s="15"/>
      <c r="G57" s="15"/>
      <c r="H57" s="17"/>
      <c r="I57" s="13">
        <f>IF(H57="","",H57-TODAY())</f>
      </c>
      <c r="J57" s="14">
        <f>IF(AND(A57="",B57=""),"",IF(AND(E57&lt;&gt;"",E57&lt;=0),"Agotado",IF(H57="","Sin fecha",IF(I57&lt;0,"Vencido",IF(I57&lt;=Resumen!$C$5,"Caduca pronto",IF(I57&lt;=Resumen!$C$6,"Revisar pronto","Vigente"))))))</f>
      </c>
      <c r="K57" s="15"/>
      <c r="L57" s="15"/>
      <c r="M57" s="15"/>
    </row>
    <row r="58" spans="1:13" x14ac:dyDescent="0.25">
      <c r="A58" s="15"/>
      <c r="B58" s="15"/>
      <c r="C58" s="15"/>
      <c r="D58" s="15"/>
      <c r="E58" s="16"/>
      <c r="F58" s="15"/>
      <c r="G58" s="15"/>
      <c r="H58" s="17"/>
      <c r="I58" s="13">
        <f>IF(H58="","",H58-TODAY())</f>
      </c>
      <c r="J58" s="14">
        <f>IF(AND(A58="",B58=""),"",IF(AND(E58&lt;&gt;"",E58&lt;=0),"Agotado",IF(H58="","Sin fecha",IF(I58&lt;0,"Vencido",IF(I58&lt;=Resumen!$C$5,"Caduca pronto",IF(I58&lt;=Resumen!$C$6,"Revisar pronto","Vigente"))))))</f>
      </c>
      <c r="K58" s="15"/>
      <c r="L58" s="15"/>
      <c r="M58" s="15"/>
    </row>
    <row r="59" spans="1:13" x14ac:dyDescent="0.25">
      <c r="A59" s="15"/>
      <c r="B59" s="15"/>
      <c r="C59" s="15"/>
      <c r="D59" s="15"/>
      <c r="E59" s="16"/>
      <c r="F59" s="15"/>
      <c r="G59" s="15"/>
      <c r="H59" s="17"/>
      <c r="I59" s="13">
        <f>IF(H59="","",H59-TODAY())</f>
      </c>
      <c r="J59" s="14">
        <f>IF(AND(A59="",B59=""),"",IF(AND(E59&lt;&gt;"",E59&lt;=0),"Agotado",IF(H59="","Sin fecha",IF(I59&lt;0,"Vencido",IF(I59&lt;=Resumen!$C$5,"Caduca pronto",IF(I59&lt;=Resumen!$C$6,"Revisar pronto","Vigente"))))))</f>
      </c>
      <c r="K59" s="15"/>
      <c r="L59" s="15"/>
      <c r="M59" s="15"/>
    </row>
    <row r="60" spans="1:13" x14ac:dyDescent="0.25">
      <c r="A60" s="15"/>
      <c r="B60" s="15"/>
      <c r="C60" s="15"/>
      <c r="D60" s="15"/>
      <c r="E60" s="16"/>
      <c r="F60" s="15"/>
      <c r="G60" s="15"/>
      <c r="H60" s="17"/>
      <c r="I60" s="13">
        <f>IF(H60="","",H60-TODAY())</f>
      </c>
      <c r="J60" s="14">
        <f>IF(AND(A60="",B60=""),"",IF(AND(E60&lt;&gt;"",E60&lt;=0),"Agotado",IF(H60="","Sin fecha",IF(I60&lt;0,"Vencido",IF(I60&lt;=Resumen!$C$5,"Caduca pronto",IF(I60&lt;=Resumen!$C$6,"Revisar pronto","Vigente"))))))</f>
      </c>
      <c r="K60" s="15"/>
      <c r="L60" s="15"/>
      <c r="M60" s="15"/>
    </row>
    <row r="61" spans="1:13" x14ac:dyDescent="0.25">
      <c r="A61" s="15"/>
      <c r="B61" s="15"/>
      <c r="C61" s="15"/>
      <c r="D61" s="15"/>
      <c r="E61" s="16"/>
      <c r="F61" s="15"/>
      <c r="G61" s="15"/>
      <c r="H61" s="17"/>
      <c r="I61" s="13">
        <f>IF(H61="","",H61-TODAY())</f>
      </c>
      <c r="J61" s="14">
        <f>IF(AND(A61="",B61=""),"",IF(AND(E61&lt;&gt;"",E61&lt;=0),"Agotado",IF(H61="","Sin fecha",IF(I61&lt;0,"Vencido",IF(I61&lt;=Resumen!$C$5,"Caduca pronto",IF(I61&lt;=Resumen!$C$6,"Revisar pronto","Vigente"))))))</f>
      </c>
      <c r="K61" s="15"/>
      <c r="L61" s="15"/>
      <c r="M61" s="15"/>
    </row>
    <row r="62" spans="1:13" x14ac:dyDescent="0.25">
      <c r="A62" s="15"/>
      <c r="B62" s="15"/>
      <c r="C62" s="15"/>
      <c r="D62" s="15"/>
      <c r="E62" s="16"/>
      <c r="F62" s="15"/>
      <c r="G62" s="15"/>
      <c r="H62" s="17"/>
      <c r="I62" s="13">
        <f>IF(H62="","",H62-TODAY())</f>
      </c>
      <c r="J62" s="14">
        <f>IF(AND(A62="",B62=""),"",IF(AND(E62&lt;&gt;"",E62&lt;=0),"Agotado",IF(H62="","Sin fecha",IF(I62&lt;0,"Vencido",IF(I62&lt;=Resumen!$C$5,"Caduca pronto",IF(I62&lt;=Resumen!$C$6,"Revisar pronto","Vigente"))))))</f>
      </c>
      <c r="K62" s="15"/>
      <c r="L62" s="15"/>
      <c r="M62" s="15"/>
    </row>
    <row r="63" spans="1:13" x14ac:dyDescent="0.25">
      <c r="A63" s="15"/>
      <c r="B63" s="15"/>
      <c r="C63" s="15"/>
      <c r="D63" s="15"/>
      <c r="E63" s="16"/>
      <c r="F63" s="15"/>
      <c r="G63" s="15"/>
      <c r="H63" s="17"/>
      <c r="I63" s="13">
        <f>IF(H63="","",H63-TODAY())</f>
      </c>
      <c r="J63" s="14">
        <f>IF(AND(A63="",B63=""),"",IF(AND(E63&lt;&gt;"",E63&lt;=0),"Agotado",IF(H63="","Sin fecha",IF(I63&lt;0,"Vencido",IF(I63&lt;=Resumen!$C$5,"Caduca pronto",IF(I63&lt;=Resumen!$C$6,"Revisar pronto","Vigente"))))))</f>
      </c>
      <c r="K63" s="15"/>
      <c r="L63" s="15"/>
      <c r="M63" s="15"/>
    </row>
    <row r="64" spans="1:13" x14ac:dyDescent="0.25">
      <c r="A64" s="15"/>
      <c r="B64" s="15"/>
      <c r="C64" s="15"/>
      <c r="D64" s="15"/>
      <c r="E64" s="16"/>
      <c r="F64" s="15"/>
      <c r="G64" s="15"/>
      <c r="H64" s="17"/>
      <c r="I64" s="13">
        <f>IF(H64="","",H64-TODAY())</f>
      </c>
      <c r="J64" s="14">
        <f>IF(AND(A64="",B64=""),"",IF(AND(E64&lt;&gt;"",E64&lt;=0),"Agotado",IF(H64="","Sin fecha",IF(I64&lt;0,"Vencido",IF(I64&lt;=Resumen!$C$5,"Caduca pronto",IF(I64&lt;=Resumen!$C$6,"Revisar pronto","Vigente"))))))</f>
      </c>
      <c r="K64" s="15"/>
      <c r="L64" s="15"/>
      <c r="M64" s="15"/>
    </row>
    <row r="65" spans="1:13" x14ac:dyDescent="0.25">
      <c r="A65" s="15"/>
      <c r="B65" s="15"/>
      <c r="C65" s="15"/>
      <c r="D65" s="15"/>
      <c r="E65" s="16"/>
      <c r="F65" s="15"/>
      <c r="G65" s="15"/>
      <c r="H65" s="17"/>
      <c r="I65" s="13">
        <f>IF(H65="","",H65-TODAY())</f>
      </c>
      <c r="J65" s="14">
        <f>IF(AND(A65="",B65=""),"",IF(AND(E65&lt;&gt;"",E65&lt;=0),"Agotado",IF(H65="","Sin fecha",IF(I65&lt;0,"Vencido",IF(I65&lt;=Resumen!$C$5,"Caduca pronto",IF(I65&lt;=Resumen!$C$6,"Revisar pronto","Vigente"))))))</f>
      </c>
      <c r="K65" s="15"/>
      <c r="L65" s="15"/>
      <c r="M65" s="15"/>
    </row>
    <row r="66" spans="1:13" x14ac:dyDescent="0.25">
      <c r="A66" s="15"/>
      <c r="B66" s="15"/>
      <c r="C66" s="15"/>
      <c r="D66" s="15"/>
      <c r="E66" s="16"/>
      <c r="F66" s="15"/>
      <c r="G66" s="15"/>
      <c r="H66" s="17"/>
      <c r="I66" s="13">
        <f>IF(H66="","",H66-TODAY())</f>
      </c>
      <c r="J66" s="14">
        <f>IF(AND(A66="",B66=""),"",IF(AND(E66&lt;&gt;"",E66&lt;=0),"Agotado",IF(H66="","Sin fecha",IF(I66&lt;0,"Vencido",IF(I66&lt;=Resumen!$C$5,"Caduca pronto",IF(I66&lt;=Resumen!$C$6,"Revisar pronto","Vigente"))))))</f>
      </c>
      <c r="K66" s="15"/>
      <c r="L66" s="15"/>
      <c r="M66" s="15"/>
    </row>
    <row r="67" spans="1:13" x14ac:dyDescent="0.25">
      <c r="A67" s="15"/>
      <c r="B67" s="15"/>
      <c r="C67" s="15"/>
      <c r="D67" s="15"/>
      <c r="E67" s="16"/>
      <c r="F67" s="15"/>
      <c r="G67" s="15"/>
      <c r="H67" s="17"/>
      <c r="I67" s="13">
        <f>IF(H67="","",H67-TODAY())</f>
      </c>
      <c r="J67" s="14">
        <f>IF(AND(A67="",B67=""),"",IF(AND(E67&lt;&gt;"",E67&lt;=0),"Agotado",IF(H67="","Sin fecha",IF(I67&lt;0,"Vencido",IF(I67&lt;=Resumen!$C$5,"Caduca pronto",IF(I67&lt;=Resumen!$C$6,"Revisar pronto","Vigente"))))))</f>
      </c>
      <c r="K67" s="15"/>
      <c r="L67" s="15"/>
      <c r="M67" s="15"/>
    </row>
    <row r="68" spans="1:13" x14ac:dyDescent="0.25">
      <c r="A68" s="15"/>
      <c r="B68" s="15"/>
      <c r="C68" s="15"/>
      <c r="D68" s="15"/>
      <c r="E68" s="16"/>
      <c r="F68" s="15"/>
      <c r="G68" s="15"/>
      <c r="H68" s="17"/>
      <c r="I68" s="13">
        <f>IF(H68="","",H68-TODAY())</f>
      </c>
      <c r="J68" s="14">
        <f>IF(AND(A68="",B68=""),"",IF(AND(E68&lt;&gt;"",E68&lt;=0),"Agotado",IF(H68="","Sin fecha",IF(I68&lt;0,"Vencido",IF(I68&lt;=Resumen!$C$5,"Caduca pronto",IF(I68&lt;=Resumen!$C$6,"Revisar pronto","Vigente"))))))</f>
      </c>
      <c r="K68" s="15"/>
      <c r="L68" s="15"/>
      <c r="M68" s="15"/>
    </row>
    <row r="69" spans="1:13" x14ac:dyDescent="0.25">
      <c r="A69" s="15"/>
      <c r="B69" s="15"/>
      <c r="C69" s="15"/>
      <c r="D69" s="15"/>
      <c r="E69" s="16"/>
      <c r="F69" s="15"/>
      <c r="G69" s="15"/>
      <c r="H69" s="17"/>
      <c r="I69" s="13">
        <f>IF(H69="","",H69-TODAY())</f>
      </c>
      <c r="J69" s="14">
        <f>IF(AND(A69="",B69=""),"",IF(AND(E69&lt;&gt;"",E69&lt;=0),"Agotado",IF(H69="","Sin fecha",IF(I69&lt;0,"Vencido",IF(I69&lt;=Resumen!$C$5,"Caduca pronto",IF(I69&lt;=Resumen!$C$6,"Revisar pronto","Vigente"))))))</f>
      </c>
      <c r="K69" s="15"/>
      <c r="L69" s="15"/>
      <c r="M69" s="15"/>
    </row>
    <row r="70" spans="1:13" x14ac:dyDescent="0.25">
      <c r="A70" s="15"/>
      <c r="B70" s="15"/>
      <c r="C70" s="15"/>
      <c r="D70" s="15"/>
      <c r="E70" s="16"/>
      <c r="F70" s="15"/>
      <c r="G70" s="15"/>
      <c r="H70" s="17"/>
      <c r="I70" s="13">
        <f>IF(H70="","",H70-TODAY())</f>
      </c>
      <c r="J70" s="14">
        <f>IF(AND(A70="",B70=""),"",IF(AND(E70&lt;&gt;"",E70&lt;=0),"Agotado",IF(H70="","Sin fecha",IF(I70&lt;0,"Vencido",IF(I70&lt;=Resumen!$C$5,"Caduca pronto",IF(I70&lt;=Resumen!$C$6,"Revisar pronto","Vigente"))))))</f>
      </c>
      <c r="K70" s="15"/>
      <c r="L70" s="15"/>
      <c r="M70" s="15"/>
    </row>
    <row r="71" spans="1:13" x14ac:dyDescent="0.25">
      <c r="A71" s="15"/>
      <c r="B71" s="15"/>
      <c r="C71" s="15"/>
      <c r="D71" s="15"/>
      <c r="E71" s="16"/>
      <c r="F71" s="15"/>
      <c r="G71" s="15"/>
      <c r="H71" s="17"/>
      <c r="I71" s="13">
        <f>IF(H71="","",H71-TODAY())</f>
      </c>
      <c r="J71" s="14">
        <f>IF(AND(A71="",B71=""),"",IF(AND(E71&lt;&gt;"",E71&lt;=0),"Agotado",IF(H71="","Sin fecha",IF(I71&lt;0,"Vencido",IF(I71&lt;=Resumen!$C$5,"Caduca pronto",IF(I71&lt;=Resumen!$C$6,"Revisar pronto","Vigente"))))))</f>
      </c>
      <c r="K71" s="15"/>
      <c r="L71" s="15"/>
      <c r="M71" s="15"/>
    </row>
    <row r="72" spans="1:13" x14ac:dyDescent="0.25">
      <c r="A72" s="15"/>
      <c r="B72" s="15"/>
      <c r="C72" s="15"/>
      <c r="D72" s="15"/>
      <c r="E72" s="16"/>
      <c r="F72" s="15"/>
      <c r="G72" s="15"/>
      <c r="H72" s="17"/>
      <c r="I72" s="13">
        <f>IF(H72="","",H72-TODAY())</f>
      </c>
      <c r="J72" s="14">
        <f>IF(AND(A72="",B72=""),"",IF(AND(E72&lt;&gt;"",E72&lt;=0),"Agotado",IF(H72="","Sin fecha",IF(I72&lt;0,"Vencido",IF(I72&lt;=Resumen!$C$5,"Caduca pronto",IF(I72&lt;=Resumen!$C$6,"Revisar pronto","Vigente"))))))</f>
      </c>
      <c r="K72" s="15"/>
      <c r="L72" s="15"/>
      <c r="M72" s="15"/>
    </row>
    <row r="73" spans="1:13" x14ac:dyDescent="0.25">
      <c r="A73" s="15"/>
      <c r="B73" s="15"/>
      <c r="C73" s="15"/>
      <c r="D73" s="15"/>
      <c r="E73" s="16"/>
      <c r="F73" s="15"/>
      <c r="G73" s="15"/>
      <c r="H73" s="17"/>
      <c r="I73" s="13">
        <f>IF(H73="","",H73-TODAY())</f>
      </c>
      <c r="J73" s="14">
        <f>IF(AND(A73="",B73=""),"",IF(AND(E73&lt;&gt;"",E73&lt;=0),"Agotado",IF(H73="","Sin fecha",IF(I73&lt;0,"Vencido",IF(I73&lt;=Resumen!$C$5,"Caduca pronto",IF(I73&lt;=Resumen!$C$6,"Revisar pronto","Vigente"))))))</f>
      </c>
      <c r="K73" s="15"/>
      <c r="L73" s="15"/>
      <c r="M73" s="15"/>
    </row>
    <row r="74" spans="1:13" x14ac:dyDescent="0.25">
      <c r="A74" s="15"/>
      <c r="B74" s="15"/>
      <c r="C74" s="15"/>
      <c r="D74" s="15"/>
      <c r="E74" s="16"/>
      <c r="F74" s="15"/>
      <c r="G74" s="15"/>
      <c r="H74" s="17"/>
      <c r="I74" s="13">
        <f>IF(H74="","",H74-TODAY())</f>
      </c>
      <c r="J74" s="14">
        <f>IF(AND(A74="",B74=""),"",IF(AND(E74&lt;&gt;"",E74&lt;=0),"Agotado",IF(H74="","Sin fecha",IF(I74&lt;0,"Vencido",IF(I74&lt;=Resumen!$C$5,"Caduca pronto",IF(I74&lt;=Resumen!$C$6,"Revisar pronto","Vigente"))))))</f>
      </c>
      <c r="K74" s="15"/>
      <c r="L74" s="15"/>
      <c r="M74" s="15"/>
    </row>
    <row r="75" spans="1:13" x14ac:dyDescent="0.25">
      <c r="A75" s="15"/>
      <c r="B75" s="15"/>
      <c r="C75" s="15"/>
      <c r="D75" s="15"/>
      <c r="E75" s="16"/>
      <c r="F75" s="15"/>
      <c r="G75" s="15"/>
      <c r="H75" s="17"/>
      <c r="I75" s="13">
        <f>IF(H75="","",H75-TODAY())</f>
      </c>
      <c r="J75" s="14">
        <f>IF(AND(A75="",B75=""),"",IF(AND(E75&lt;&gt;"",E75&lt;=0),"Agotado",IF(H75="","Sin fecha",IF(I75&lt;0,"Vencido",IF(I75&lt;=Resumen!$C$5,"Caduca pronto",IF(I75&lt;=Resumen!$C$6,"Revisar pronto","Vigente"))))))</f>
      </c>
      <c r="K75" s="15"/>
      <c r="L75" s="15"/>
      <c r="M75" s="15"/>
    </row>
    <row r="76" spans="1:13" x14ac:dyDescent="0.25">
      <c r="A76" s="15"/>
      <c r="B76" s="15"/>
      <c r="C76" s="15"/>
      <c r="D76" s="15"/>
      <c r="E76" s="16"/>
      <c r="F76" s="15"/>
      <c r="G76" s="15"/>
      <c r="H76" s="17"/>
      <c r="I76" s="13">
        <f>IF(H76="","",H76-TODAY())</f>
      </c>
      <c r="J76" s="14">
        <f>IF(AND(A76="",B76=""),"",IF(AND(E76&lt;&gt;"",E76&lt;=0),"Agotado",IF(H76="","Sin fecha",IF(I76&lt;0,"Vencido",IF(I76&lt;=Resumen!$C$5,"Caduca pronto",IF(I76&lt;=Resumen!$C$6,"Revisar pronto","Vigente"))))))</f>
      </c>
      <c r="K76" s="15"/>
      <c r="L76" s="15"/>
      <c r="M76" s="15"/>
    </row>
    <row r="77" spans="1:13" x14ac:dyDescent="0.25">
      <c r="A77" s="15"/>
      <c r="B77" s="15"/>
      <c r="C77" s="15"/>
      <c r="D77" s="15"/>
      <c r="E77" s="16"/>
      <c r="F77" s="15"/>
      <c r="G77" s="15"/>
      <c r="H77" s="17"/>
      <c r="I77" s="13">
        <f>IF(H77="","",H77-TODAY())</f>
      </c>
      <c r="J77" s="14">
        <f>IF(AND(A77="",B77=""),"",IF(AND(E77&lt;&gt;"",E77&lt;=0),"Agotado",IF(H77="","Sin fecha",IF(I77&lt;0,"Vencido",IF(I77&lt;=Resumen!$C$5,"Caduca pronto",IF(I77&lt;=Resumen!$C$6,"Revisar pronto","Vigente"))))))</f>
      </c>
      <c r="K77" s="15"/>
      <c r="L77" s="15"/>
      <c r="M77" s="15"/>
    </row>
    <row r="78" spans="1:13" x14ac:dyDescent="0.25">
      <c r="A78" s="15"/>
      <c r="B78" s="15"/>
      <c r="C78" s="15"/>
      <c r="D78" s="15"/>
      <c r="E78" s="16"/>
      <c r="F78" s="15"/>
      <c r="G78" s="15"/>
      <c r="H78" s="17"/>
      <c r="I78" s="13">
        <f>IF(H78="","",H78-TODAY())</f>
      </c>
      <c r="J78" s="14">
        <f>IF(AND(A78="",B78=""),"",IF(AND(E78&lt;&gt;"",E78&lt;=0),"Agotado",IF(H78="","Sin fecha",IF(I78&lt;0,"Vencido",IF(I78&lt;=Resumen!$C$5,"Caduca pronto",IF(I78&lt;=Resumen!$C$6,"Revisar pronto","Vigente"))))))</f>
      </c>
      <c r="K78" s="15"/>
      <c r="L78" s="15"/>
      <c r="M78" s="15"/>
    </row>
    <row r="79" spans="1:13" x14ac:dyDescent="0.25">
      <c r="A79" s="15"/>
      <c r="B79" s="15"/>
      <c r="C79" s="15"/>
      <c r="D79" s="15"/>
      <c r="E79" s="16"/>
      <c r="F79" s="15"/>
      <c r="G79" s="15"/>
      <c r="H79" s="17"/>
      <c r="I79" s="13">
        <f>IF(H79="","",H79-TODAY())</f>
      </c>
      <c r="J79" s="14">
        <f>IF(AND(A79="",B79=""),"",IF(AND(E79&lt;&gt;"",E79&lt;=0),"Agotado",IF(H79="","Sin fecha",IF(I79&lt;0,"Vencido",IF(I79&lt;=Resumen!$C$5,"Caduca pronto",IF(I79&lt;=Resumen!$C$6,"Revisar pronto","Vigente"))))))</f>
      </c>
      <c r="K79" s="15"/>
      <c r="L79" s="15"/>
      <c r="M79" s="15"/>
    </row>
    <row r="80" spans="1:13" x14ac:dyDescent="0.25">
      <c r="A80" s="15"/>
      <c r="B80" s="15"/>
      <c r="C80" s="15"/>
      <c r="D80" s="15"/>
      <c r="E80" s="16"/>
      <c r="F80" s="15"/>
      <c r="G80" s="15"/>
      <c r="H80" s="17"/>
      <c r="I80" s="13">
        <f>IF(H80="","",H80-TODAY())</f>
      </c>
      <c r="J80" s="14">
        <f>IF(AND(A80="",B80=""),"",IF(AND(E80&lt;&gt;"",E80&lt;=0),"Agotado",IF(H80="","Sin fecha",IF(I80&lt;0,"Vencido",IF(I80&lt;=Resumen!$C$5,"Caduca pronto",IF(I80&lt;=Resumen!$C$6,"Revisar pronto","Vigente"))))))</f>
      </c>
      <c r="K80" s="15"/>
      <c r="L80" s="15"/>
      <c r="M80" s="15"/>
    </row>
    <row r="81" spans="1:13" x14ac:dyDescent="0.25">
      <c r="A81" s="15"/>
      <c r="B81" s="15"/>
      <c r="C81" s="15"/>
      <c r="D81" s="15"/>
      <c r="E81" s="16"/>
      <c r="F81" s="15"/>
      <c r="G81" s="15"/>
      <c r="H81" s="17"/>
      <c r="I81" s="13">
        <f>IF(H81="","",H81-TODAY())</f>
      </c>
      <c r="J81" s="14">
        <f>IF(AND(A81="",B81=""),"",IF(AND(E81&lt;&gt;"",E81&lt;=0),"Agotado",IF(H81="","Sin fecha",IF(I81&lt;0,"Vencido",IF(I81&lt;=Resumen!$C$5,"Caduca pronto",IF(I81&lt;=Resumen!$C$6,"Revisar pronto","Vigente"))))))</f>
      </c>
      <c r="K81" s="15"/>
      <c r="L81" s="15"/>
      <c r="M81" s="15"/>
    </row>
    <row r="82" spans="1:13" x14ac:dyDescent="0.25">
      <c r="A82" s="15"/>
      <c r="B82" s="15"/>
      <c r="C82" s="15"/>
      <c r="D82" s="15"/>
      <c r="E82" s="16"/>
      <c r="F82" s="15"/>
      <c r="G82" s="15"/>
      <c r="H82" s="17"/>
      <c r="I82" s="13">
        <f>IF(H82="","",H82-TODAY())</f>
      </c>
      <c r="J82" s="14">
        <f>IF(AND(A82="",B82=""),"",IF(AND(E82&lt;&gt;"",E82&lt;=0),"Agotado",IF(H82="","Sin fecha",IF(I82&lt;0,"Vencido",IF(I82&lt;=Resumen!$C$5,"Caduca pronto",IF(I82&lt;=Resumen!$C$6,"Revisar pronto","Vigente"))))))</f>
      </c>
      <c r="K82" s="15"/>
      <c r="L82" s="15"/>
      <c r="M82" s="15"/>
    </row>
    <row r="83" spans="1:13" x14ac:dyDescent="0.25">
      <c r="A83" s="15"/>
      <c r="B83" s="15"/>
      <c r="C83" s="15"/>
      <c r="D83" s="15"/>
      <c r="E83" s="16"/>
      <c r="F83" s="15"/>
      <c r="G83" s="15"/>
      <c r="H83" s="17"/>
      <c r="I83" s="13">
        <f>IF(H83="","",H83-TODAY())</f>
      </c>
      <c r="J83" s="14">
        <f>IF(AND(A83="",B83=""),"",IF(AND(E83&lt;&gt;"",E83&lt;=0),"Agotado",IF(H83="","Sin fecha",IF(I83&lt;0,"Vencido",IF(I83&lt;=Resumen!$C$5,"Caduca pronto",IF(I83&lt;=Resumen!$C$6,"Revisar pronto","Vigente"))))))</f>
      </c>
      <c r="K83" s="15"/>
      <c r="L83" s="15"/>
      <c r="M83" s="15"/>
    </row>
    <row r="84" spans="1:13" x14ac:dyDescent="0.25">
      <c r="A84" s="15"/>
      <c r="B84" s="15"/>
      <c r="C84" s="15"/>
      <c r="D84" s="15"/>
      <c r="E84" s="16"/>
      <c r="F84" s="15"/>
      <c r="G84" s="15"/>
      <c r="H84" s="17"/>
      <c r="I84" s="13">
        <f>IF(H84="","",H84-TODAY())</f>
      </c>
      <c r="J84" s="14">
        <f>IF(AND(A84="",B84=""),"",IF(AND(E84&lt;&gt;"",E84&lt;=0),"Agotado",IF(H84="","Sin fecha",IF(I84&lt;0,"Vencido",IF(I84&lt;=Resumen!$C$5,"Caduca pronto",IF(I84&lt;=Resumen!$C$6,"Revisar pronto","Vigente"))))))</f>
      </c>
      <c r="K84" s="15"/>
      <c r="L84" s="15"/>
      <c r="M84" s="15"/>
    </row>
    <row r="85" spans="1:13" x14ac:dyDescent="0.25">
      <c r="A85" s="15"/>
      <c r="B85" s="15"/>
      <c r="C85" s="15"/>
      <c r="D85" s="15"/>
      <c r="E85" s="16"/>
      <c r="F85" s="15"/>
      <c r="G85" s="15"/>
      <c r="H85" s="17"/>
      <c r="I85" s="13">
        <f>IF(H85="","",H85-TODAY())</f>
      </c>
      <c r="J85" s="14">
        <f>IF(AND(A85="",B85=""),"",IF(AND(E85&lt;&gt;"",E85&lt;=0),"Agotado",IF(H85="","Sin fecha",IF(I85&lt;0,"Vencido",IF(I85&lt;=Resumen!$C$5,"Caduca pronto",IF(I85&lt;=Resumen!$C$6,"Revisar pronto","Vigente"))))))</f>
      </c>
      <c r="K85" s="15"/>
      <c r="L85" s="15"/>
      <c r="M85" s="15"/>
    </row>
    <row r="86" spans="1:13" x14ac:dyDescent="0.25">
      <c r="A86" s="15"/>
      <c r="B86" s="15"/>
      <c r="C86" s="15"/>
      <c r="D86" s="15"/>
      <c r="E86" s="16"/>
      <c r="F86" s="15"/>
      <c r="G86" s="15"/>
      <c r="H86" s="17"/>
      <c r="I86" s="13">
        <f>IF(H86="","",H86-TODAY())</f>
      </c>
      <c r="J86" s="14">
        <f>IF(AND(A86="",B86=""),"",IF(AND(E86&lt;&gt;"",E86&lt;=0),"Agotado",IF(H86="","Sin fecha",IF(I86&lt;0,"Vencido",IF(I86&lt;=Resumen!$C$5,"Caduca pronto",IF(I86&lt;=Resumen!$C$6,"Revisar pronto","Vigente"))))))</f>
      </c>
      <c r="K86" s="15"/>
      <c r="L86" s="15"/>
      <c r="M86" s="15"/>
    </row>
    <row r="87" spans="1:13" x14ac:dyDescent="0.25">
      <c r="A87" s="15"/>
      <c r="B87" s="15"/>
      <c r="C87" s="15"/>
      <c r="D87" s="15"/>
      <c r="E87" s="16"/>
      <c r="F87" s="15"/>
      <c r="G87" s="15"/>
      <c r="H87" s="17"/>
      <c r="I87" s="13">
        <f>IF(H87="","",H87-TODAY())</f>
      </c>
      <c r="J87" s="14">
        <f>IF(AND(A87="",B87=""),"",IF(AND(E87&lt;&gt;"",E87&lt;=0),"Agotado",IF(H87="","Sin fecha",IF(I87&lt;0,"Vencido",IF(I87&lt;=Resumen!$C$5,"Caduca pronto",IF(I87&lt;=Resumen!$C$6,"Revisar pronto","Vigente"))))))</f>
      </c>
      <c r="K87" s="15"/>
      <c r="L87" s="15"/>
      <c r="M87" s="15"/>
    </row>
    <row r="88" spans="1:13" x14ac:dyDescent="0.25">
      <c r="A88" s="15"/>
      <c r="B88" s="15"/>
      <c r="C88" s="15"/>
      <c r="D88" s="15"/>
      <c r="E88" s="16"/>
      <c r="F88" s="15"/>
      <c r="G88" s="15"/>
      <c r="H88" s="17"/>
      <c r="I88" s="13">
        <f>IF(H88="","",H88-TODAY())</f>
      </c>
      <c r="J88" s="14">
        <f>IF(AND(A88="",B88=""),"",IF(AND(E88&lt;&gt;"",E88&lt;=0),"Agotado",IF(H88="","Sin fecha",IF(I88&lt;0,"Vencido",IF(I88&lt;=Resumen!$C$5,"Caduca pronto",IF(I88&lt;=Resumen!$C$6,"Revisar pronto","Vigente"))))))</f>
      </c>
      <c r="K88" s="15"/>
      <c r="L88" s="15"/>
      <c r="M88" s="15"/>
    </row>
    <row r="89" spans="1:13" x14ac:dyDescent="0.25">
      <c r="A89" s="15"/>
      <c r="B89" s="15"/>
      <c r="C89" s="15"/>
      <c r="D89" s="15"/>
      <c r="E89" s="16"/>
      <c r="F89" s="15"/>
      <c r="G89" s="15"/>
      <c r="H89" s="17"/>
      <c r="I89" s="13">
        <f>IF(H89="","",H89-TODAY())</f>
      </c>
      <c r="J89" s="14">
        <f>IF(AND(A89="",B89=""),"",IF(AND(E89&lt;&gt;"",E89&lt;=0),"Agotado",IF(H89="","Sin fecha",IF(I89&lt;0,"Vencido",IF(I89&lt;=Resumen!$C$5,"Caduca pronto",IF(I89&lt;=Resumen!$C$6,"Revisar pronto","Vigente"))))))</f>
      </c>
      <c r="K89" s="15"/>
      <c r="L89" s="15"/>
      <c r="M89" s="15"/>
    </row>
    <row r="90" spans="1:13" x14ac:dyDescent="0.25">
      <c r="A90" s="15"/>
      <c r="B90" s="15"/>
      <c r="C90" s="15"/>
      <c r="D90" s="15"/>
      <c r="E90" s="16"/>
      <c r="F90" s="15"/>
      <c r="G90" s="15"/>
      <c r="H90" s="17"/>
      <c r="I90" s="13">
        <f>IF(H90="","",H90-TODAY())</f>
      </c>
      <c r="J90" s="14">
        <f>IF(AND(A90="",B90=""),"",IF(AND(E90&lt;&gt;"",E90&lt;=0),"Agotado",IF(H90="","Sin fecha",IF(I90&lt;0,"Vencido",IF(I90&lt;=Resumen!$C$5,"Caduca pronto",IF(I90&lt;=Resumen!$C$6,"Revisar pronto","Vigente"))))))</f>
      </c>
      <c r="K90" s="15"/>
      <c r="L90" s="15"/>
      <c r="M90" s="15"/>
    </row>
    <row r="91" spans="1:13" x14ac:dyDescent="0.25">
      <c r="A91" s="15"/>
      <c r="B91" s="15"/>
      <c r="C91" s="15"/>
      <c r="D91" s="15"/>
      <c r="E91" s="16"/>
      <c r="F91" s="15"/>
      <c r="G91" s="15"/>
      <c r="H91" s="17"/>
      <c r="I91" s="13">
        <f>IF(H91="","",H91-TODAY())</f>
      </c>
      <c r="J91" s="14">
        <f>IF(AND(A91="",B91=""),"",IF(AND(E91&lt;&gt;"",E91&lt;=0),"Agotado",IF(H91="","Sin fecha",IF(I91&lt;0,"Vencido",IF(I91&lt;=Resumen!$C$5,"Caduca pronto",IF(I91&lt;=Resumen!$C$6,"Revisar pronto","Vigente"))))))</f>
      </c>
      <c r="K91" s="15"/>
      <c r="L91" s="15"/>
      <c r="M91" s="15"/>
    </row>
    <row r="92" spans="1:13" x14ac:dyDescent="0.25">
      <c r="A92" s="15"/>
      <c r="B92" s="15"/>
      <c r="C92" s="15"/>
      <c r="D92" s="15"/>
      <c r="E92" s="16"/>
      <c r="F92" s="15"/>
      <c r="G92" s="15"/>
      <c r="H92" s="17"/>
      <c r="I92" s="13">
        <f>IF(H92="","",H92-TODAY())</f>
      </c>
      <c r="J92" s="14">
        <f>IF(AND(A92="",B92=""),"",IF(AND(E92&lt;&gt;"",E92&lt;=0),"Agotado",IF(H92="","Sin fecha",IF(I92&lt;0,"Vencido",IF(I92&lt;=Resumen!$C$5,"Caduca pronto",IF(I92&lt;=Resumen!$C$6,"Revisar pronto","Vigente"))))))</f>
      </c>
      <c r="K92" s="15"/>
      <c r="L92" s="15"/>
      <c r="M92" s="15"/>
    </row>
    <row r="93" spans="1:13" x14ac:dyDescent="0.25">
      <c r="A93" s="15"/>
      <c r="B93" s="15"/>
      <c r="C93" s="15"/>
      <c r="D93" s="15"/>
      <c r="E93" s="16"/>
      <c r="F93" s="15"/>
      <c r="G93" s="15"/>
      <c r="H93" s="17"/>
      <c r="I93" s="13">
        <f>IF(H93="","",H93-TODAY())</f>
      </c>
      <c r="J93" s="14">
        <f>IF(AND(A93="",B93=""),"",IF(AND(E93&lt;&gt;"",E93&lt;=0),"Agotado",IF(H93="","Sin fecha",IF(I93&lt;0,"Vencido",IF(I93&lt;=Resumen!$C$5,"Caduca pronto",IF(I93&lt;=Resumen!$C$6,"Revisar pronto","Vigente"))))))</f>
      </c>
      <c r="K93" s="15"/>
      <c r="L93" s="15"/>
      <c r="M93" s="15"/>
    </row>
    <row r="94" spans="1:13" x14ac:dyDescent="0.25">
      <c r="A94" s="15"/>
      <c r="B94" s="15"/>
      <c r="C94" s="15"/>
      <c r="D94" s="15"/>
      <c r="E94" s="16"/>
      <c r="F94" s="15"/>
      <c r="G94" s="15"/>
      <c r="H94" s="17"/>
      <c r="I94" s="13">
        <f>IF(H94="","",H94-TODAY())</f>
      </c>
      <c r="J94" s="14">
        <f>IF(AND(A94="",B94=""),"",IF(AND(E94&lt;&gt;"",E94&lt;=0),"Agotado",IF(H94="","Sin fecha",IF(I94&lt;0,"Vencido",IF(I94&lt;=Resumen!$C$5,"Caduca pronto",IF(I94&lt;=Resumen!$C$6,"Revisar pronto","Vigente"))))))</f>
      </c>
      <c r="K94" s="15"/>
      <c r="L94" s="15"/>
      <c r="M94" s="15"/>
    </row>
    <row r="95" spans="1:13" x14ac:dyDescent="0.25">
      <c r="A95" s="15"/>
      <c r="B95" s="15"/>
      <c r="C95" s="15"/>
      <c r="D95" s="15"/>
      <c r="E95" s="16"/>
      <c r="F95" s="15"/>
      <c r="G95" s="15"/>
      <c r="H95" s="17"/>
      <c r="I95" s="13">
        <f>IF(H95="","",H95-TODAY())</f>
      </c>
      <c r="J95" s="14">
        <f>IF(AND(A95="",B95=""),"",IF(AND(E95&lt;&gt;"",E95&lt;=0),"Agotado",IF(H95="","Sin fecha",IF(I95&lt;0,"Vencido",IF(I95&lt;=Resumen!$C$5,"Caduca pronto",IF(I95&lt;=Resumen!$C$6,"Revisar pronto","Vigente"))))))</f>
      </c>
      <c r="K95" s="15"/>
      <c r="L95" s="15"/>
      <c r="M95" s="15"/>
    </row>
    <row r="96" spans="1:13" x14ac:dyDescent="0.25">
      <c r="A96" s="15"/>
      <c r="B96" s="15"/>
      <c r="C96" s="15"/>
      <c r="D96" s="15"/>
      <c r="E96" s="16"/>
      <c r="F96" s="15"/>
      <c r="G96" s="15"/>
      <c r="H96" s="17"/>
      <c r="I96" s="13">
        <f>IF(H96="","",H96-TODAY())</f>
      </c>
      <c r="J96" s="14">
        <f>IF(AND(A96="",B96=""),"",IF(AND(E96&lt;&gt;"",E96&lt;=0),"Agotado",IF(H96="","Sin fecha",IF(I96&lt;0,"Vencido",IF(I96&lt;=Resumen!$C$5,"Caduca pronto",IF(I96&lt;=Resumen!$C$6,"Revisar pronto","Vigente"))))))</f>
      </c>
      <c r="K96" s="15"/>
      <c r="L96" s="15"/>
      <c r="M96" s="15"/>
    </row>
    <row r="97" spans="1:13" x14ac:dyDescent="0.25">
      <c r="A97" s="15"/>
      <c r="B97" s="15"/>
      <c r="C97" s="15"/>
      <c r="D97" s="15"/>
      <c r="E97" s="16"/>
      <c r="F97" s="15"/>
      <c r="G97" s="15"/>
      <c r="H97" s="17"/>
      <c r="I97" s="13">
        <f>IF(H97="","",H97-TODAY())</f>
      </c>
      <c r="J97" s="14">
        <f>IF(AND(A97="",B97=""),"",IF(AND(E97&lt;&gt;"",E97&lt;=0),"Agotado",IF(H97="","Sin fecha",IF(I97&lt;0,"Vencido",IF(I97&lt;=Resumen!$C$5,"Caduca pronto",IF(I97&lt;=Resumen!$C$6,"Revisar pronto","Vigente"))))))</f>
      </c>
      <c r="K97" s="15"/>
      <c r="L97" s="15"/>
      <c r="M97" s="15"/>
    </row>
    <row r="98" spans="1:13" x14ac:dyDescent="0.25">
      <c r="A98" s="15"/>
      <c r="B98" s="15"/>
      <c r="C98" s="15"/>
      <c r="D98" s="15"/>
      <c r="E98" s="16"/>
      <c r="F98" s="15"/>
      <c r="G98" s="15"/>
      <c r="H98" s="17"/>
      <c r="I98" s="13">
        <f>IF(H98="","",H98-TODAY())</f>
      </c>
      <c r="J98" s="14">
        <f>IF(AND(A98="",B98=""),"",IF(AND(E98&lt;&gt;"",E98&lt;=0),"Agotado",IF(H98="","Sin fecha",IF(I98&lt;0,"Vencido",IF(I98&lt;=Resumen!$C$5,"Caduca pronto",IF(I98&lt;=Resumen!$C$6,"Revisar pronto","Vigente"))))))</f>
      </c>
      <c r="K98" s="15"/>
      <c r="L98" s="15"/>
      <c r="M98" s="15"/>
    </row>
    <row r="99" spans="1:13" x14ac:dyDescent="0.25">
      <c r="A99" s="15"/>
      <c r="B99" s="15"/>
      <c r="C99" s="15"/>
      <c r="D99" s="15"/>
      <c r="E99" s="16"/>
      <c r="F99" s="15"/>
      <c r="G99" s="15"/>
      <c r="H99" s="17"/>
      <c r="I99" s="13">
        <f>IF(H99="","",H99-TODAY())</f>
      </c>
      <c r="J99" s="14">
        <f>IF(AND(A99="",B99=""),"",IF(AND(E99&lt;&gt;"",E99&lt;=0),"Agotado",IF(H99="","Sin fecha",IF(I99&lt;0,"Vencido",IF(I99&lt;=Resumen!$C$5,"Caduca pronto",IF(I99&lt;=Resumen!$C$6,"Revisar pronto","Vigente"))))))</f>
      </c>
      <c r="K99" s="15"/>
      <c r="L99" s="15"/>
      <c r="M99" s="15"/>
    </row>
    <row r="100" spans="1:13" x14ac:dyDescent="0.25">
      <c r="A100" s="15"/>
      <c r="B100" s="15"/>
      <c r="C100" s="15"/>
      <c r="D100" s="15"/>
      <c r="E100" s="16"/>
      <c r="F100" s="15"/>
      <c r="G100" s="15"/>
      <c r="H100" s="17"/>
      <c r="I100" s="13">
        <f>IF(H100="","",H100-TODAY())</f>
      </c>
      <c r="J100" s="14">
        <f>IF(AND(A100="",B100=""),"",IF(AND(E100&lt;&gt;"",E100&lt;=0),"Agotado",IF(H100="","Sin fecha",IF(I100&lt;0,"Vencido",IF(I100&lt;=Resumen!$C$5,"Caduca pronto",IF(I100&lt;=Resumen!$C$6,"Revisar pronto","Vigente"))))))</f>
      </c>
      <c r="K100" s="15"/>
      <c r="L100" s="15"/>
      <c r="M100" s="15"/>
    </row>
    <row r="101" spans="1:13" x14ac:dyDescent="0.25">
      <c r="A101" s="15"/>
      <c r="B101" s="15"/>
      <c r="C101" s="15"/>
      <c r="D101" s="15"/>
      <c r="E101" s="16"/>
      <c r="F101" s="15"/>
      <c r="G101" s="15"/>
      <c r="H101" s="17"/>
      <c r="I101" s="13">
        <f>IF(H101="","",H101-TODAY())</f>
      </c>
      <c r="J101" s="14">
        <f>IF(AND(A101="",B101=""),"",IF(AND(E101&lt;&gt;"",E101&lt;=0),"Agotado",IF(H101="","Sin fecha",IF(I101&lt;0,"Vencido",IF(I101&lt;=Resumen!$C$5,"Caduca pronto",IF(I101&lt;=Resumen!$C$6,"Revisar pronto","Vigente"))))))</f>
      </c>
      <c r="K101" s="15"/>
      <c r="L101" s="15"/>
      <c r="M101" s="15"/>
    </row>
    <row r="102" spans="1:13" x14ac:dyDescent="0.25">
      <c r="A102" s="15"/>
      <c r="B102" s="15"/>
      <c r="C102" s="15"/>
      <c r="D102" s="15"/>
      <c r="E102" s="16"/>
      <c r="F102" s="15"/>
      <c r="G102" s="15"/>
      <c r="H102" s="17"/>
      <c r="I102" s="13">
        <f>IF(H102="","",H102-TODAY())</f>
      </c>
      <c r="J102" s="14">
        <f>IF(AND(A102="",B102=""),"",IF(AND(E102&lt;&gt;"",E102&lt;=0),"Agotado",IF(H102="","Sin fecha",IF(I102&lt;0,"Vencido",IF(I102&lt;=Resumen!$C$5,"Caduca pronto",IF(I102&lt;=Resumen!$C$6,"Revisar pronto","Vigente"))))))</f>
      </c>
      <c r="K102" s="15"/>
      <c r="L102" s="15"/>
      <c r="M102" s="15"/>
    </row>
    <row r="103" spans="1:13" x14ac:dyDescent="0.25">
      <c r="A103" s="15"/>
      <c r="B103" s="15"/>
      <c r="C103" s="15"/>
      <c r="D103" s="15"/>
      <c r="E103" s="16"/>
      <c r="F103" s="15"/>
      <c r="G103" s="15"/>
      <c r="H103" s="17"/>
      <c r="I103" s="13">
        <f>IF(H103="","",H103-TODAY())</f>
      </c>
      <c r="J103" s="14">
        <f>IF(AND(A103="",B103=""),"",IF(AND(E103&lt;&gt;"",E103&lt;=0),"Agotado",IF(H103="","Sin fecha",IF(I103&lt;0,"Vencido",IF(I103&lt;=Resumen!$C$5,"Caduca pronto",IF(I103&lt;=Resumen!$C$6,"Revisar pronto","Vigente"))))))</f>
      </c>
      <c r="K103" s="15"/>
      <c r="L103" s="15"/>
      <c r="M103" s="15"/>
    </row>
    <row r="104" spans="1:13" x14ac:dyDescent="0.25">
      <c r="A104" s="15"/>
      <c r="B104" s="15"/>
      <c r="C104" s="15"/>
      <c r="D104" s="15"/>
      <c r="E104" s="16"/>
      <c r="F104" s="15"/>
      <c r="G104" s="15"/>
      <c r="H104" s="17"/>
      <c r="I104" s="13">
        <f>IF(H104="","",H104-TODAY())</f>
      </c>
      <c r="J104" s="14">
        <f>IF(AND(A104="",B104=""),"",IF(AND(E104&lt;&gt;"",E104&lt;=0),"Agotado",IF(H104="","Sin fecha",IF(I104&lt;0,"Vencido",IF(I104&lt;=Resumen!$C$5,"Caduca pronto",IF(I104&lt;=Resumen!$C$6,"Revisar pronto","Vigente"))))))</f>
      </c>
      <c r="K104" s="15"/>
      <c r="L104" s="15"/>
      <c r="M104" s="15"/>
    </row>
    <row r="105" spans="1:13" x14ac:dyDescent="0.25">
      <c r="A105" s="15"/>
      <c r="B105" s="15"/>
      <c r="C105" s="15"/>
      <c r="D105" s="15"/>
      <c r="E105" s="16"/>
      <c r="F105" s="15"/>
      <c r="G105" s="15"/>
      <c r="H105" s="17"/>
      <c r="I105" s="13">
        <f>IF(H105="","",H105-TODAY())</f>
      </c>
      <c r="J105" s="14">
        <f>IF(AND(A105="",B105=""),"",IF(AND(E105&lt;&gt;"",E105&lt;=0),"Agotado",IF(H105="","Sin fecha",IF(I105&lt;0,"Vencido",IF(I105&lt;=Resumen!$C$5,"Caduca pronto",IF(I105&lt;=Resumen!$C$6,"Revisar pronto","Vigente"))))))</f>
      </c>
      <c r="K105" s="15"/>
      <c r="L105" s="15"/>
      <c r="M105" s="15"/>
    </row>
    <row r="106" spans="1:13" x14ac:dyDescent="0.25">
      <c r="A106" s="15"/>
      <c r="B106" s="15"/>
      <c r="C106" s="15"/>
      <c r="D106" s="15"/>
      <c r="E106" s="16"/>
      <c r="F106" s="15"/>
      <c r="G106" s="15"/>
      <c r="H106" s="17"/>
      <c r="I106" s="13">
        <f>IF(H106="","",H106-TODAY())</f>
      </c>
      <c r="J106" s="14">
        <f>IF(AND(A106="",B106=""),"",IF(AND(E106&lt;&gt;"",E106&lt;=0),"Agotado",IF(H106="","Sin fecha",IF(I106&lt;0,"Vencido",IF(I106&lt;=Resumen!$C$5,"Caduca pronto",IF(I106&lt;=Resumen!$C$6,"Revisar pronto","Vigente"))))))</f>
      </c>
      <c r="K106" s="15"/>
      <c r="L106" s="15"/>
      <c r="M106" s="15"/>
    </row>
    <row r="107" spans="1:13" x14ac:dyDescent="0.25">
      <c r="A107" s="15"/>
      <c r="B107" s="15"/>
      <c r="C107" s="15"/>
      <c r="D107" s="15"/>
      <c r="E107" s="16"/>
      <c r="F107" s="15"/>
      <c r="G107" s="15"/>
      <c r="H107" s="17"/>
      <c r="I107" s="13">
        <f>IF(H107="","",H107-TODAY())</f>
      </c>
      <c r="J107" s="14">
        <f>IF(AND(A107="",B107=""),"",IF(AND(E107&lt;&gt;"",E107&lt;=0),"Agotado",IF(H107="","Sin fecha",IF(I107&lt;0,"Vencido",IF(I107&lt;=Resumen!$C$5,"Caduca pronto",IF(I107&lt;=Resumen!$C$6,"Revisar pronto","Vigente"))))))</f>
      </c>
      <c r="K107" s="15"/>
      <c r="L107" s="15"/>
      <c r="M107" s="15"/>
    </row>
    <row r="108" spans="1:13" x14ac:dyDescent="0.25">
      <c r="A108" s="15"/>
      <c r="B108" s="15"/>
      <c r="C108" s="15"/>
      <c r="D108" s="15"/>
      <c r="E108" s="16"/>
      <c r="F108" s="15"/>
      <c r="G108" s="15"/>
      <c r="H108" s="17"/>
      <c r="I108" s="13">
        <f>IF(H108="","",H108-TODAY())</f>
      </c>
      <c r="J108" s="14">
        <f>IF(AND(A108="",B108=""),"",IF(AND(E108&lt;&gt;"",E108&lt;=0),"Agotado",IF(H108="","Sin fecha",IF(I108&lt;0,"Vencido",IF(I108&lt;=Resumen!$C$5,"Caduca pronto",IF(I108&lt;=Resumen!$C$6,"Revisar pronto","Vigente"))))))</f>
      </c>
      <c r="K108" s="15"/>
      <c r="L108" s="15"/>
      <c r="M108" s="15"/>
    </row>
    <row r="109" spans="1:13" x14ac:dyDescent="0.25">
      <c r="A109" s="15"/>
      <c r="B109" s="15"/>
      <c r="C109" s="15"/>
      <c r="D109" s="15"/>
      <c r="E109" s="16"/>
      <c r="F109" s="15"/>
      <c r="G109" s="15"/>
      <c r="H109" s="17"/>
      <c r="I109" s="13">
        <f>IF(H109="","",H109-TODAY())</f>
      </c>
      <c r="J109" s="14">
        <f>IF(AND(A109="",B109=""),"",IF(AND(E109&lt;&gt;"",E109&lt;=0),"Agotado",IF(H109="","Sin fecha",IF(I109&lt;0,"Vencido",IF(I109&lt;=Resumen!$C$5,"Caduca pronto",IF(I109&lt;=Resumen!$C$6,"Revisar pronto","Vigente"))))))</f>
      </c>
      <c r="K109" s="15"/>
      <c r="L109" s="15"/>
      <c r="M109" s="15"/>
    </row>
    <row r="110" spans="1:13" x14ac:dyDescent="0.25">
      <c r="A110" s="15"/>
      <c r="B110" s="15"/>
      <c r="C110" s="15"/>
      <c r="D110" s="15"/>
      <c r="E110" s="16"/>
      <c r="F110" s="15"/>
      <c r="G110" s="15"/>
      <c r="H110" s="17"/>
      <c r="I110" s="13">
        <f>IF(H110="","",H110-TODAY())</f>
      </c>
      <c r="J110" s="14">
        <f>IF(AND(A110="",B110=""),"",IF(AND(E110&lt;&gt;"",E110&lt;=0),"Agotado",IF(H110="","Sin fecha",IF(I110&lt;0,"Vencido",IF(I110&lt;=Resumen!$C$5,"Caduca pronto",IF(I110&lt;=Resumen!$C$6,"Revisar pronto","Vigente"))))))</f>
      </c>
      <c r="K110" s="15"/>
      <c r="L110" s="15"/>
      <c r="M110" s="15"/>
    </row>
    <row r="111" spans="1:13" x14ac:dyDescent="0.25">
      <c r="A111" s="15"/>
      <c r="B111" s="15"/>
      <c r="C111" s="15"/>
      <c r="D111" s="15"/>
      <c r="E111" s="16"/>
      <c r="F111" s="15"/>
      <c r="G111" s="15"/>
      <c r="H111" s="17"/>
      <c r="I111" s="13">
        <f>IF(H111="","",H111-TODAY())</f>
      </c>
      <c r="J111" s="14">
        <f>IF(AND(A111="",B111=""),"",IF(AND(E111&lt;&gt;"",E111&lt;=0),"Agotado",IF(H111="","Sin fecha",IF(I111&lt;0,"Vencido",IF(I111&lt;=Resumen!$C$5,"Caduca pronto",IF(I111&lt;=Resumen!$C$6,"Revisar pronto","Vigente"))))))</f>
      </c>
      <c r="K111" s="15"/>
      <c r="L111" s="15"/>
      <c r="M111" s="15"/>
    </row>
    <row r="112" spans="1:13" x14ac:dyDescent="0.25">
      <c r="A112" s="15"/>
      <c r="B112" s="15"/>
      <c r="C112" s="15"/>
      <c r="D112" s="15"/>
      <c r="E112" s="16"/>
      <c r="F112" s="15"/>
      <c r="G112" s="15"/>
      <c r="H112" s="17"/>
      <c r="I112" s="13">
        <f>IF(H112="","",H112-TODAY())</f>
      </c>
      <c r="J112" s="14">
        <f>IF(AND(A112="",B112=""),"",IF(AND(E112&lt;&gt;"",E112&lt;=0),"Agotado",IF(H112="","Sin fecha",IF(I112&lt;0,"Vencido",IF(I112&lt;=Resumen!$C$5,"Caduca pronto",IF(I112&lt;=Resumen!$C$6,"Revisar pronto","Vigente"))))))</f>
      </c>
      <c r="K112" s="15"/>
      <c r="L112" s="15"/>
      <c r="M112" s="15"/>
    </row>
    <row r="113" spans="1:13" x14ac:dyDescent="0.25">
      <c r="A113" s="15"/>
      <c r="B113" s="15"/>
      <c r="C113" s="15"/>
      <c r="D113" s="15"/>
      <c r="E113" s="16"/>
      <c r="F113" s="15"/>
      <c r="G113" s="15"/>
      <c r="H113" s="17"/>
      <c r="I113" s="13">
        <f>IF(H113="","",H113-TODAY())</f>
      </c>
      <c r="J113" s="14">
        <f>IF(AND(A113="",B113=""),"",IF(AND(E113&lt;&gt;"",E113&lt;=0),"Agotado",IF(H113="","Sin fecha",IF(I113&lt;0,"Vencido",IF(I113&lt;=Resumen!$C$5,"Caduca pronto",IF(I113&lt;=Resumen!$C$6,"Revisar pronto","Vigente"))))))</f>
      </c>
      <c r="K113" s="15"/>
      <c r="L113" s="15"/>
      <c r="M113" s="15"/>
    </row>
    <row r="114" spans="1:13" x14ac:dyDescent="0.25">
      <c r="A114" s="15"/>
      <c r="B114" s="15"/>
      <c r="C114" s="15"/>
      <c r="D114" s="15"/>
      <c r="E114" s="16"/>
      <c r="F114" s="15"/>
      <c r="G114" s="15"/>
      <c r="H114" s="17"/>
      <c r="I114" s="13">
        <f>IF(H114="","",H114-TODAY())</f>
      </c>
      <c r="J114" s="14">
        <f>IF(AND(A114="",B114=""),"",IF(AND(E114&lt;&gt;"",E114&lt;=0),"Agotado",IF(H114="","Sin fecha",IF(I114&lt;0,"Vencido",IF(I114&lt;=Resumen!$C$5,"Caduca pronto",IF(I114&lt;=Resumen!$C$6,"Revisar pronto","Vigente"))))))</f>
      </c>
      <c r="K114" s="15"/>
      <c r="L114" s="15"/>
      <c r="M114" s="15"/>
    </row>
    <row r="115" spans="1:13" x14ac:dyDescent="0.25">
      <c r="A115" s="15"/>
      <c r="B115" s="15"/>
      <c r="C115" s="15"/>
      <c r="D115" s="15"/>
      <c r="E115" s="16"/>
      <c r="F115" s="15"/>
      <c r="G115" s="15"/>
      <c r="H115" s="17"/>
      <c r="I115" s="13">
        <f>IF(H115="","",H115-TODAY())</f>
      </c>
      <c r="J115" s="14">
        <f>IF(AND(A115="",B115=""),"",IF(AND(E115&lt;&gt;"",E115&lt;=0),"Agotado",IF(H115="","Sin fecha",IF(I115&lt;0,"Vencido",IF(I115&lt;=Resumen!$C$5,"Caduca pronto",IF(I115&lt;=Resumen!$C$6,"Revisar pronto","Vigente"))))))</f>
      </c>
      <c r="K115" s="15"/>
      <c r="L115" s="15"/>
      <c r="M115" s="15"/>
    </row>
    <row r="116" spans="1:13" x14ac:dyDescent="0.25">
      <c r="A116" s="15"/>
      <c r="B116" s="15"/>
      <c r="C116" s="15"/>
      <c r="D116" s="15"/>
      <c r="E116" s="16"/>
      <c r="F116" s="15"/>
      <c r="G116" s="15"/>
      <c r="H116" s="17"/>
      <c r="I116" s="13">
        <f>IF(H116="","",H116-TODAY())</f>
      </c>
      <c r="J116" s="14">
        <f>IF(AND(A116="",B116=""),"",IF(AND(E116&lt;&gt;"",E116&lt;=0),"Agotado",IF(H116="","Sin fecha",IF(I116&lt;0,"Vencido",IF(I116&lt;=Resumen!$C$5,"Caduca pronto",IF(I116&lt;=Resumen!$C$6,"Revisar pronto","Vigente"))))))</f>
      </c>
      <c r="K116" s="15"/>
      <c r="L116" s="15"/>
      <c r="M116" s="15"/>
    </row>
    <row r="117" spans="1:13" x14ac:dyDescent="0.25">
      <c r="A117" s="15"/>
      <c r="B117" s="15"/>
      <c r="C117" s="15"/>
      <c r="D117" s="15"/>
      <c r="E117" s="16"/>
      <c r="F117" s="15"/>
      <c r="G117" s="15"/>
      <c r="H117" s="17"/>
      <c r="I117" s="13">
        <f>IF(H117="","",H117-TODAY())</f>
      </c>
      <c r="J117" s="14">
        <f>IF(AND(A117="",B117=""),"",IF(AND(E117&lt;&gt;"",E117&lt;=0),"Agotado",IF(H117="","Sin fecha",IF(I117&lt;0,"Vencido",IF(I117&lt;=Resumen!$C$5,"Caduca pronto",IF(I117&lt;=Resumen!$C$6,"Revisar pronto","Vigente"))))))</f>
      </c>
      <c r="K117" s="15"/>
      <c r="L117" s="15"/>
      <c r="M117" s="15"/>
    </row>
    <row r="118" spans="1:13" x14ac:dyDescent="0.25">
      <c r="A118" s="15"/>
      <c r="B118" s="15"/>
      <c r="C118" s="15"/>
      <c r="D118" s="15"/>
      <c r="E118" s="16"/>
      <c r="F118" s="15"/>
      <c r="G118" s="15"/>
      <c r="H118" s="17"/>
      <c r="I118" s="13">
        <f>IF(H118="","",H118-TODAY())</f>
      </c>
      <c r="J118" s="14">
        <f>IF(AND(A118="",B118=""),"",IF(AND(E118&lt;&gt;"",E118&lt;=0),"Agotado",IF(H118="","Sin fecha",IF(I118&lt;0,"Vencido",IF(I118&lt;=Resumen!$C$5,"Caduca pronto",IF(I118&lt;=Resumen!$C$6,"Revisar pronto","Vigente"))))))</f>
      </c>
      <c r="K118" s="15"/>
      <c r="L118" s="15"/>
      <c r="M118" s="15"/>
    </row>
    <row r="119" spans="1:13" x14ac:dyDescent="0.25">
      <c r="A119" s="15"/>
      <c r="B119" s="15"/>
      <c r="C119" s="15"/>
      <c r="D119" s="15"/>
      <c r="E119" s="16"/>
      <c r="F119" s="15"/>
      <c r="G119" s="15"/>
      <c r="H119" s="17"/>
      <c r="I119" s="13">
        <f>IF(H119="","",H119-TODAY())</f>
      </c>
      <c r="J119" s="14">
        <f>IF(AND(A119="",B119=""),"",IF(AND(E119&lt;&gt;"",E119&lt;=0),"Agotado",IF(H119="","Sin fecha",IF(I119&lt;0,"Vencido",IF(I119&lt;=Resumen!$C$5,"Caduca pronto",IF(I119&lt;=Resumen!$C$6,"Revisar pronto","Vigente"))))))</f>
      </c>
      <c r="K119" s="15"/>
      <c r="L119" s="15"/>
      <c r="M119" s="15"/>
    </row>
    <row r="120" spans="1:13" x14ac:dyDescent="0.25">
      <c r="A120" s="15"/>
      <c r="B120" s="15"/>
      <c r="C120" s="15"/>
      <c r="D120" s="15"/>
      <c r="E120" s="16"/>
      <c r="F120" s="15"/>
      <c r="G120" s="15"/>
      <c r="H120" s="17"/>
      <c r="I120" s="13">
        <f>IF(H120="","",H120-TODAY())</f>
      </c>
      <c r="J120" s="14">
        <f>IF(AND(A120="",B120=""),"",IF(AND(E120&lt;&gt;"",E120&lt;=0),"Agotado",IF(H120="","Sin fecha",IF(I120&lt;0,"Vencido",IF(I120&lt;=Resumen!$C$5,"Caduca pronto",IF(I120&lt;=Resumen!$C$6,"Revisar pronto","Vigente"))))))</f>
      </c>
      <c r="K120" s="15"/>
      <c r="L120" s="15"/>
      <c r="M120" s="15"/>
    </row>
    <row r="121" spans="1:13" x14ac:dyDescent="0.25">
      <c r="A121" s="15"/>
      <c r="B121" s="15"/>
      <c r="C121" s="15"/>
      <c r="D121" s="15"/>
      <c r="E121" s="16"/>
      <c r="F121" s="15"/>
      <c r="G121" s="15"/>
      <c r="H121" s="17"/>
      <c r="I121" s="13">
        <f>IF(H121="","",H121-TODAY())</f>
      </c>
      <c r="J121" s="14">
        <f>IF(AND(A121="",B121=""),"",IF(AND(E121&lt;&gt;"",E121&lt;=0),"Agotado",IF(H121="","Sin fecha",IF(I121&lt;0,"Vencido",IF(I121&lt;=Resumen!$C$5,"Caduca pronto",IF(I121&lt;=Resumen!$C$6,"Revisar pronto","Vigente"))))))</f>
      </c>
      <c r="K121" s="15"/>
      <c r="L121" s="15"/>
      <c r="M121" s="15"/>
    </row>
    <row r="122" spans="1:13" x14ac:dyDescent="0.25">
      <c r="A122" s="15"/>
      <c r="B122" s="15"/>
      <c r="C122" s="15"/>
      <c r="D122" s="15"/>
      <c r="E122" s="16"/>
      <c r="F122" s="15"/>
      <c r="G122" s="15"/>
      <c r="H122" s="17"/>
      <c r="I122" s="13">
        <f>IF(H122="","",H122-TODAY())</f>
      </c>
      <c r="J122" s="14">
        <f>IF(AND(A122="",B122=""),"",IF(AND(E122&lt;&gt;"",E122&lt;=0),"Agotado",IF(H122="","Sin fecha",IF(I122&lt;0,"Vencido",IF(I122&lt;=Resumen!$C$5,"Caduca pronto",IF(I122&lt;=Resumen!$C$6,"Revisar pronto","Vigente"))))))</f>
      </c>
      <c r="K122" s="15"/>
      <c r="L122" s="15"/>
      <c r="M122" s="15"/>
    </row>
    <row r="123" spans="1:13" x14ac:dyDescent="0.25">
      <c r="A123" s="15"/>
      <c r="B123" s="15"/>
      <c r="C123" s="15"/>
      <c r="D123" s="15"/>
      <c r="E123" s="16"/>
      <c r="F123" s="15"/>
      <c r="G123" s="15"/>
      <c r="H123" s="17"/>
      <c r="I123" s="13">
        <f>IF(H123="","",H123-TODAY())</f>
      </c>
      <c r="J123" s="14">
        <f>IF(AND(A123="",B123=""),"",IF(AND(E123&lt;&gt;"",E123&lt;=0),"Agotado",IF(H123="","Sin fecha",IF(I123&lt;0,"Vencido",IF(I123&lt;=Resumen!$C$5,"Caduca pronto",IF(I123&lt;=Resumen!$C$6,"Revisar pronto","Vigente"))))))</f>
      </c>
      <c r="K123" s="15"/>
      <c r="L123" s="15"/>
      <c r="M123" s="15"/>
    </row>
    <row r="124" spans="1:13" x14ac:dyDescent="0.25">
      <c r="A124" s="15"/>
      <c r="B124" s="15"/>
      <c r="C124" s="15"/>
      <c r="D124" s="15"/>
      <c r="E124" s="16"/>
      <c r="F124" s="15"/>
      <c r="G124" s="15"/>
      <c r="H124" s="17"/>
      <c r="I124" s="13">
        <f>IF(H124="","",H124-TODAY())</f>
      </c>
      <c r="J124" s="14">
        <f>IF(AND(A124="",B124=""),"",IF(AND(E124&lt;&gt;"",E124&lt;=0),"Agotado",IF(H124="","Sin fecha",IF(I124&lt;0,"Vencido",IF(I124&lt;=Resumen!$C$5,"Caduca pronto",IF(I124&lt;=Resumen!$C$6,"Revisar pronto","Vigente"))))))</f>
      </c>
      <c r="K124" s="15"/>
      <c r="L124" s="15"/>
      <c r="M124" s="15"/>
    </row>
    <row r="125" spans="1:13" x14ac:dyDescent="0.25">
      <c r="A125" s="15"/>
      <c r="B125" s="15"/>
      <c r="C125" s="15"/>
      <c r="D125" s="15"/>
      <c r="E125" s="16"/>
      <c r="F125" s="15"/>
      <c r="G125" s="15"/>
      <c r="H125" s="17"/>
      <c r="I125" s="13">
        <f>IF(H125="","",H125-TODAY())</f>
      </c>
      <c r="J125" s="14">
        <f>IF(AND(A125="",B125=""),"",IF(AND(E125&lt;&gt;"",E125&lt;=0),"Agotado",IF(H125="","Sin fecha",IF(I125&lt;0,"Vencido",IF(I125&lt;=Resumen!$C$5,"Caduca pronto",IF(I125&lt;=Resumen!$C$6,"Revisar pronto","Vigente"))))))</f>
      </c>
      <c r="K125" s="15"/>
      <c r="L125" s="15"/>
      <c r="M125" s="15"/>
    </row>
    <row r="126" spans="1:13" x14ac:dyDescent="0.25">
      <c r="A126" s="15"/>
      <c r="B126" s="15"/>
      <c r="C126" s="15"/>
      <c r="D126" s="15"/>
      <c r="E126" s="16"/>
      <c r="F126" s="15"/>
      <c r="G126" s="15"/>
      <c r="H126" s="17"/>
      <c r="I126" s="13">
        <f>IF(H126="","",H126-TODAY())</f>
      </c>
      <c r="J126" s="14">
        <f>IF(AND(A126="",B126=""),"",IF(AND(E126&lt;&gt;"",E126&lt;=0),"Agotado",IF(H126="","Sin fecha",IF(I126&lt;0,"Vencido",IF(I126&lt;=Resumen!$C$5,"Caduca pronto",IF(I126&lt;=Resumen!$C$6,"Revisar pronto","Vigente"))))))</f>
      </c>
      <c r="K126" s="15"/>
      <c r="L126" s="15"/>
      <c r="M126" s="15"/>
    </row>
    <row r="127" spans="1:13" x14ac:dyDescent="0.25">
      <c r="A127" s="15"/>
      <c r="B127" s="15"/>
      <c r="C127" s="15"/>
      <c r="D127" s="15"/>
      <c r="E127" s="16"/>
      <c r="F127" s="15"/>
      <c r="G127" s="15"/>
      <c r="H127" s="17"/>
      <c r="I127" s="13">
        <f>IF(H127="","",H127-TODAY())</f>
      </c>
      <c r="J127" s="14">
        <f>IF(AND(A127="",B127=""),"",IF(AND(E127&lt;&gt;"",E127&lt;=0),"Agotado",IF(H127="","Sin fecha",IF(I127&lt;0,"Vencido",IF(I127&lt;=Resumen!$C$5,"Caduca pronto",IF(I127&lt;=Resumen!$C$6,"Revisar pronto","Vigente"))))))</f>
      </c>
      <c r="K127" s="15"/>
      <c r="L127" s="15"/>
      <c r="M127" s="15"/>
    </row>
    <row r="128" spans="1:13" x14ac:dyDescent="0.25">
      <c r="A128" s="15"/>
      <c r="B128" s="15"/>
      <c r="C128" s="15"/>
      <c r="D128" s="15"/>
      <c r="E128" s="16"/>
      <c r="F128" s="15"/>
      <c r="G128" s="15"/>
      <c r="H128" s="17"/>
      <c r="I128" s="13">
        <f>IF(H128="","",H128-TODAY())</f>
      </c>
      <c r="J128" s="14">
        <f>IF(AND(A128="",B128=""),"",IF(AND(E128&lt;&gt;"",E128&lt;=0),"Agotado",IF(H128="","Sin fecha",IF(I128&lt;0,"Vencido",IF(I128&lt;=Resumen!$C$5,"Caduca pronto",IF(I128&lt;=Resumen!$C$6,"Revisar pronto","Vigente"))))))</f>
      </c>
      <c r="K128" s="15"/>
      <c r="L128" s="15"/>
      <c r="M128" s="15"/>
    </row>
    <row r="129" spans="1:13" x14ac:dyDescent="0.25">
      <c r="A129" s="15"/>
      <c r="B129" s="15"/>
      <c r="C129" s="15"/>
      <c r="D129" s="15"/>
      <c r="E129" s="16"/>
      <c r="F129" s="15"/>
      <c r="G129" s="15"/>
      <c r="H129" s="17"/>
      <c r="I129" s="13">
        <f>IF(H129="","",H129-TODAY())</f>
      </c>
      <c r="J129" s="14">
        <f>IF(AND(A129="",B129=""),"",IF(AND(E129&lt;&gt;"",E129&lt;=0),"Agotado",IF(H129="","Sin fecha",IF(I129&lt;0,"Vencido",IF(I129&lt;=Resumen!$C$5,"Caduca pronto",IF(I129&lt;=Resumen!$C$6,"Revisar pronto","Vigente"))))))</f>
      </c>
      <c r="K129" s="15"/>
      <c r="L129" s="15"/>
      <c r="M129" s="15"/>
    </row>
    <row r="130" spans="1:13" x14ac:dyDescent="0.25">
      <c r="A130" s="15"/>
      <c r="B130" s="15"/>
      <c r="C130" s="15"/>
      <c r="D130" s="15"/>
      <c r="E130" s="16"/>
      <c r="F130" s="15"/>
      <c r="G130" s="15"/>
      <c r="H130" s="17"/>
      <c r="I130" s="13">
        <f>IF(H130="","",H130-TODAY())</f>
      </c>
      <c r="J130" s="14">
        <f>IF(AND(A130="",B130=""),"",IF(AND(E130&lt;&gt;"",E130&lt;=0),"Agotado",IF(H130="","Sin fecha",IF(I130&lt;0,"Vencido",IF(I130&lt;=Resumen!$C$5,"Caduca pronto",IF(I130&lt;=Resumen!$C$6,"Revisar pronto","Vigente"))))))</f>
      </c>
      <c r="K130" s="15"/>
      <c r="L130" s="15"/>
      <c r="M130" s="15"/>
    </row>
    <row r="131" spans="1:13" x14ac:dyDescent="0.25">
      <c r="A131" s="15"/>
      <c r="B131" s="15"/>
      <c r="C131" s="15"/>
      <c r="D131" s="15"/>
      <c r="E131" s="16"/>
      <c r="F131" s="15"/>
      <c r="G131" s="15"/>
      <c r="H131" s="17"/>
      <c r="I131" s="13">
        <f>IF(H131="","",H131-TODAY())</f>
      </c>
      <c r="J131" s="14">
        <f>IF(AND(A131="",B131=""),"",IF(AND(E131&lt;&gt;"",E131&lt;=0),"Agotado",IF(H131="","Sin fecha",IF(I131&lt;0,"Vencido",IF(I131&lt;=Resumen!$C$5,"Caduca pronto",IF(I131&lt;=Resumen!$C$6,"Revisar pronto","Vigente"))))))</f>
      </c>
      <c r="K131" s="15"/>
      <c r="L131" s="15"/>
      <c r="M131" s="15"/>
    </row>
    <row r="132" spans="1:13" x14ac:dyDescent="0.25">
      <c r="A132" s="15"/>
      <c r="B132" s="15"/>
      <c r="C132" s="15"/>
      <c r="D132" s="15"/>
      <c r="E132" s="16"/>
      <c r="F132" s="15"/>
      <c r="G132" s="15"/>
      <c r="H132" s="17"/>
      <c r="I132" s="13">
        <f>IF(H132="","",H132-TODAY())</f>
      </c>
      <c r="J132" s="14">
        <f>IF(AND(A132="",B132=""),"",IF(AND(E132&lt;&gt;"",E132&lt;=0),"Agotado",IF(H132="","Sin fecha",IF(I132&lt;0,"Vencido",IF(I132&lt;=Resumen!$C$5,"Caduca pronto",IF(I132&lt;=Resumen!$C$6,"Revisar pronto","Vigente"))))))</f>
      </c>
      <c r="K132" s="15"/>
      <c r="L132" s="15"/>
      <c r="M132" s="15"/>
    </row>
    <row r="133" spans="1:13" x14ac:dyDescent="0.25">
      <c r="A133" s="15"/>
      <c r="B133" s="15"/>
      <c r="C133" s="15"/>
      <c r="D133" s="15"/>
      <c r="E133" s="16"/>
      <c r="F133" s="15"/>
      <c r="G133" s="15"/>
      <c r="H133" s="17"/>
      <c r="I133" s="13">
        <f>IF(H133="","",H133-TODAY())</f>
      </c>
      <c r="J133" s="14">
        <f>IF(AND(A133="",B133=""),"",IF(AND(E133&lt;&gt;"",E133&lt;=0),"Agotado",IF(H133="","Sin fecha",IF(I133&lt;0,"Vencido",IF(I133&lt;=Resumen!$C$5,"Caduca pronto",IF(I133&lt;=Resumen!$C$6,"Revisar pronto","Vigente"))))))</f>
      </c>
      <c r="K133" s="15"/>
      <c r="L133" s="15"/>
      <c r="M133" s="15"/>
    </row>
    <row r="134" spans="1:13" x14ac:dyDescent="0.25">
      <c r="A134" s="15"/>
      <c r="B134" s="15"/>
      <c r="C134" s="15"/>
      <c r="D134" s="15"/>
      <c r="E134" s="16"/>
      <c r="F134" s="15"/>
      <c r="G134" s="15"/>
      <c r="H134" s="17"/>
      <c r="I134" s="13">
        <f>IF(H134="","",H134-TODAY())</f>
      </c>
      <c r="J134" s="14">
        <f>IF(AND(A134="",B134=""),"",IF(AND(E134&lt;&gt;"",E134&lt;=0),"Agotado",IF(H134="","Sin fecha",IF(I134&lt;0,"Vencido",IF(I134&lt;=Resumen!$C$5,"Caduca pronto",IF(I134&lt;=Resumen!$C$6,"Revisar pronto","Vigente"))))))</f>
      </c>
      <c r="K134" s="15"/>
      <c r="L134" s="15"/>
      <c r="M134" s="15"/>
    </row>
    <row r="135" spans="1:13" x14ac:dyDescent="0.25">
      <c r="A135" s="15"/>
      <c r="B135" s="15"/>
      <c r="C135" s="15"/>
      <c r="D135" s="15"/>
      <c r="E135" s="16"/>
      <c r="F135" s="15"/>
      <c r="G135" s="15"/>
      <c r="H135" s="17"/>
      <c r="I135" s="13">
        <f>IF(H135="","",H135-TODAY())</f>
      </c>
      <c r="J135" s="14">
        <f>IF(AND(A135="",B135=""),"",IF(AND(E135&lt;&gt;"",E135&lt;=0),"Agotado",IF(H135="","Sin fecha",IF(I135&lt;0,"Vencido",IF(I135&lt;=Resumen!$C$5,"Caduca pronto",IF(I135&lt;=Resumen!$C$6,"Revisar pronto","Vigente"))))))</f>
      </c>
      <c r="K135" s="15"/>
      <c r="L135" s="15"/>
      <c r="M135" s="15"/>
    </row>
    <row r="136" spans="1:13" x14ac:dyDescent="0.25">
      <c r="A136" s="15"/>
      <c r="B136" s="15"/>
      <c r="C136" s="15"/>
      <c r="D136" s="15"/>
      <c r="E136" s="16"/>
      <c r="F136" s="15"/>
      <c r="G136" s="15"/>
      <c r="H136" s="17"/>
      <c r="I136" s="13">
        <f>IF(H136="","",H136-TODAY())</f>
      </c>
      <c r="J136" s="14">
        <f>IF(AND(A136="",B136=""),"",IF(AND(E136&lt;&gt;"",E136&lt;=0),"Agotado",IF(H136="","Sin fecha",IF(I136&lt;0,"Vencido",IF(I136&lt;=Resumen!$C$5,"Caduca pronto",IF(I136&lt;=Resumen!$C$6,"Revisar pronto","Vigente"))))))</f>
      </c>
      <c r="K136" s="15"/>
      <c r="L136" s="15"/>
      <c r="M136" s="15"/>
    </row>
    <row r="137" spans="1:13" x14ac:dyDescent="0.25">
      <c r="A137" s="15"/>
      <c r="B137" s="15"/>
      <c r="C137" s="15"/>
      <c r="D137" s="15"/>
      <c r="E137" s="16"/>
      <c r="F137" s="15"/>
      <c r="G137" s="15"/>
      <c r="H137" s="17"/>
      <c r="I137" s="13">
        <f>IF(H137="","",H137-TODAY())</f>
      </c>
      <c r="J137" s="14">
        <f>IF(AND(A137="",B137=""),"",IF(AND(E137&lt;&gt;"",E137&lt;=0),"Agotado",IF(H137="","Sin fecha",IF(I137&lt;0,"Vencido",IF(I137&lt;=Resumen!$C$5,"Caduca pronto",IF(I137&lt;=Resumen!$C$6,"Revisar pronto","Vigente"))))))</f>
      </c>
      <c r="K137" s="15"/>
      <c r="L137" s="15"/>
      <c r="M137" s="15"/>
    </row>
    <row r="138" spans="1:13" x14ac:dyDescent="0.25">
      <c r="A138" s="15"/>
      <c r="B138" s="15"/>
      <c r="C138" s="15"/>
      <c r="D138" s="15"/>
      <c r="E138" s="16"/>
      <c r="F138" s="15"/>
      <c r="G138" s="15"/>
      <c r="H138" s="17"/>
      <c r="I138" s="13">
        <f>IF(H138="","",H138-TODAY())</f>
      </c>
      <c r="J138" s="14">
        <f>IF(AND(A138="",B138=""),"",IF(AND(E138&lt;&gt;"",E138&lt;=0),"Agotado",IF(H138="","Sin fecha",IF(I138&lt;0,"Vencido",IF(I138&lt;=Resumen!$C$5,"Caduca pronto",IF(I138&lt;=Resumen!$C$6,"Revisar pronto","Vigente"))))))</f>
      </c>
      <c r="K138" s="15"/>
      <c r="L138" s="15"/>
      <c r="M138" s="15"/>
    </row>
    <row r="139" spans="1:13" x14ac:dyDescent="0.25">
      <c r="A139" s="15"/>
      <c r="B139" s="15"/>
      <c r="C139" s="15"/>
      <c r="D139" s="15"/>
      <c r="E139" s="16"/>
      <c r="F139" s="15"/>
      <c r="G139" s="15"/>
      <c r="H139" s="17"/>
      <c r="I139" s="13">
        <f>IF(H139="","",H139-TODAY())</f>
      </c>
      <c r="J139" s="14">
        <f>IF(AND(A139="",B139=""),"",IF(AND(E139&lt;&gt;"",E139&lt;=0),"Agotado",IF(H139="","Sin fecha",IF(I139&lt;0,"Vencido",IF(I139&lt;=Resumen!$C$5,"Caduca pronto",IF(I139&lt;=Resumen!$C$6,"Revisar pronto","Vigente"))))))</f>
      </c>
      <c r="K139" s="15"/>
      <c r="L139" s="15"/>
      <c r="M139" s="15"/>
    </row>
    <row r="140" spans="1:13" x14ac:dyDescent="0.25">
      <c r="A140" s="15"/>
      <c r="B140" s="15"/>
      <c r="C140" s="15"/>
      <c r="D140" s="15"/>
      <c r="E140" s="16"/>
      <c r="F140" s="15"/>
      <c r="G140" s="15"/>
      <c r="H140" s="17"/>
      <c r="I140" s="13">
        <f>IF(H140="","",H140-TODAY())</f>
      </c>
      <c r="J140" s="14">
        <f>IF(AND(A140="",B140=""),"",IF(AND(E140&lt;&gt;"",E140&lt;=0),"Agotado",IF(H140="","Sin fecha",IF(I140&lt;0,"Vencido",IF(I140&lt;=Resumen!$C$5,"Caduca pronto",IF(I140&lt;=Resumen!$C$6,"Revisar pronto","Vigente"))))))</f>
      </c>
      <c r="K140" s="15"/>
      <c r="L140" s="15"/>
      <c r="M140" s="15"/>
    </row>
    <row r="141" spans="1:13" x14ac:dyDescent="0.25">
      <c r="A141" s="15"/>
      <c r="B141" s="15"/>
      <c r="C141" s="15"/>
      <c r="D141" s="15"/>
      <c r="E141" s="16"/>
      <c r="F141" s="15"/>
      <c r="G141" s="15"/>
      <c r="H141" s="17"/>
      <c r="I141" s="13">
        <f>IF(H141="","",H141-TODAY())</f>
      </c>
      <c r="J141" s="14">
        <f>IF(AND(A141="",B141=""),"",IF(AND(E141&lt;&gt;"",E141&lt;=0),"Agotado",IF(H141="","Sin fecha",IF(I141&lt;0,"Vencido",IF(I141&lt;=Resumen!$C$5,"Caduca pronto",IF(I141&lt;=Resumen!$C$6,"Revisar pronto","Vigente"))))))</f>
      </c>
      <c r="K141" s="15"/>
      <c r="L141" s="15"/>
      <c r="M141" s="15"/>
    </row>
    <row r="142" spans="1:13" x14ac:dyDescent="0.25">
      <c r="A142" s="15"/>
      <c r="B142" s="15"/>
      <c r="C142" s="15"/>
      <c r="D142" s="15"/>
      <c r="E142" s="16"/>
      <c r="F142" s="15"/>
      <c r="G142" s="15"/>
      <c r="H142" s="17"/>
      <c r="I142" s="13">
        <f>IF(H142="","",H142-TODAY())</f>
      </c>
      <c r="J142" s="14">
        <f>IF(AND(A142="",B142=""),"",IF(AND(E142&lt;&gt;"",E142&lt;=0),"Agotado",IF(H142="","Sin fecha",IF(I142&lt;0,"Vencido",IF(I142&lt;=Resumen!$C$5,"Caduca pronto",IF(I142&lt;=Resumen!$C$6,"Revisar pronto","Vigente"))))))</f>
      </c>
      <c r="K142" s="15"/>
      <c r="L142" s="15"/>
      <c r="M142" s="15"/>
    </row>
    <row r="143" spans="1:13" x14ac:dyDescent="0.25">
      <c r="A143" s="15"/>
      <c r="B143" s="15"/>
      <c r="C143" s="15"/>
      <c r="D143" s="15"/>
      <c r="E143" s="16"/>
      <c r="F143" s="15"/>
      <c r="G143" s="15"/>
      <c r="H143" s="17"/>
      <c r="I143" s="13">
        <f>IF(H143="","",H143-TODAY())</f>
      </c>
      <c r="J143" s="14">
        <f>IF(AND(A143="",B143=""),"",IF(AND(E143&lt;&gt;"",E143&lt;=0),"Agotado",IF(H143="","Sin fecha",IF(I143&lt;0,"Vencido",IF(I143&lt;=Resumen!$C$5,"Caduca pronto",IF(I143&lt;=Resumen!$C$6,"Revisar pronto","Vigente"))))))</f>
      </c>
      <c r="K143" s="15"/>
      <c r="L143" s="15"/>
      <c r="M143" s="15"/>
    </row>
    <row r="144" spans="1:13" x14ac:dyDescent="0.25">
      <c r="A144" s="15"/>
      <c r="B144" s="15"/>
      <c r="C144" s="15"/>
      <c r="D144" s="15"/>
      <c r="E144" s="16"/>
      <c r="F144" s="15"/>
      <c r="G144" s="15"/>
      <c r="H144" s="17"/>
      <c r="I144" s="13">
        <f>IF(H144="","",H144-TODAY())</f>
      </c>
      <c r="J144" s="14">
        <f>IF(AND(A144="",B144=""),"",IF(AND(E144&lt;&gt;"",E144&lt;=0),"Agotado",IF(H144="","Sin fecha",IF(I144&lt;0,"Vencido",IF(I144&lt;=Resumen!$C$5,"Caduca pronto",IF(I144&lt;=Resumen!$C$6,"Revisar pronto","Vigente"))))))</f>
      </c>
      <c r="K144" s="15"/>
      <c r="L144" s="15"/>
      <c r="M144" s="15"/>
    </row>
    <row r="145" spans="1:13" x14ac:dyDescent="0.25">
      <c r="A145" s="15"/>
      <c r="B145" s="15"/>
      <c r="C145" s="15"/>
      <c r="D145" s="15"/>
      <c r="E145" s="16"/>
      <c r="F145" s="15"/>
      <c r="G145" s="15"/>
      <c r="H145" s="17"/>
      <c r="I145" s="13">
        <f>IF(H145="","",H145-TODAY())</f>
      </c>
      <c r="J145" s="14">
        <f>IF(AND(A145="",B145=""),"",IF(AND(E145&lt;&gt;"",E145&lt;=0),"Agotado",IF(H145="","Sin fecha",IF(I145&lt;0,"Vencido",IF(I145&lt;=Resumen!$C$5,"Caduca pronto",IF(I145&lt;=Resumen!$C$6,"Revisar pronto","Vigente"))))))</f>
      </c>
      <c r="K145" s="15"/>
      <c r="L145" s="15"/>
      <c r="M145" s="15"/>
    </row>
    <row r="146" spans="1:13" x14ac:dyDescent="0.25">
      <c r="A146" s="15"/>
      <c r="B146" s="15"/>
      <c r="C146" s="15"/>
      <c r="D146" s="15"/>
      <c r="E146" s="16"/>
      <c r="F146" s="15"/>
      <c r="G146" s="15"/>
      <c r="H146" s="17"/>
      <c r="I146" s="13">
        <f>IF(H146="","",H146-TODAY())</f>
      </c>
      <c r="J146" s="14">
        <f>IF(AND(A146="",B146=""),"",IF(AND(E146&lt;&gt;"",E146&lt;=0),"Agotado",IF(H146="","Sin fecha",IF(I146&lt;0,"Vencido",IF(I146&lt;=Resumen!$C$5,"Caduca pronto",IF(I146&lt;=Resumen!$C$6,"Revisar pronto","Vigente"))))))</f>
      </c>
      <c r="K146" s="15"/>
      <c r="L146" s="15"/>
      <c r="M146" s="15"/>
    </row>
    <row r="147" spans="1:13" x14ac:dyDescent="0.25">
      <c r="A147" s="15"/>
      <c r="B147" s="15"/>
      <c r="C147" s="15"/>
      <c r="D147" s="15"/>
      <c r="E147" s="16"/>
      <c r="F147" s="15"/>
      <c r="G147" s="15"/>
      <c r="H147" s="17"/>
      <c r="I147" s="13">
        <f>IF(H147="","",H147-TODAY())</f>
      </c>
      <c r="J147" s="14">
        <f>IF(AND(A147="",B147=""),"",IF(AND(E147&lt;&gt;"",E147&lt;=0),"Agotado",IF(H147="","Sin fecha",IF(I147&lt;0,"Vencido",IF(I147&lt;=Resumen!$C$5,"Caduca pronto",IF(I147&lt;=Resumen!$C$6,"Revisar pronto","Vigente"))))))</f>
      </c>
      <c r="K147" s="15"/>
      <c r="L147" s="15"/>
      <c r="M147" s="15"/>
    </row>
    <row r="148" spans="1:13" x14ac:dyDescent="0.25">
      <c r="A148" s="15"/>
      <c r="B148" s="15"/>
      <c r="C148" s="15"/>
      <c r="D148" s="15"/>
      <c r="E148" s="16"/>
      <c r="F148" s="15"/>
      <c r="G148" s="15"/>
      <c r="H148" s="17"/>
      <c r="I148" s="13">
        <f>IF(H148="","",H148-TODAY())</f>
      </c>
      <c r="J148" s="14">
        <f>IF(AND(A148="",B148=""),"",IF(AND(E148&lt;&gt;"",E148&lt;=0),"Agotado",IF(H148="","Sin fecha",IF(I148&lt;0,"Vencido",IF(I148&lt;=Resumen!$C$5,"Caduca pronto",IF(I148&lt;=Resumen!$C$6,"Revisar pronto","Vigente"))))))</f>
      </c>
      <c r="K148" s="15"/>
      <c r="L148" s="15"/>
      <c r="M148" s="15"/>
    </row>
    <row r="149" spans="1:13" x14ac:dyDescent="0.25">
      <c r="A149" s="15"/>
      <c r="B149" s="15"/>
      <c r="C149" s="15"/>
      <c r="D149" s="15"/>
      <c r="E149" s="16"/>
      <c r="F149" s="15"/>
      <c r="G149" s="15"/>
      <c r="H149" s="17"/>
      <c r="I149" s="13">
        <f>IF(H149="","",H149-TODAY())</f>
      </c>
      <c r="J149" s="14">
        <f>IF(AND(A149="",B149=""),"",IF(AND(E149&lt;&gt;"",E149&lt;=0),"Agotado",IF(H149="","Sin fecha",IF(I149&lt;0,"Vencido",IF(I149&lt;=Resumen!$C$5,"Caduca pronto",IF(I149&lt;=Resumen!$C$6,"Revisar pronto","Vigente"))))))</f>
      </c>
      <c r="K149" s="15"/>
      <c r="L149" s="15"/>
      <c r="M149" s="15"/>
    </row>
    <row r="150" spans="1:13" x14ac:dyDescent="0.25">
      <c r="A150" s="15"/>
      <c r="B150" s="15"/>
      <c r="C150" s="15"/>
      <c r="D150" s="15"/>
      <c r="E150" s="16"/>
      <c r="F150" s="15"/>
      <c r="G150" s="15"/>
      <c r="H150" s="17"/>
      <c r="I150" s="13">
        <f>IF(H150="","",H150-TODAY())</f>
      </c>
      <c r="J150" s="14">
        <f>IF(AND(A150="",B150=""),"",IF(AND(E150&lt;&gt;"",E150&lt;=0),"Agotado",IF(H150="","Sin fecha",IF(I150&lt;0,"Vencido",IF(I150&lt;=Resumen!$C$5,"Caduca pronto",IF(I150&lt;=Resumen!$C$6,"Revisar pronto","Vigente"))))))</f>
      </c>
      <c r="K150" s="15"/>
      <c r="L150" s="15"/>
      <c r="M150" s="15"/>
    </row>
    <row r="151" spans="1:13" x14ac:dyDescent="0.25">
      <c r="A151" s="15"/>
      <c r="B151" s="15"/>
      <c r="C151" s="15"/>
      <c r="D151" s="15"/>
      <c r="E151" s="16"/>
      <c r="F151" s="15"/>
      <c r="G151" s="15"/>
      <c r="H151" s="17"/>
      <c r="I151" s="13">
        <f>IF(H151="","",H151-TODAY())</f>
      </c>
      <c r="J151" s="14">
        <f>IF(AND(A151="",B151=""),"",IF(AND(E151&lt;&gt;"",E151&lt;=0),"Agotado",IF(H151="","Sin fecha",IF(I151&lt;0,"Vencido",IF(I151&lt;=Resumen!$C$5,"Caduca pronto",IF(I151&lt;=Resumen!$C$6,"Revisar pronto","Vigente"))))))</f>
      </c>
      <c r="K151" s="15"/>
      <c r="L151" s="15"/>
      <c r="M151" s="15"/>
    </row>
    <row r="152" spans="1:13" x14ac:dyDescent="0.25">
      <c r="A152" s="15"/>
      <c r="B152" s="15"/>
      <c r="C152" s="15"/>
      <c r="D152" s="15"/>
      <c r="E152" s="16"/>
      <c r="F152" s="15"/>
      <c r="G152" s="15"/>
      <c r="H152" s="17"/>
      <c r="I152" s="13">
        <f>IF(H152="","",H152-TODAY())</f>
      </c>
      <c r="J152" s="14">
        <f>IF(AND(A152="",B152=""),"",IF(AND(E152&lt;&gt;"",E152&lt;=0),"Agotado",IF(H152="","Sin fecha",IF(I152&lt;0,"Vencido",IF(I152&lt;=Resumen!$C$5,"Caduca pronto",IF(I152&lt;=Resumen!$C$6,"Revisar pronto","Vigente"))))))</f>
      </c>
      <c r="K152" s="15"/>
      <c r="L152" s="15"/>
      <c r="M152" s="15"/>
    </row>
    <row r="153" spans="1:13" x14ac:dyDescent="0.25">
      <c r="A153" s="15"/>
      <c r="B153" s="15"/>
      <c r="C153" s="15"/>
      <c r="D153" s="15"/>
      <c r="E153" s="16"/>
      <c r="F153" s="15"/>
      <c r="G153" s="15"/>
      <c r="H153" s="17"/>
      <c r="I153" s="13">
        <f>IF(H153="","",H153-TODAY())</f>
      </c>
      <c r="J153" s="14">
        <f>IF(AND(A153="",B153=""),"",IF(AND(E153&lt;&gt;"",E153&lt;=0),"Agotado",IF(H153="","Sin fecha",IF(I153&lt;0,"Vencido",IF(I153&lt;=Resumen!$C$5,"Caduca pronto",IF(I153&lt;=Resumen!$C$6,"Revisar pronto","Vigente"))))))</f>
      </c>
      <c r="K153" s="15"/>
      <c r="L153" s="15"/>
      <c r="M153" s="15"/>
    </row>
    <row r="154" spans="1:13" x14ac:dyDescent="0.25">
      <c r="A154" s="15"/>
      <c r="B154" s="15"/>
      <c r="C154" s="15"/>
      <c r="D154" s="15"/>
      <c r="E154" s="16"/>
      <c r="F154" s="15"/>
      <c r="G154" s="15"/>
      <c r="H154" s="17"/>
      <c r="I154" s="13">
        <f>IF(H154="","",H154-TODAY())</f>
      </c>
      <c r="J154" s="14">
        <f>IF(AND(A154="",B154=""),"",IF(AND(E154&lt;&gt;"",E154&lt;=0),"Agotado",IF(H154="","Sin fecha",IF(I154&lt;0,"Vencido",IF(I154&lt;=Resumen!$C$5,"Caduca pronto",IF(I154&lt;=Resumen!$C$6,"Revisar pronto","Vigente"))))))</f>
      </c>
      <c r="K154" s="15"/>
      <c r="L154" s="15"/>
      <c r="M154" s="15"/>
    </row>
    <row r="155" spans="1:13" x14ac:dyDescent="0.25">
      <c r="A155" s="15"/>
      <c r="B155" s="15"/>
      <c r="C155" s="15"/>
      <c r="D155" s="15"/>
      <c r="E155" s="16"/>
      <c r="F155" s="15"/>
      <c r="G155" s="15"/>
      <c r="H155" s="17"/>
      <c r="I155" s="13">
        <f>IF(H155="","",H155-TODAY())</f>
      </c>
      <c r="J155" s="14">
        <f>IF(AND(A155="",B155=""),"",IF(AND(E155&lt;&gt;"",E155&lt;=0),"Agotado",IF(H155="","Sin fecha",IF(I155&lt;0,"Vencido",IF(I155&lt;=Resumen!$C$5,"Caduca pronto",IF(I155&lt;=Resumen!$C$6,"Revisar pronto","Vigente"))))))</f>
      </c>
      <c r="K155" s="15"/>
      <c r="L155" s="15"/>
      <c r="M155" s="15"/>
    </row>
    <row r="156" spans="1:13" x14ac:dyDescent="0.25">
      <c r="A156" s="15"/>
      <c r="B156" s="15"/>
      <c r="C156" s="15"/>
      <c r="D156" s="15"/>
      <c r="E156" s="16"/>
      <c r="F156" s="15"/>
      <c r="G156" s="15"/>
      <c r="H156" s="17"/>
      <c r="I156" s="13">
        <f>IF(H156="","",H156-TODAY())</f>
      </c>
      <c r="J156" s="14">
        <f>IF(AND(A156="",B156=""),"",IF(AND(E156&lt;&gt;"",E156&lt;=0),"Agotado",IF(H156="","Sin fecha",IF(I156&lt;0,"Vencido",IF(I156&lt;=Resumen!$C$5,"Caduca pronto",IF(I156&lt;=Resumen!$C$6,"Revisar pronto","Vigente"))))))</f>
      </c>
      <c r="K156" s="15"/>
      <c r="L156" s="15"/>
      <c r="M156" s="15"/>
    </row>
    <row r="157" spans="1:13" x14ac:dyDescent="0.25">
      <c r="A157" s="15"/>
      <c r="B157" s="15"/>
      <c r="C157" s="15"/>
      <c r="D157" s="15"/>
      <c r="E157" s="16"/>
      <c r="F157" s="15"/>
      <c r="G157" s="15"/>
      <c r="H157" s="17"/>
      <c r="I157" s="13">
        <f>IF(H157="","",H157-TODAY())</f>
      </c>
      <c r="J157" s="14">
        <f>IF(AND(A157="",B157=""),"",IF(AND(E157&lt;&gt;"",E157&lt;=0),"Agotado",IF(H157="","Sin fecha",IF(I157&lt;0,"Vencido",IF(I157&lt;=Resumen!$C$5,"Caduca pronto",IF(I157&lt;=Resumen!$C$6,"Revisar pronto","Vigente"))))))</f>
      </c>
      <c r="K157" s="15"/>
      <c r="L157" s="15"/>
      <c r="M157" s="15"/>
    </row>
    <row r="158" spans="1:13" x14ac:dyDescent="0.25">
      <c r="A158" s="15"/>
      <c r="B158" s="15"/>
      <c r="C158" s="15"/>
      <c r="D158" s="15"/>
      <c r="E158" s="16"/>
      <c r="F158" s="15"/>
      <c r="G158" s="15"/>
      <c r="H158" s="17"/>
      <c r="I158" s="13">
        <f>IF(H158="","",H158-TODAY())</f>
      </c>
      <c r="J158" s="14">
        <f>IF(AND(A158="",B158=""),"",IF(AND(E158&lt;&gt;"",E158&lt;=0),"Agotado",IF(H158="","Sin fecha",IF(I158&lt;0,"Vencido",IF(I158&lt;=Resumen!$C$5,"Caduca pronto",IF(I158&lt;=Resumen!$C$6,"Revisar pronto","Vigente"))))))</f>
      </c>
      <c r="K158" s="15"/>
      <c r="L158" s="15"/>
      <c r="M158" s="15"/>
    </row>
    <row r="159" spans="1:13" x14ac:dyDescent="0.25">
      <c r="A159" s="15"/>
      <c r="B159" s="15"/>
      <c r="C159" s="15"/>
      <c r="D159" s="15"/>
      <c r="E159" s="16"/>
      <c r="F159" s="15"/>
      <c r="G159" s="15"/>
      <c r="H159" s="17"/>
      <c r="I159" s="13">
        <f>IF(H159="","",H159-TODAY())</f>
      </c>
      <c r="J159" s="14">
        <f>IF(AND(A159="",B159=""),"",IF(AND(E159&lt;&gt;"",E159&lt;=0),"Agotado",IF(H159="","Sin fecha",IF(I159&lt;0,"Vencido",IF(I159&lt;=Resumen!$C$5,"Caduca pronto",IF(I159&lt;=Resumen!$C$6,"Revisar pronto","Vigente"))))))</f>
      </c>
      <c r="K159" s="15"/>
      <c r="L159" s="15"/>
      <c r="M159" s="15"/>
    </row>
    <row r="160" spans="1:13" x14ac:dyDescent="0.25">
      <c r="A160" s="15"/>
      <c r="B160" s="15"/>
      <c r="C160" s="15"/>
      <c r="D160" s="15"/>
      <c r="E160" s="16"/>
      <c r="F160" s="15"/>
      <c r="G160" s="15"/>
      <c r="H160" s="17"/>
      <c r="I160" s="13">
        <f>IF(H160="","",H160-TODAY())</f>
      </c>
      <c r="J160" s="14">
        <f>IF(AND(A160="",B160=""),"",IF(AND(E160&lt;&gt;"",E160&lt;=0),"Agotado",IF(H160="","Sin fecha",IF(I160&lt;0,"Vencido",IF(I160&lt;=Resumen!$C$5,"Caduca pronto",IF(I160&lt;=Resumen!$C$6,"Revisar pronto","Vigente"))))))</f>
      </c>
      <c r="K160" s="15"/>
      <c r="L160" s="15"/>
      <c r="M160" s="15"/>
    </row>
    <row r="161" spans="1:13" x14ac:dyDescent="0.25">
      <c r="A161" s="15"/>
      <c r="B161" s="15"/>
      <c r="C161" s="15"/>
      <c r="D161" s="15"/>
      <c r="E161" s="16"/>
      <c r="F161" s="15"/>
      <c r="G161" s="15"/>
      <c r="H161" s="17"/>
      <c r="I161" s="13">
        <f>IF(H161="","",H161-TODAY())</f>
      </c>
      <c r="J161" s="14">
        <f>IF(AND(A161="",B161=""),"",IF(AND(E161&lt;&gt;"",E161&lt;=0),"Agotado",IF(H161="","Sin fecha",IF(I161&lt;0,"Vencido",IF(I161&lt;=Resumen!$C$5,"Caduca pronto",IF(I161&lt;=Resumen!$C$6,"Revisar pronto","Vigente"))))))</f>
      </c>
      <c r="K161" s="15"/>
      <c r="L161" s="15"/>
      <c r="M161" s="15"/>
    </row>
    <row r="162" spans="1:13" x14ac:dyDescent="0.25">
      <c r="A162" s="15"/>
      <c r="B162" s="15"/>
      <c r="C162" s="15"/>
      <c r="D162" s="15"/>
      <c r="E162" s="16"/>
      <c r="F162" s="15"/>
      <c r="G162" s="15"/>
      <c r="H162" s="17"/>
      <c r="I162" s="13">
        <f>IF(H162="","",H162-TODAY())</f>
      </c>
      <c r="J162" s="14">
        <f>IF(AND(A162="",B162=""),"",IF(AND(E162&lt;&gt;"",E162&lt;=0),"Agotado",IF(H162="","Sin fecha",IF(I162&lt;0,"Vencido",IF(I162&lt;=Resumen!$C$5,"Caduca pronto",IF(I162&lt;=Resumen!$C$6,"Revisar pronto","Vigente"))))))</f>
      </c>
      <c r="K162" s="15"/>
      <c r="L162" s="15"/>
      <c r="M162" s="15"/>
    </row>
    <row r="163" spans="1:13" x14ac:dyDescent="0.25">
      <c r="A163" s="15"/>
      <c r="B163" s="15"/>
      <c r="C163" s="15"/>
      <c r="D163" s="15"/>
      <c r="E163" s="16"/>
      <c r="F163" s="15"/>
      <c r="G163" s="15"/>
      <c r="H163" s="17"/>
      <c r="I163" s="13">
        <f>IF(H163="","",H163-TODAY())</f>
      </c>
      <c r="J163" s="14">
        <f>IF(AND(A163="",B163=""),"",IF(AND(E163&lt;&gt;"",E163&lt;=0),"Agotado",IF(H163="","Sin fecha",IF(I163&lt;0,"Vencido",IF(I163&lt;=Resumen!$C$5,"Caduca pronto",IF(I163&lt;=Resumen!$C$6,"Revisar pronto","Vigente"))))))</f>
      </c>
      <c r="K163" s="15"/>
      <c r="L163" s="15"/>
      <c r="M163" s="15"/>
    </row>
    <row r="164" spans="1:13" x14ac:dyDescent="0.25">
      <c r="A164" s="15"/>
      <c r="B164" s="15"/>
      <c r="C164" s="15"/>
      <c r="D164" s="15"/>
      <c r="E164" s="16"/>
      <c r="F164" s="15"/>
      <c r="G164" s="15"/>
      <c r="H164" s="17"/>
      <c r="I164" s="13">
        <f>IF(H164="","",H164-TODAY())</f>
      </c>
      <c r="J164" s="14">
        <f>IF(AND(A164="",B164=""),"",IF(AND(E164&lt;&gt;"",E164&lt;=0),"Agotado",IF(H164="","Sin fecha",IF(I164&lt;0,"Vencido",IF(I164&lt;=Resumen!$C$5,"Caduca pronto",IF(I164&lt;=Resumen!$C$6,"Revisar pronto","Vigente"))))))</f>
      </c>
      <c r="K164" s="15"/>
      <c r="L164" s="15"/>
      <c r="M164" s="15"/>
    </row>
    <row r="165" spans="1:13" x14ac:dyDescent="0.25">
      <c r="A165" s="15"/>
      <c r="B165" s="15"/>
      <c r="C165" s="15"/>
      <c r="D165" s="15"/>
      <c r="E165" s="16"/>
      <c r="F165" s="15"/>
      <c r="G165" s="15"/>
      <c r="H165" s="17"/>
      <c r="I165" s="13">
        <f>IF(H165="","",H165-TODAY())</f>
      </c>
      <c r="J165" s="14">
        <f>IF(AND(A165="",B165=""),"",IF(AND(E165&lt;&gt;"",E165&lt;=0),"Agotado",IF(H165="","Sin fecha",IF(I165&lt;0,"Vencido",IF(I165&lt;=Resumen!$C$5,"Caduca pronto",IF(I165&lt;=Resumen!$C$6,"Revisar pronto","Vigente"))))))</f>
      </c>
      <c r="K165" s="15"/>
      <c r="L165" s="15"/>
      <c r="M165" s="15"/>
    </row>
    <row r="166" spans="1:13" x14ac:dyDescent="0.25">
      <c r="A166" s="15"/>
      <c r="B166" s="15"/>
      <c r="C166" s="15"/>
      <c r="D166" s="15"/>
      <c r="E166" s="16"/>
      <c r="F166" s="15"/>
      <c r="G166" s="15"/>
      <c r="H166" s="17"/>
      <c r="I166" s="13">
        <f>IF(H166="","",H166-TODAY())</f>
      </c>
      <c r="J166" s="14">
        <f>IF(AND(A166="",B166=""),"",IF(AND(E166&lt;&gt;"",E166&lt;=0),"Agotado",IF(H166="","Sin fecha",IF(I166&lt;0,"Vencido",IF(I166&lt;=Resumen!$C$5,"Caduca pronto",IF(I166&lt;=Resumen!$C$6,"Revisar pronto","Vigente"))))))</f>
      </c>
      <c r="K166" s="15"/>
      <c r="L166" s="15"/>
      <c r="M166" s="15"/>
    </row>
    <row r="167" spans="1:13" x14ac:dyDescent="0.25">
      <c r="A167" s="15"/>
      <c r="B167" s="15"/>
      <c r="C167" s="15"/>
      <c r="D167" s="15"/>
      <c r="E167" s="16"/>
      <c r="F167" s="15"/>
      <c r="G167" s="15"/>
      <c r="H167" s="17"/>
      <c r="I167" s="13">
        <f>IF(H167="","",H167-TODAY())</f>
      </c>
      <c r="J167" s="14">
        <f>IF(AND(A167="",B167=""),"",IF(AND(E167&lt;&gt;"",E167&lt;=0),"Agotado",IF(H167="","Sin fecha",IF(I167&lt;0,"Vencido",IF(I167&lt;=Resumen!$C$5,"Caduca pronto",IF(I167&lt;=Resumen!$C$6,"Revisar pronto","Vigente"))))))</f>
      </c>
      <c r="K167" s="15"/>
      <c r="L167" s="15"/>
      <c r="M167" s="15"/>
    </row>
    <row r="168" spans="1:13" x14ac:dyDescent="0.25">
      <c r="A168" s="15"/>
      <c r="B168" s="15"/>
      <c r="C168" s="15"/>
      <c r="D168" s="15"/>
      <c r="E168" s="16"/>
      <c r="F168" s="15"/>
      <c r="G168" s="15"/>
      <c r="H168" s="17"/>
      <c r="I168" s="13">
        <f>IF(H168="","",H168-TODAY())</f>
      </c>
      <c r="J168" s="14">
        <f>IF(AND(A168="",B168=""),"",IF(AND(E168&lt;&gt;"",E168&lt;=0),"Agotado",IF(H168="","Sin fecha",IF(I168&lt;0,"Vencido",IF(I168&lt;=Resumen!$C$5,"Caduca pronto",IF(I168&lt;=Resumen!$C$6,"Revisar pronto","Vigente"))))))</f>
      </c>
      <c r="K168" s="15"/>
      <c r="L168" s="15"/>
      <c r="M168" s="15"/>
    </row>
    <row r="169" spans="1:13" x14ac:dyDescent="0.25">
      <c r="A169" s="15"/>
      <c r="B169" s="15"/>
      <c r="C169" s="15"/>
      <c r="D169" s="15"/>
      <c r="E169" s="16"/>
      <c r="F169" s="15"/>
      <c r="G169" s="15"/>
      <c r="H169" s="17"/>
      <c r="I169" s="13">
        <f>IF(H169="","",H169-TODAY())</f>
      </c>
      <c r="J169" s="14">
        <f>IF(AND(A169="",B169=""),"",IF(AND(E169&lt;&gt;"",E169&lt;=0),"Agotado",IF(H169="","Sin fecha",IF(I169&lt;0,"Vencido",IF(I169&lt;=Resumen!$C$5,"Caduca pronto",IF(I169&lt;=Resumen!$C$6,"Revisar pronto","Vigente"))))))</f>
      </c>
      <c r="K169" s="15"/>
      <c r="L169" s="15"/>
      <c r="M169" s="15"/>
    </row>
    <row r="170" spans="1:13" x14ac:dyDescent="0.25">
      <c r="A170" s="15"/>
      <c r="B170" s="15"/>
      <c r="C170" s="15"/>
      <c r="D170" s="15"/>
      <c r="E170" s="16"/>
      <c r="F170" s="15"/>
      <c r="G170" s="15"/>
      <c r="H170" s="17"/>
      <c r="I170" s="13">
        <f>IF(H170="","",H170-TODAY())</f>
      </c>
      <c r="J170" s="14">
        <f>IF(AND(A170="",B170=""),"",IF(AND(E170&lt;&gt;"",E170&lt;=0),"Agotado",IF(H170="","Sin fecha",IF(I170&lt;0,"Vencido",IF(I170&lt;=Resumen!$C$5,"Caduca pronto",IF(I170&lt;=Resumen!$C$6,"Revisar pronto","Vigente"))))))</f>
      </c>
      <c r="K170" s="15"/>
      <c r="L170" s="15"/>
      <c r="M170" s="15"/>
    </row>
    <row r="171" spans="1:13" x14ac:dyDescent="0.25">
      <c r="A171" s="15"/>
      <c r="B171" s="15"/>
      <c r="C171" s="15"/>
      <c r="D171" s="15"/>
      <c r="E171" s="16"/>
      <c r="F171" s="15"/>
      <c r="G171" s="15"/>
      <c r="H171" s="17"/>
      <c r="I171" s="13">
        <f>IF(H171="","",H171-TODAY())</f>
      </c>
      <c r="J171" s="14">
        <f>IF(AND(A171="",B171=""),"",IF(AND(E171&lt;&gt;"",E171&lt;=0),"Agotado",IF(H171="","Sin fecha",IF(I171&lt;0,"Vencido",IF(I171&lt;=Resumen!$C$5,"Caduca pronto",IF(I171&lt;=Resumen!$C$6,"Revisar pronto","Vigente"))))))</f>
      </c>
      <c r="K171" s="15"/>
      <c r="L171" s="15"/>
      <c r="M171" s="15"/>
    </row>
    <row r="172" spans="1:13" x14ac:dyDescent="0.25">
      <c r="A172" s="15"/>
      <c r="B172" s="15"/>
      <c r="C172" s="15"/>
      <c r="D172" s="15"/>
      <c r="E172" s="16"/>
      <c r="F172" s="15"/>
      <c r="G172" s="15"/>
      <c r="H172" s="17"/>
      <c r="I172" s="13">
        <f>IF(H172="","",H172-TODAY())</f>
      </c>
      <c r="J172" s="14">
        <f>IF(AND(A172="",B172=""),"",IF(AND(E172&lt;&gt;"",E172&lt;=0),"Agotado",IF(H172="","Sin fecha",IF(I172&lt;0,"Vencido",IF(I172&lt;=Resumen!$C$5,"Caduca pronto",IF(I172&lt;=Resumen!$C$6,"Revisar pronto","Vigente"))))))</f>
      </c>
      <c r="K172" s="15"/>
      <c r="L172" s="15"/>
      <c r="M172" s="15"/>
    </row>
    <row r="173" spans="1:13" x14ac:dyDescent="0.25">
      <c r="A173" s="15"/>
      <c r="B173" s="15"/>
      <c r="C173" s="15"/>
      <c r="D173" s="15"/>
      <c r="E173" s="16"/>
      <c r="F173" s="15"/>
      <c r="G173" s="15"/>
      <c r="H173" s="17"/>
      <c r="I173" s="13">
        <f>IF(H173="","",H173-TODAY())</f>
      </c>
      <c r="J173" s="14">
        <f>IF(AND(A173="",B173=""),"",IF(AND(E173&lt;&gt;"",E173&lt;=0),"Agotado",IF(H173="","Sin fecha",IF(I173&lt;0,"Vencido",IF(I173&lt;=Resumen!$C$5,"Caduca pronto",IF(I173&lt;=Resumen!$C$6,"Revisar pronto","Vigente"))))))</f>
      </c>
      <c r="K173" s="15"/>
      <c r="L173" s="15"/>
      <c r="M173" s="15"/>
    </row>
    <row r="174" spans="1:13" x14ac:dyDescent="0.25">
      <c r="A174" s="15"/>
      <c r="B174" s="15"/>
      <c r="C174" s="15"/>
      <c r="D174" s="15"/>
      <c r="E174" s="16"/>
      <c r="F174" s="15"/>
      <c r="G174" s="15"/>
      <c r="H174" s="17"/>
      <c r="I174" s="13">
        <f>IF(H174="","",H174-TODAY())</f>
      </c>
      <c r="J174" s="14">
        <f>IF(AND(A174="",B174=""),"",IF(AND(E174&lt;&gt;"",E174&lt;=0),"Agotado",IF(H174="","Sin fecha",IF(I174&lt;0,"Vencido",IF(I174&lt;=Resumen!$C$5,"Caduca pronto",IF(I174&lt;=Resumen!$C$6,"Revisar pronto","Vigente"))))))</f>
      </c>
      <c r="K174" s="15"/>
      <c r="L174" s="15"/>
      <c r="M174" s="15"/>
    </row>
    <row r="175" spans="1:13" x14ac:dyDescent="0.25">
      <c r="A175" s="15"/>
      <c r="B175" s="15"/>
      <c r="C175" s="15"/>
      <c r="D175" s="15"/>
      <c r="E175" s="16"/>
      <c r="F175" s="15"/>
      <c r="G175" s="15"/>
      <c r="H175" s="17"/>
      <c r="I175" s="13">
        <f>IF(H175="","",H175-TODAY())</f>
      </c>
      <c r="J175" s="14">
        <f>IF(AND(A175="",B175=""),"",IF(AND(E175&lt;&gt;"",E175&lt;=0),"Agotado",IF(H175="","Sin fecha",IF(I175&lt;0,"Vencido",IF(I175&lt;=Resumen!$C$5,"Caduca pronto",IF(I175&lt;=Resumen!$C$6,"Revisar pronto","Vigente"))))))</f>
      </c>
      <c r="K175" s="15"/>
      <c r="L175" s="15"/>
      <c r="M175" s="15"/>
    </row>
    <row r="176" spans="1:13" x14ac:dyDescent="0.25">
      <c r="A176" s="15"/>
      <c r="B176" s="15"/>
      <c r="C176" s="15"/>
      <c r="D176" s="15"/>
      <c r="E176" s="16"/>
      <c r="F176" s="15"/>
      <c r="G176" s="15"/>
      <c r="H176" s="17"/>
      <c r="I176" s="13">
        <f>IF(H176="","",H176-TODAY())</f>
      </c>
      <c r="J176" s="14">
        <f>IF(AND(A176="",B176=""),"",IF(AND(E176&lt;&gt;"",E176&lt;=0),"Agotado",IF(H176="","Sin fecha",IF(I176&lt;0,"Vencido",IF(I176&lt;=Resumen!$C$5,"Caduca pronto",IF(I176&lt;=Resumen!$C$6,"Revisar pronto","Vigente"))))))</f>
      </c>
      <c r="K176" s="15"/>
      <c r="L176" s="15"/>
      <c r="M176" s="15"/>
    </row>
    <row r="177" spans="1:13" x14ac:dyDescent="0.25">
      <c r="A177" s="15"/>
      <c r="B177" s="15"/>
      <c r="C177" s="15"/>
      <c r="D177" s="15"/>
      <c r="E177" s="16"/>
      <c r="F177" s="15"/>
      <c r="G177" s="15"/>
      <c r="H177" s="17"/>
      <c r="I177" s="13">
        <f>IF(H177="","",H177-TODAY())</f>
      </c>
      <c r="J177" s="14">
        <f>IF(AND(A177="",B177=""),"",IF(AND(E177&lt;&gt;"",E177&lt;=0),"Agotado",IF(H177="","Sin fecha",IF(I177&lt;0,"Vencido",IF(I177&lt;=Resumen!$C$5,"Caduca pronto",IF(I177&lt;=Resumen!$C$6,"Revisar pronto","Vigente"))))))</f>
      </c>
      <c r="K177" s="15"/>
      <c r="L177" s="15"/>
      <c r="M177" s="15"/>
    </row>
    <row r="178" spans="1:13" x14ac:dyDescent="0.25">
      <c r="A178" s="15"/>
      <c r="B178" s="15"/>
      <c r="C178" s="15"/>
      <c r="D178" s="15"/>
      <c r="E178" s="16"/>
      <c r="F178" s="15"/>
      <c r="G178" s="15"/>
      <c r="H178" s="17"/>
      <c r="I178" s="13">
        <f>IF(H178="","",H178-TODAY())</f>
      </c>
      <c r="J178" s="14">
        <f>IF(AND(A178="",B178=""),"",IF(AND(E178&lt;&gt;"",E178&lt;=0),"Agotado",IF(H178="","Sin fecha",IF(I178&lt;0,"Vencido",IF(I178&lt;=Resumen!$C$5,"Caduca pronto",IF(I178&lt;=Resumen!$C$6,"Revisar pronto","Vigente"))))))</f>
      </c>
      <c r="K178" s="15"/>
      <c r="L178" s="15"/>
      <c r="M178" s="15"/>
    </row>
    <row r="179" spans="1:13" x14ac:dyDescent="0.25">
      <c r="A179" s="15"/>
      <c r="B179" s="15"/>
      <c r="C179" s="15"/>
      <c r="D179" s="15"/>
      <c r="E179" s="16"/>
      <c r="F179" s="15"/>
      <c r="G179" s="15"/>
      <c r="H179" s="17"/>
      <c r="I179" s="13">
        <f>IF(H179="","",H179-TODAY())</f>
      </c>
      <c r="J179" s="14">
        <f>IF(AND(A179="",B179=""),"",IF(AND(E179&lt;&gt;"",E179&lt;=0),"Agotado",IF(H179="","Sin fecha",IF(I179&lt;0,"Vencido",IF(I179&lt;=Resumen!$C$5,"Caduca pronto",IF(I179&lt;=Resumen!$C$6,"Revisar pronto","Vigente"))))))</f>
      </c>
      <c r="K179" s="15"/>
      <c r="L179" s="15"/>
      <c r="M179" s="15"/>
    </row>
    <row r="180" spans="1:13" x14ac:dyDescent="0.25">
      <c r="A180" s="15"/>
      <c r="B180" s="15"/>
      <c r="C180" s="15"/>
      <c r="D180" s="15"/>
      <c r="E180" s="16"/>
      <c r="F180" s="15"/>
      <c r="G180" s="15"/>
      <c r="H180" s="17"/>
      <c r="I180" s="13">
        <f>IF(H180="","",H180-TODAY())</f>
      </c>
      <c r="J180" s="14">
        <f>IF(AND(A180="",B180=""),"",IF(AND(E180&lt;&gt;"",E180&lt;=0),"Agotado",IF(H180="","Sin fecha",IF(I180&lt;0,"Vencido",IF(I180&lt;=Resumen!$C$5,"Caduca pronto",IF(I180&lt;=Resumen!$C$6,"Revisar pronto","Vigente"))))))</f>
      </c>
      <c r="K180" s="15"/>
      <c r="L180" s="15"/>
      <c r="M180" s="15"/>
    </row>
    <row r="181" spans="1:13" x14ac:dyDescent="0.25">
      <c r="A181" s="15"/>
      <c r="B181" s="15"/>
      <c r="C181" s="15"/>
      <c r="D181" s="15"/>
      <c r="E181" s="16"/>
      <c r="F181" s="15"/>
      <c r="G181" s="15"/>
      <c r="H181" s="17"/>
      <c r="I181" s="13">
        <f>IF(H181="","",H181-TODAY())</f>
      </c>
      <c r="J181" s="14">
        <f>IF(AND(A181="",B181=""),"",IF(AND(E181&lt;&gt;"",E181&lt;=0),"Agotado",IF(H181="","Sin fecha",IF(I181&lt;0,"Vencido",IF(I181&lt;=Resumen!$C$5,"Caduca pronto",IF(I181&lt;=Resumen!$C$6,"Revisar pronto","Vigente"))))))</f>
      </c>
      <c r="K181" s="15"/>
      <c r="L181" s="15"/>
      <c r="M181" s="15"/>
    </row>
    <row r="182" spans="1:13" x14ac:dyDescent="0.25">
      <c r="A182" s="15"/>
      <c r="B182" s="15"/>
      <c r="C182" s="15"/>
      <c r="D182" s="15"/>
      <c r="E182" s="16"/>
      <c r="F182" s="15"/>
      <c r="G182" s="15"/>
      <c r="H182" s="17"/>
      <c r="I182" s="13">
        <f>IF(H182="","",H182-TODAY())</f>
      </c>
      <c r="J182" s="14">
        <f>IF(AND(A182="",B182=""),"",IF(AND(E182&lt;&gt;"",E182&lt;=0),"Agotado",IF(H182="","Sin fecha",IF(I182&lt;0,"Vencido",IF(I182&lt;=Resumen!$C$5,"Caduca pronto",IF(I182&lt;=Resumen!$C$6,"Revisar pronto","Vigente"))))))</f>
      </c>
      <c r="K182" s="15"/>
      <c r="L182" s="15"/>
      <c r="M182" s="15"/>
    </row>
    <row r="183" spans="1:13" x14ac:dyDescent="0.25">
      <c r="A183" s="15"/>
      <c r="B183" s="15"/>
      <c r="C183" s="15"/>
      <c r="D183" s="15"/>
      <c r="E183" s="16"/>
      <c r="F183" s="15"/>
      <c r="G183" s="15"/>
      <c r="H183" s="17"/>
      <c r="I183" s="13">
        <f>IF(H183="","",H183-TODAY())</f>
      </c>
      <c r="J183" s="14">
        <f>IF(AND(A183="",B183=""),"",IF(AND(E183&lt;&gt;"",E183&lt;=0),"Agotado",IF(H183="","Sin fecha",IF(I183&lt;0,"Vencido",IF(I183&lt;=Resumen!$C$5,"Caduca pronto",IF(I183&lt;=Resumen!$C$6,"Revisar pronto","Vigente"))))))</f>
      </c>
      <c r="K183" s="15"/>
      <c r="L183" s="15"/>
      <c r="M183" s="15"/>
    </row>
    <row r="184" spans="1:13" x14ac:dyDescent="0.25">
      <c r="A184" s="15"/>
      <c r="B184" s="15"/>
      <c r="C184" s="15"/>
      <c r="D184" s="15"/>
      <c r="E184" s="16"/>
      <c r="F184" s="15"/>
      <c r="G184" s="15"/>
      <c r="H184" s="17"/>
      <c r="I184" s="13">
        <f>IF(H184="","",H184-TODAY())</f>
      </c>
      <c r="J184" s="14">
        <f>IF(AND(A184="",B184=""),"",IF(AND(E184&lt;&gt;"",E184&lt;=0),"Agotado",IF(H184="","Sin fecha",IF(I184&lt;0,"Vencido",IF(I184&lt;=Resumen!$C$5,"Caduca pronto",IF(I184&lt;=Resumen!$C$6,"Revisar pronto","Vigente"))))))</f>
      </c>
      <c r="K184" s="15"/>
      <c r="L184" s="15"/>
      <c r="M184" s="15"/>
    </row>
    <row r="185" spans="1:13" x14ac:dyDescent="0.25">
      <c r="A185" s="15"/>
      <c r="B185" s="15"/>
      <c r="C185" s="15"/>
      <c r="D185" s="15"/>
      <c r="E185" s="16"/>
      <c r="F185" s="15"/>
      <c r="G185" s="15"/>
      <c r="H185" s="17"/>
      <c r="I185" s="13">
        <f>IF(H185="","",H185-TODAY())</f>
      </c>
      <c r="J185" s="14">
        <f>IF(AND(A185="",B185=""),"",IF(AND(E185&lt;&gt;"",E185&lt;=0),"Agotado",IF(H185="","Sin fecha",IF(I185&lt;0,"Vencido",IF(I185&lt;=Resumen!$C$5,"Caduca pronto",IF(I185&lt;=Resumen!$C$6,"Revisar pronto","Vigente"))))))</f>
      </c>
      <c r="K185" s="15"/>
      <c r="L185" s="15"/>
      <c r="M185" s="15"/>
    </row>
    <row r="186" spans="1:13" x14ac:dyDescent="0.25">
      <c r="A186" s="15"/>
      <c r="B186" s="15"/>
      <c r="C186" s="15"/>
      <c r="D186" s="15"/>
      <c r="E186" s="16"/>
      <c r="F186" s="15"/>
      <c r="G186" s="15"/>
      <c r="H186" s="17"/>
      <c r="I186" s="13">
        <f>IF(H186="","",H186-TODAY())</f>
      </c>
      <c r="J186" s="14">
        <f>IF(AND(A186="",B186=""),"",IF(AND(E186&lt;&gt;"",E186&lt;=0),"Agotado",IF(H186="","Sin fecha",IF(I186&lt;0,"Vencido",IF(I186&lt;=Resumen!$C$5,"Caduca pronto",IF(I186&lt;=Resumen!$C$6,"Revisar pronto","Vigente"))))))</f>
      </c>
      <c r="K186" s="15"/>
      <c r="L186" s="15"/>
      <c r="M186" s="15"/>
    </row>
    <row r="187" spans="1:13" x14ac:dyDescent="0.25">
      <c r="A187" s="15"/>
      <c r="B187" s="15"/>
      <c r="C187" s="15"/>
      <c r="D187" s="15"/>
      <c r="E187" s="16"/>
      <c r="F187" s="15"/>
      <c r="G187" s="15"/>
      <c r="H187" s="17"/>
      <c r="I187" s="13">
        <f>IF(H187="","",H187-TODAY())</f>
      </c>
      <c r="J187" s="14">
        <f>IF(AND(A187="",B187=""),"",IF(AND(E187&lt;&gt;"",E187&lt;=0),"Agotado",IF(H187="","Sin fecha",IF(I187&lt;0,"Vencido",IF(I187&lt;=Resumen!$C$5,"Caduca pronto",IF(I187&lt;=Resumen!$C$6,"Revisar pronto","Vigente"))))))</f>
      </c>
      <c r="K187" s="15"/>
      <c r="L187" s="15"/>
      <c r="M187" s="15"/>
    </row>
    <row r="188" spans="1:13" x14ac:dyDescent="0.25">
      <c r="A188" s="15"/>
      <c r="B188" s="15"/>
      <c r="C188" s="15"/>
      <c r="D188" s="15"/>
      <c r="E188" s="16"/>
      <c r="F188" s="15"/>
      <c r="G188" s="15"/>
      <c r="H188" s="17"/>
      <c r="I188" s="13">
        <f>IF(H188="","",H188-TODAY())</f>
      </c>
      <c r="J188" s="14">
        <f>IF(AND(A188="",B188=""),"",IF(AND(E188&lt;&gt;"",E188&lt;=0),"Agotado",IF(H188="","Sin fecha",IF(I188&lt;0,"Vencido",IF(I188&lt;=Resumen!$C$5,"Caduca pronto",IF(I188&lt;=Resumen!$C$6,"Revisar pronto","Vigente"))))))</f>
      </c>
      <c r="K188" s="15"/>
      <c r="L188" s="15"/>
      <c r="M188" s="15"/>
    </row>
    <row r="189" spans="1:13" x14ac:dyDescent="0.25">
      <c r="A189" s="15"/>
      <c r="B189" s="15"/>
      <c r="C189" s="15"/>
      <c r="D189" s="15"/>
      <c r="E189" s="16"/>
      <c r="F189" s="15"/>
      <c r="G189" s="15"/>
      <c r="H189" s="17"/>
      <c r="I189" s="13">
        <f>IF(H189="","",H189-TODAY())</f>
      </c>
      <c r="J189" s="14">
        <f>IF(AND(A189="",B189=""),"",IF(AND(E189&lt;&gt;"",E189&lt;=0),"Agotado",IF(H189="","Sin fecha",IF(I189&lt;0,"Vencido",IF(I189&lt;=Resumen!$C$5,"Caduca pronto",IF(I189&lt;=Resumen!$C$6,"Revisar pronto","Vigente"))))))</f>
      </c>
      <c r="K189" s="15"/>
      <c r="L189" s="15"/>
      <c r="M189" s="15"/>
    </row>
    <row r="190" spans="1:13" x14ac:dyDescent="0.25">
      <c r="A190" s="15"/>
      <c r="B190" s="15"/>
      <c r="C190" s="15"/>
      <c r="D190" s="15"/>
      <c r="E190" s="16"/>
      <c r="F190" s="15"/>
      <c r="G190" s="15"/>
      <c r="H190" s="17"/>
      <c r="I190" s="13">
        <f>IF(H190="","",H190-TODAY())</f>
      </c>
      <c r="J190" s="14">
        <f>IF(AND(A190="",B190=""),"",IF(AND(E190&lt;&gt;"",E190&lt;=0),"Agotado",IF(H190="","Sin fecha",IF(I190&lt;0,"Vencido",IF(I190&lt;=Resumen!$C$5,"Caduca pronto",IF(I190&lt;=Resumen!$C$6,"Revisar pronto","Vigente"))))))</f>
      </c>
      <c r="K190" s="15"/>
      <c r="L190" s="15"/>
      <c r="M190" s="15"/>
    </row>
    <row r="191" spans="1:13" x14ac:dyDescent="0.25">
      <c r="A191" s="15"/>
      <c r="B191" s="15"/>
      <c r="C191" s="15"/>
      <c r="D191" s="15"/>
      <c r="E191" s="16"/>
      <c r="F191" s="15"/>
      <c r="G191" s="15"/>
      <c r="H191" s="17"/>
      <c r="I191" s="13">
        <f>IF(H191="","",H191-TODAY())</f>
      </c>
      <c r="J191" s="14">
        <f>IF(AND(A191="",B191=""),"",IF(AND(E191&lt;&gt;"",E191&lt;=0),"Agotado",IF(H191="","Sin fecha",IF(I191&lt;0,"Vencido",IF(I191&lt;=Resumen!$C$5,"Caduca pronto",IF(I191&lt;=Resumen!$C$6,"Revisar pronto","Vigente"))))))</f>
      </c>
      <c r="K191" s="15"/>
      <c r="L191" s="15"/>
      <c r="M191" s="15"/>
    </row>
    <row r="192" spans="1:13" x14ac:dyDescent="0.25">
      <c r="A192" s="15"/>
      <c r="B192" s="15"/>
      <c r="C192" s="15"/>
      <c r="D192" s="15"/>
      <c r="E192" s="16"/>
      <c r="F192" s="15"/>
      <c r="G192" s="15"/>
      <c r="H192" s="17"/>
      <c r="I192" s="13">
        <f>IF(H192="","",H192-TODAY())</f>
      </c>
      <c r="J192" s="14">
        <f>IF(AND(A192="",B192=""),"",IF(AND(E192&lt;&gt;"",E192&lt;=0),"Agotado",IF(H192="","Sin fecha",IF(I192&lt;0,"Vencido",IF(I192&lt;=Resumen!$C$5,"Caduca pronto",IF(I192&lt;=Resumen!$C$6,"Revisar pronto","Vigente"))))))</f>
      </c>
      <c r="K192" s="15"/>
      <c r="L192" s="15"/>
      <c r="M192" s="15"/>
    </row>
    <row r="193" spans="1:13" x14ac:dyDescent="0.25">
      <c r="A193" s="15"/>
      <c r="B193" s="15"/>
      <c r="C193" s="15"/>
      <c r="D193" s="15"/>
      <c r="E193" s="16"/>
      <c r="F193" s="15"/>
      <c r="G193" s="15"/>
      <c r="H193" s="17"/>
      <c r="I193" s="13">
        <f>IF(H193="","",H193-TODAY())</f>
      </c>
      <c r="J193" s="14">
        <f>IF(AND(A193="",B193=""),"",IF(AND(E193&lt;&gt;"",E193&lt;=0),"Agotado",IF(H193="","Sin fecha",IF(I193&lt;0,"Vencido",IF(I193&lt;=Resumen!$C$5,"Caduca pronto",IF(I193&lt;=Resumen!$C$6,"Revisar pronto","Vigente"))))))</f>
      </c>
      <c r="K193" s="15"/>
      <c r="L193" s="15"/>
      <c r="M193" s="15"/>
    </row>
    <row r="194" spans="1:13" x14ac:dyDescent="0.25">
      <c r="A194" s="15"/>
      <c r="B194" s="15"/>
      <c r="C194" s="15"/>
      <c r="D194" s="15"/>
      <c r="E194" s="16"/>
      <c r="F194" s="15"/>
      <c r="G194" s="15"/>
      <c r="H194" s="17"/>
      <c r="I194" s="13">
        <f>IF(H194="","",H194-TODAY())</f>
      </c>
      <c r="J194" s="14">
        <f>IF(AND(A194="",B194=""),"",IF(AND(E194&lt;&gt;"",E194&lt;=0),"Agotado",IF(H194="","Sin fecha",IF(I194&lt;0,"Vencido",IF(I194&lt;=Resumen!$C$5,"Caduca pronto",IF(I194&lt;=Resumen!$C$6,"Revisar pronto","Vigente"))))))</f>
      </c>
      <c r="K194" s="15"/>
      <c r="L194" s="15"/>
      <c r="M194" s="15"/>
    </row>
    <row r="195" spans="1:13" x14ac:dyDescent="0.25">
      <c r="A195" s="15"/>
      <c r="B195" s="15"/>
      <c r="C195" s="15"/>
      <c r="D195" s="15"/>
      <c r="E195" s="16"/>
      <c r="F195" s="15"/>
      <c r="G195" s="15"/>
      <c r="H195" s="17"/>
      <c r="I195" s="13">
        <f>IF(H195="","",H195-TODAY())</f>
      </c>
      <c r="J195" s="14">
        <f>IF(AND(A195="",B195=""),"",IF(AND(E195&lt;&gt;"",E195&lt;=0),"Agotado",IF(H195="","Sin fecha",IF(I195&lt;0,"Vencido",IF(I195&lt;=Resumen!$C$5,"Caduca pronto",IF(I195&lt;=Resumen!$C$6,"Revisar pronto","Vigente"))))))</f>
      </c>
      <c r="K195" s="15"/>
      <c r="L195" s="15"/>
      <c r="M195" s="15"/>
    </row>
    <row r="196" spans="1:13" x14ac:dyDescent="0.25">
      <c r="A196" s="15"/>
      <c r="B196" s="15"/>
      <c r="C196" s="15"/>
      <c r="D196" s="15"/>
      <c r="E196" s="16"/>
      <c r="F196" s="15"/>
      <c r="G196" s="15"/>
      <c r="H196" s="17"/>
      <c r="I196" s="13">
        <f>IF(H196="","",H196-TODAY())</f>
      </c>
      <c r="J196" s="14">
        <f>IF(AND(A196="",B196=""),"",IF(AND(E196&lt;&gt;"",E196&lt;=0),"Agotado",IF(H196="","Sin fecha",IF(I196&lt;0,"Vencido",IF(I196&lt;=Resumen!$C$5,"Caduca pronto",IF(I196&lt;=Resumen!$C$6,"Revisar pronto","Vigente"))))))</f>
      </c>
      <c r="K196" s="15"/>
      <c r="L196" s="15"/>
      <c r="M196" s="15"/>
    </row>
    <row r="197" spans="1:13" x14ac:dyDescent="0.25">
      <c r="A197" s="15"/>
      <c r="B197" s="15"/>
      <c r="C197" s="15"/>
      <c r="D197" s="15"/>
      <c r="E197" s="16"/>
      <c r="F197" s="15"/>
      <c r="G197" s="15"/>
      <c r="H197" s="17"/>
      <c r="I197" s="13">
        <f>IF(H197="","",H197-TODAY())</f>
      </c>
      <c r="J197" s="14">
        <f>IF(AND(A197="",B197=""),"",IF(AND(E197&lt;&gt;"",E197&lt;=0),"Agotado",IF(H197="","Sin fecha",IF(I197&lt;0,"Vencido",IF(I197&lt;=Resumen!$C$5,"Caduca pronto",IF(I197&lt;=Resumen!$C$6,"Revisar pronto","Vigente"))))))</f>
      </c>
      <c r="K197" s="15"/>
      <c r="L197" s="15"/>
      <c r="M197" s="15"/>
    </row>
    <row r="198" spans="1:13" x14ac:dyDescent="0.25">
      <c r="A198" s="15"/>
      <c r="B198" s="15"/>
      <c r="C198" s="15"/>
      <c r="D198" s="15"/>
      <c r="E198" s="16"/>
      <c r="F198" s="15"/>
      <c r="G198" s="15"/>
      <c r="H198" s="17"/>
      <c r="I198" s="13">
        <f>IF(H198="","",H198-TODAY())</f>
      </c>
      <c r="J198" s="14">
        <f>IF(AND(A198="",B198=""),"",IF(AND(E198&lt;&gt;"",E198&lt;=0),"Agotado",IF(H198="","Sin fecha",IF(I198&lt;0,"Vencido",IF(I198&lt;=Resumen!$C$5,"Caduca pronto",IF(I198&lt;=Resumen!$C$6,"Revisar pronto","Vigente"))))))</f>
      </c>
      <c r="K198" s="15"/>
      <c r="L198" s="15"/>
      <c r="M198" s="15"/>
    </row>
    <row r="199" spans="1:13" x14ac:dyDescent="0.25">
      <c r="A199" s="15"/>
      <c r="B199" s="15"/>
      <c r="C199" s="15"/>
      <c r="D199" s="15"/>
      <c r="E199" s="16"/>
      <c r="F199" s="15"/>
      <c r="G199" s="15"/>
      <c r="H199" s="17"/>
      <c r="I199" s="13">
        <f>IF(H199="","",H199-TODAY())</f>
      </c>
      <c r="J199" s="14">
        <f>IF(AND(A199="",B199=""),"",IF(AND(E199&lt;&gt;"",E199&lt;=0),"Agotado",IF(H199="","Sin fecha",IF(I199&lt;0,"Vencido",IF(I199&lt;=Resumen!$C$5,"Caduca pronto",IF(I199&lt;=Resumen!$C$6,"Revisar pronto","Vigente"))))))</f>
      </c>
      <c r="K199" s="15"/>
      <c r="L199" s="15"/>
      <c r="M199" s="15"/>
    </row>
    <row r="200" spans="1:13" x14ac:dyDescent="0.25">
      <c r="A200" s="15"/>
      <c r="B200" s="15"/>
      <c r="C200" s="15"/>
      <c r="D200" s="15"/>
      <c r="E200" s="16"/>
      <c r="F200" s="15"/>
      <c r="G200" s="15"/>
      <c r="H200" s="17"/>
      <c r="I200" s="13">
        <f>IF(H200="","",H200-TODAY())</f>
      </c>
      <c r="J200" s="14">
        <f>IF(AND(A200="",B200=""),"",IF(AND(E200&lt;&gt;"",E200&lt;=0),"Agotado",IF(H200="","Sin fecha",IF(I200&lt;0,"Vencido",IF(I200&lt;=Resumen!$C$5,"Caduca pronto",IF(I200&lt;=Resumen!$C$6,"Revisar pronto","Vigente"))))))</f>
      </c>
      <c r="K200" s="15"/>
      <c r="L200" s="15"/>
      <c r="M200" s="15"/>
    </row>
    <row r="201" spans="1:13" x14ac:dyDescent="0.25">
      <c r="A201" s="15"/>
      <c r="B201" s="15"/>
      <c r="C201" s="15"/>
      <c r="D201" s="15"/>
      <c r="E201" s="16"/>
      <c r="F201" s="15"/>
      <c r="G201" s="15"/>
      <c r="H201" s="17"/>
      <c r="I201" s="13">
        <f>IF(H201="","",H201-TODAY())</f>
      </c>
      <c r="J201" s="14">
        <f>IF(AND(A201="",B201=""),"",IF(AND(E201&lt;&gt;"",E201&lt;=0),"Agotado",IF(H201="","Sin fecha",IF(I201&lt;0,"Vencido",IF(I201&lt;=Resumen!$C$5,"Caduca pronto",IF(I201&lt;=Resumen!$C$6,"Revisar pronto","Vigente"))))))</f>
      </c>
      <c r="K201" s="15"/>
      <c r="L201" s="15"/>
      <c r="M201" s="15"/>
    </row>
    <row r="202" spans="1:13" x14ac:dyDescent="0.25">
      <c r="A202" s="15"/>
      <c r="B202" s="15"/>
      <c r="C202" s="15"/>
      <c r="D202" s="15"/>
      <c r="E202" s="16"/>
      <c r="F202" s="15"/>
      <c r="G202" s="15"/>
      <c r="H202" s="17"/>
      <c r="I202" s="13">
        <f>IF(H202="","",H202-TODAY())</f>
      </c>
      <c r="J202" s="14">
        <f>IF(AND(A202="",B202=""),"",IF(AND(E202&lt;&gt;"",E202&lt;=0),"Agotado",IF(H202="","Sin fecha",IF(I202&lt;0,"Vencido",IF(I202&lt;=Resumen!$C$5,"Caduca pronto",IF(I202&lt;=Resumen!$C$6,"Revisar pronto","Vigente"))))))</f>
      </c>
      <c r="K202" s="15"/>
      <c r="L202" s="15"/>
      <c r="M202" s="15"/>
    </row>
    <row r="203" spans="1:13" x14ac:dyDescent="0.25">
      <c r="A203" s="15"/>
      <c r="B203" s="15"/>
      <c r="C203" s="15"/>
      <c r="D203" s="15"/>
      <c r="E203" s="16"/>
      <c r="F203" s="15"/>
      <c r="G203" s="15"/>
      <c r="H203" s="17"/>
      <c r="I203" s="13">
        <f>IF(H203="","",H203-TODAY())</f>
      </c>
      <c r="J203" s="14">
        <f>IF(AND(A203="",B203=""),"",IF(AND(E203&lt;&gt;"",E203&lt;=0),"Agotado",IF(H203="","Sin fecha",IF(I203&lt;0,"Vencido",IF(I203&lt;=Resumen!$C$5,"Caduca pronto",IF(I203&lt;=Resumen!$C$6,"Revisar pronto","Vigente"))))))</f>
      </c>
      <c r="K203" s="15"/>
      <c r="L203" s="15"/>
      <c r="M203" s="15"/>
    </row>
    <row r="204" spans="1:13" x14ac:dyDescent="0.25">
      <c r="A204" s="15"/>
      <c r="B204" s="15"/>
      <c r="C204" s="15"/>
      <c r="D204" s="15"/>
      <c r="E204" s="16"/>
      <c r="F204" s="15"/>
      <c r="G204" s="15"/>
      <c r="H204" s="17"/>
      <c r="I204" s="13">
        <f>IF(H204="","",H204-TODAY())</f>
      </c>
      <c r="J204" s="14">
        <f>IF(AND(A204="",B204=""),"",IF(AND(E204&lt;&gt;"",E204&lt;=0),"Agotado",IF(H204="","Sin fecha",IF(I204&lt;0,"Vencido",IF(I204&lt;=Resumen!$C$5,"Caduca pronto",IF(I204&lt;=Resumen!$C$6,"Revisar pronto","Vigente"))))))</f>
      </c>
      <c r="K204" s="15"/>
      <c r="L204" s="15"/>
      <c r="M204" s="15"/>
    </row>
  </sheetData>
  <autoFilter ref="A4:M204"/>
  <mergeCells count="2">
    <mergeCell ref="A1:M1"/>
    <mergeCell ref="A2:M2"/>
  </mergeCells>
  <conditionalFormatting sqref="A5:M204">
    <cfRule type="expression" dxfId="0" priority="1">
      <formula>$J5="Vencido"</formula>
    </cfRule>
  </conditionalFormatting>
  <conditionalFormatting sqref="A5:M204">
    <cfRule type="expression" dxfId="1" priority="2">
      <formula>$J5="Caduca pronto"</formula>
    </cfRule>
  </conditionalFormatting>
  <conditionalFormatting sqref="A5:M204">
    <cfRule type="expression" dxfId="2" priority="3">
      <formula>$J5="Revisar pronto"</formula>
    </cfRule>
  </conditionalFormatting>
  <conditionalFormatting sqref="J5:J204">
    <cfRule type="expression" dxfId="3" priority="4">
      <formula>$J5="Vigente"</formula>
    </cfRule>
  </conditionalFormatting>
  <conditionalFormatting sqref="A5:M204">
    <cfRule type="expression" dxfId="4" priority="5">
      <formula>$J5="Agotado"</formula>
    </cfRule>
  </conditionalFormatting>
  <dataValidations count="5">
    <dataValidation type="custom" allowBlank="1" showInputMessage="1" promptTitle="Código" prompt="Un código corto para encontrar el artículo." sqref="A5:A204">
      <formula1>TRUE</formula1>
    </dataValidation>
    <dataValidation type="list" allowBlank="1" promptTitle="Categoría" showErrorMessage="1" errorStyle="warning" errorTitle="Elige de la lista" error="Elige una opción de la lista desplegable." sqref="C5:C204">
      <formula1>"Curación,Instrumental,Material de protección,Limpieza y desinfección,Medicamentos,Otro"</formula1>
    </dataValidation>
    <dataValidation type="decimal" allowBlank="1" promptTitle="Cantidad" showErrorMessage="1" errorStyle="warning" errorTitle="Número" error="Escribe un número entre 0 y 1000000." sqref="E5:E204">
      <formula1>0</formula1>
      <formula2>1000000</formula2>
    </dataValidation>
    <dataValidation type="list" allowBlank="1" promptTitle="Unidad" showErrorMessage="1" errorStyle="warning" errorTitle="Elige de la lista" error="Elige una opción de la lista desplegable." sqref="F5:F204">
      <formula1>"pieza,caja,frasco,par,rollo,bolsa,litro,otro"</formula1>
    </dataValidation>
    <dataValidation type="date" operator="greaterThan" allowBlank="1" showInputMessage="1" promptTitle="Fecha de caducidad" prompt="Escribe la fecha que trae el envase, por ejemplo 15/03/2027." showErrorMessage="1" errorStyle="warning" errorTitle="Fecha" error="Escribe una fecha válida, por ejemplo 15/03/2026." sqref="H5:H204">
      <formula1>32874</formula1>
    </dataValidation>
  </dataValidation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46" customWidth="1"/>
    <col min="2" max="3" width="14" customWidth="1"/>
    <col min="4" max="4" width="4" customWidth="1"/>
    <col min="5" max="8" width="14" customWidth="1"/>
  </cols>
  <sheetData>
    <row r="1" ht="30" customHeight="1" spans="1:8" x14ac:dyDescent="0.25">
      <c r="A1" s="6" t="s">
        <v>85</v>
      </c>
      <c r="B1" s="6"/>
      <c r="C1" s="6"/>
      <c r="D1" s="6"/>
      <c r="E1" s="6"/>
      <c r="F1" s="6"/>
      <c r="G1" s="6"/>
      <c r="H1" s="6"/>
    </row>
    <row r="2" ht="22" customHeight="1" spans="1:8" x14ac:dyDescent="0.25">
      <c r="A2" s="7" t="s">
        <v>86</v>
      </c>
      <c r="B2" s="7"/>
      <c r="C2" s="7"/>
      <c r="D2" s="7"/>
      <c r="E2" s="7"/>
      <c r="F2" s="7"/>
      <c r="G2" s="7"/>
      <c r="H2" s="7"/>
    </row>
    <row r="4" spans="1:1" x14ac:dyDescent="0.25">
      <c r="A4" s="18" t="s">
        <v>87</v>
      </c>
    </row>
    <row r="5" spans="1:3" x14ac:dyDescent="0.25">
      <c r="A5" s="19" t="s">
        <v>88</v>
      </c>
      <c r="C5" s="20">
        <v>30</v>
      </c>
    </row>
    <row r="6" spans="1:3" x14ac:dyDescent="0.25">
      <c r="A6" s="19" t="s">
        <v>89</v>
      </c>
      <c r="C6" s="20">
        <v>90</v>
      </c>
    </row>
    <row r="8" spans="1:1" x14ac:dyDescent="0.25">
      <c r="A8" s="18" t="s">
        <v>90</v>
      </c>
    </row>
    <row r="9" spans="1:2" x14ac:dyDescent="0.25">
      <c r="A9" s="21" t="s">
        <v>44</v>
      </c>
      <c r="B9" s="21" t="s">
        <v>91</v>
      </c>
    </row>
    <row r="10" spans="1:2" x14ac:dyDescent="0.25">
      <c r="A10" s="15" t="s">
        <v>92</v>
      </c>
      <c r="B10" s="13">
        <f>COUNTIF(Inventario!$J$5:$J$204,A10)</f>
      </c>
    </row>
    <row r="11" spans="1:2" x14ac:dyDescent="0.25">
      <c r="A11" s="15" t="s">
        <v>93</v>
      </c>
      <c r="B11" s="13">
        <f>COUNTIF(Inventario!$J$5:$J$204,A11)</f>
      </c>
    </row>
    <row r="12" spans="1:2" x14ac:dyDescent="0.25">
      <c r="A12" s="15" t="s">
        <v>94</v>
      </c>
      <c r="B12" s="13">
        <f>COUNTIF(Inventario!$J$5:$J$204,A12)</f>
      </c>
    </row>
    <row r="13" spans="1:2" x14ac:dyDescent="0.25">
      <c r="A13" s="15" t="s">
        <v>95</v>
      </c>
      <c r="B13" s="13">
        <f>COUNTIF(Inventario!$J$5:$J$204,A13)</f>
      </c>
    </row>
    <row r="14" spans="1:2" x14ac:dyDescent="0.25">
      <c r="A14" s="15" t="s">
        <v>96</v>
      </c>
      <c r="B14" s="13">
        <f>COUNTIF(Inventario!$J$5:$J$204,A14)</f>
      </c>
    </row>
    <row r="15" spans="1:2" x14ac:dyDescent="0.25">
      <c r="A15" s="15" t="s">
        <v>97</v>
      </c>
      <c r="B15" s="13">
        <f>COUNTIF(Inventario!$J$5:$J$204,A15)</f>
      </c>
    </row>
    <row r="17" spans="1:2" x14ac:dyDescent="0.25">
      <c r="A17" s="19" t="s">
        <v>98</v>
      </c>
      <c r="B17" s="13">
        <f>SUM(B10:B15)</f>
      </c>
    </row>
    <row r="18" spans="1:2" x14ac:dyDescent="0.25">
      <c r="A18" s="19" t="s">
        <v>99</v>
      </c>
      <c r="B18" s="22">
        <f>IFERROR(SMALL(Inventario!$H$5:$H$204,COUNTIF(Inventario!$H$5:$H$204,"&lt;"&amp;TODAY())+1),"-")</f>
      </c>
    </row>
    <row r="19" spans="1:2" x14ac:dyDescent="0.25">
      <c r="A19" s="19" t="s">
        <v>100</v>
      </c>
      <c r="B19" s="22">
        <f>TODAY()</f>
      </c>
    </row>
  </sheetData>
  <sheetProtection sheet="1"/>
  <mergeCells count="2">
    <mergeCell ref="A1:H1"/>
    <mergeCell ref="A2:H2"/>
  </mergeCells>
  <conditionalFormatting sqref="B10">
    <cfRule type="expression" dxfId="5" priority="6">
      <formula>AND($B$10&gt;0)</formula>
    </cfRule>
  </conditionalFormatting>
  <conditionalFormatting sqref="B11">
    <cfRule type="expression" dxfId="6" priority="7">
      <formula>AND($B$11&gt;0)</formula>
    </cfRule>
  </conditionalFormatting>
  <pageSetup paperSize="1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Inventario</vt:lpstr>
      <vt:lpstr>Resumen</vt:lpstr>
    </vt:vector>
  </TitlesOfParts>
  <Company>Zoorigen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Zoorigen</dc:creator>
  <dc:title>Inventario de botiquín con alerta de caducidad</dc:title>
  <dc:subject>Inventario de insumos de botiquín con colores por días restantes para caducar</dc:subject>
  <dc:description/>
  <cp:keywords>Zoorigen; Club VIP; material de apoyo</cp:keywords>
  <cp:category/>
  <cp:lastModifiedBy>Zoorigen</cp:lastModifiedBy>
  <dcterms:created xsi:type="dcterms:W3CDTF">2026-10-22T12:00:00Z</dcterms:created>
  <dcterms:modified xsi:type="dcterms:W3CDTF">2026-10-22T12:00:00Z</dcterms:modified>
</cp:coreProperties>
</file>